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Neuropsychology\Scoring\"/>
    </mc:Choice>
  </mc:AlternateContent>
  <xr:revisionPtr revIDLastSave="68" documentId="8_{16DB2C7C-C329-42D0-823C-30ACFF489CF7}" xr6:coauthVersionLast="47" xr6:coauthVersionMax="47" xr10:uidLastSave="{2545DE5F-AF61-4CBC-93F8-33C6ACF814BA}"/>
  <bookViews>
    <workbookView xWindow="-120" yWindow="-120" windowWidth="29040" windowHeight="15720" xr2:uid="{00000000-000D-0000-FFFF-FFFF00000000}"/>
  </bookViews>
  <sheets>
    <sheet name="Parent" sheetId="2" r:id="rId1"/>
    <sheet name="Teacher" sheetId="5" r:id="rId2"/>
    <sheet name="Self" sheetId="4" r:id="rId3"/>
    <sheet name="Calc - Parent" sheetId="6" r:id="rId4"/>
    <sheet name="Calc - Teacher" sheetId="8" r:id="rId5"/>
    <sheet name="Calc - Self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6" i="8" l="1"/>
  <c r="I177" i="8" s="1"/>
  <c r="I178" i="8" s="1"/>
  <c r="I179" i="8" s="1"/>
  <c r="I180" i="8" s="1"/>
  <c r="I181" i="8" s="1"/>
  <c r="I182" i="8" s="1"/>
  <c r="I183" i="8" s="1"/>
  <c r="I184" i="8" s="1"/>
  <c r="I185" i="8" s="1"/>
  <c r="I186" i="8" s="1"/>
  <c r="I187" i="8" s="1"/>
  <c r="I188" i="8" s="1"/>
  <c r="I189" i="8" s="1"/>
  <c r="I190" i="8" s="1"/>
  <c r="I191" i="8" s="1"/>
  <c r="I192" i="8" s="1"/>
  <c r="I193" i="8" s="1"/>
  <c r="I194" i="8" s="1"/>
  <c r="I195" i="8" s="1"/>
  <c r="I196" i="8" s="1"/>
  <c r="I197" i="8" s="1"/>
  <c r="I198" i="8" s="1"/>
  <c r="I199" i="8" s="1"/>
  <c r="I200" i="8" s="1"/>
  <c r="I201" i="8" s="1"/>
  <c r="I202" i="8" s="1"/>
  <c r="I203" i="8" s="1"/>
  <c r="I204" i="8" s="1"/>
  <c r="I205" i="8" s="1"/>
  <c r="I206" i="8" s="1"/>
  <c r="I207" i="8" s="1"/>
  <c r="I208" i="8" s="1"/>
  <c r="I209" i="8" s="1"/>
  <c r="I210" i="8" s="1"/>
  <c r="I211" i="8" s="1"/>
  <c r="I212" i="8" s="1"/>
  <c r="I213" i="8" s="1"/>
  <c r="I214" i="8" s="1"/>
  <c r="I215" i="8" s="1"/>
  <c r="I216" i="8" s="1"/>
  <c r="I217" i="8" s="1"/>
  <c r="I218" i="8" s="1"/>
  <c r="I219" i="8" s="1"/>
  <c r="I220" i="8" s="1"/>
  <c r="I221" i="8" s="1"/>
  <c r="I222" i="8" s="1"/>
  <c r="I223" i="8" s="1"/>
  <c r="I224" i="8" s="1"/>
  <c r="I225" i="8" s="1"/>
  <c r="I226" i="8" s="1"/>
  <c r="I227" i="8" s="1"/>
  <c r="I228" i="8" s="1"/>
  <c r="I229" i="8" s="1"/>
  <c r="I230" i="8" s="1"/>
  <c r="I231" i="8" s="1"/>
  <c r="I232" i="8" s="1"/>
  <c r="I233" i="8" s="1"/>
  <c r="I234" i="8" s="1"/>
  <c r="I235" i="8" s="1"/>
  <c r="I236" i="8" s="1"/>
  <c r="I237" i="8" s="1"/>
  <c r="I238" i="8" s="1"/>
  <c r="I239" i="8" s="1"/>
  <c r="I240" i="8" s="1"/>
  <c r="I241" i="8" s="1"/>
  <c r="I242" i="8" s="1"/>
  <c r="I243" i="8" s="1"/>
  <c r="I244" i="8" s="1"/>
  <c r="I245" i="8" s="1"/>
  <c r="I246" i="8" s="1"/>
  <c r="I247" i="8" s="1"/>
  <c r="I248" i="8" s="1"/>
  <c r="I249" i="8" s="1"/>
  <c r="I250" i="8" s="1"/>
  <c r="I251" i="8" s="1"/>
  <c r="I252" i="8" s="1"/>
  <c r="I253" i="8" s="1"/>
  <c r="I254" i="8" s="1"/>
  <c r="I255" i="8" s="1"/>
  <c r="I256" i="8" s="1"/>
  <c r="I257" i="8" s="1"/>
  <c r="I258" i="8" s="1"/>
  <c r="I259" i="8" s="1"/>
  <c r="I260" i="8" s="1"/>
  <c r="I261" i="8" s="1"/>
  <c r="I262" i="8" s="1"/>
  <c r="I263" i="8" s="1"/>
  <c r="I264" i="8" s="1"/>
  <c r="I265" i="8" s="1"/>
  <c r="I266" i="8" s="1"/>
  <c r="I267" i="8" s="1"/>
  <c r="I268" i="8" s="1"/>
  <c r="I269" i="8" s="1"/>
  <c r="I270" i="8" s="1"/>
  <c r="I271" i="8" s="1"/>
  <c r="I272" i="8" s="1"/>
  <c r="I273" i="8" s="1"/>
  <c r="I274" i="8" s="1"/>
  <c r="I275" i="8" s="1"/>
  <c r="I276" i="8" s="1"/>
  <c r="I277" i="8" s="1"/>
  <c r="I278" i="8" s="1"/>
  <c r="I279" i="8" s="1"/>
  <c r="I280" i="8" s="1"/>
  <c r="I281" i="8" s="1"/>
  <c r="I282" i="8" s="1"/>
  <c r="I283" i="8" s="1"/>
  <c r="I284" i="8" s="1"/>
  <c r="I285" i="8" s="1"/>
  <c r="I286" i="8" s="1"/>
  <c r="I287" i="8" s="1"/>
  <c r="I288" i="8" s="1"/>
  <c r="I289" i="8" s="1"/>
  <c r="I290" i="8" s="1"/>
  <c r="I291" i="8" s="1"/>
  <c r="AI172" i="8"/>
  <c r="AI173" i="8" s="1"/>
  <c r="AI174" i="8" s="1"/>
  <c r="AI175" i="8" s="1"/>
  <c r="AI176" i="8" s="1"/>
  <c r="AI177" i="8" s="1"/>
  <c r="AI178" i="8" s="1"/>
  <c r="AI179" i="8" s="1"/>
  <c r="AI180" i="8" s="1"/>
  <c r="AI181" i="8" s="1"/>
  <c r="AI182" i="8" s="1"/>
  <c r="AI183" i="8" s="1"/>
  <c r="AI184" i="8" s="1"/>
  <c r="AI185" i="8" s="1"/>
  <c r="AI186" i="8" s="1"/>
  <c r="AI187" i="8" s="1"/>
  <c r="AI188" i="8" s="1"/>
  <c r="AI189" i="8" s="1"/>
  <c r="AI190" i="8" s="1"/>
  <c r="AI191" i="8" s="1"/>
  <c r="AI192" i="8" s="1"/>
  <c r="AI193" i="8" s="1"/>
  <c r="AI194" i="8" s="1"/>
  <c r="AI195" i="8" s="1"/>
  <c r="AI196" i="8" s="1"/>
  <c r="AI197" i="8" s="1"/>
  <c r="AI198" i="8" s="1"/>
  <c r="AI199" i="8" s="1"/>
  <c r="AI200" i="8" s="1"/>
  <c r="AI201" i="8" s="1"/>
  <c r="AI202" i="8" s="1"/>
  <c r="AI203" i="8" s="1"/>
  <c r="AI204" i="8" s="1"/>
  <c r="AI205" i="8" s="1"/>
  <c r="AI206" i="8" s="1"/>
  <c r="AI207" i="8" s="1"/>
  <c r="AI208" i="8" s="1"/>
  <c r="AI209" i="8" s="1"/>
  <c r="AI210" i="8" s="1"/>
  <c r="AI211" i="8" s="1"/>
  <c r="AI212" i="8" s="1"/>
  <c r="AI213" i="8" s="1"/>
  <c r="AI214" i="8" s="1"/>
  <c r="AI215" i="8" s="1"/>
  <c r="AI216" i="8" s="1"/>
  <c r="AI217" i="8" s="1"/>
  <c r="AI218" i="8" s="1"/>
  <c r="AI219" i="8" s="1"/>
  <c r="AI220" i="8" s="1"/>
  <c r="AI221" i="8" s="1"/>
  <c r="AI222" i="8" s="1"/>
  <c r="AI223" i="8" s="1"/>
  <c r="AI224" i="8" s="1"/>
  <c r="AI225" i="8" s="1"/>
  <c r="AI226" i="8" s="1"/>
  <c r="AI227" i="8" s="1"/>
  <c r="AI228" i="8" s="1"/>
  <c r="AI229" i="8" s="1"/>
  <c r="AI230" i="8" s="1"/>
  <c r="AI231" i="8" s="1"/>
  <c r="AI232" i="8" s="1"/>
  <c r="AI233" i="8" s="1"/>
  <c r="AI234" i="8" s="1"/>
  <c r="AI235" i="8" s="1"/>
  <c r="AI236" i="8" s="1"/>
  <c r="AI237" i="8" s="1"/>
  <c r="AI238" i="8" s="1"/>
  <c r="AI239" i="8" s="1"/>
  <c r="AI240" i="8" s="1"/>
  <c r="AI241" i="8" s="1"/>
  <c r="AI242" i="8" s="1"/>
  <c r="AI243" i="8" s="1"/>
  <c r="AI244" i="8" s="1"/>
  <c r="AI245" i="8" s="1"/>
  <c r="AI246" i="8" s="1"/>
  <c r="AI247" i="8" s="1"/>
  <c r="AI248" i="8" s="1"/>
  <c r="AI249" i="8" s="1"/>
  <c r="AI250" i="8" s="1"/>
  <c r="AI251" i="8" s="1"/>
  <c r="AI252" i="8" s="1"/>
  <c r="AI253" i="8" s="1"/>
  <c r="AI254" i="8" s="1"/>
  <c r="AI255" i="8" s="1"/>
  <c r="AI256" i="8" s="1"/>
  <c r="AI257" i="8" s="1"/>
  <c r="AI258" i="8" s="1"/>
  <c r="AI259" i="8" s="1"/>
  <c r="AI260" i="8" s="1"/>
  <c r="AI261" i="8" s="1"/>
  <c r="AI262" i="8" s="1"/>
  <c r="AI263" i="8" s="1"/>
  <c r="AI264" i="8" s="1"/>
  <c r="AI265" i="8" s="1"/>
  <c r="AI266" i="8" s="1"/>
  <c r="AI267" i="8" s="1"/>
  <c r="AI268" i="8" s="1"/>
  <c r="AI269" i="8" s="1"/>
  <c r="AI270" i="8" s="1"/>
  <c r="AI271" i="8" s="1"/>
  <c r="AI272" i="8" s="1"/>
  <c r="AI273" i="8" s="1"/>
  <c r="AI274" i="8" s="1"/>
  <c r="AI275" i="8" s="1"/>
  <c r="AI276" i="8" s="1"/>
  <c r="AI277" i="8" s="1"/>
  <c r="AI278" i="8" s="1"/>
  <c r="AI279" i="8" s="1"/>
  <c r="AI280" i="8" s="1"/>
  <c r="AI281" i="8" s="1"/>
  <c r="AI282" i="8" s="1"/>
  <c r="AI283" i="8" s="1"/>
  <c r="AI284" i="8" s="1"/>
  <c r="AI285" i="8" s="1"/>
  <c r="AI286" i="8" s="1"/>
  <c r="AI287" i="8" s="1"/>
  <c r="AI288" i="8" s="1"/>
  <c r="AI289" i="8" s="1"/>
  <c r="AI290" i="8" s="1"/>
  <c r="AI291" i="8" s="1"/>
  <c r="I172" i="8"/>
  <c r="I173" i="8" s="1"/>
  <c r="I174" i="8" s="1"/>
  <c r="I175" i="8" s="1"/>
  <c r="AI83" i="8"/>
  <c r="I83" i="8"/>
  <c r="C4" i="8"/>
  <c r="F4" i="8" s="1"/>
  <c r="C3" i="8"/>
  <c r="M162" i="7"/>
  <c r="M164" i="7" s="1"/>
  <c r="M166" i="7" s="1"/>
  <c r="M168" i="7" s="1"/>
  <c r="M170" i="7" s="1"/>
  <c r="M172" i="7" s="1"/>
  <c r="M174" i="7" s="1"/>
  <c r="M176" i="7" s="1"/>
  <c r="M178" i="7" s="1"/>
  <c r="M180" i="7" s="1"/>
  <c r="M184" i="7" s="1"/>
  <c r="M186" i="7" s="1"/>
  <c r="M188" i="7" s="1"/>
  <c r="M190" i="7" s="1"/>
  <c r="M192" i="7" s="1"/>
  <c r="M194" i="7" s="1"/>
  <c r="M196" i="7" s="1"/>
  <c r="M198" i="7" s="1"/>
  <c r="M200" i="7" s="1"/>
  <c r="M202" i="7" s="1"/>
  <c r="M206" i="7" s="1"/>
  <c r="M208" i="7" s="1"/>
  <c r="M210" i="7" s="1"/>
  <c r="M212" i="7" s="1"/>
  <c r="M214" i="7" s="1"/>
  <c r="M216" i="7" s="1"/>
  <c r="M218" i="7" s="1"/>
  <c r="M220" i="7" s="1"/>
  <c r="M222" i="7" s="1"/>
  <c r="M224" i="7" s="1"/>
  <c r="M228" i="7" s="1"/>
  <c r="M230" i="7" s="1"/>
  <c r="M232" i="7" s="1"/>
  <c r="M234" i="7" s="1"/>
  <c r="M236" i="7" s="1"/>
  <c r="M238" i="7" s="1"/>
  <c r="M240" i="7" s="1"/>
  <c r="M242" i="7" s="1"/>
  <c r="M244" i="7" s="1"/>
  <c r="M246" i="7" s="1"/>
  <c r="M250" i="7" s="1"/>
  <c r="M161" i="7"/>
  <c r="M163" i="7"/>
  <c r="M165" i="7" s="1"/>
  <c r="M167" i="7" s="1"/>
  <c r="M169" i="7" s="1"/>
  <c r="M173" i="7" s="1"/>
  <c r="M175" i="7" s="1"/>
  <c r="M177" i="7" s="1"/>
  <c r="M179" i="7" s="1"/>
  <c r="M181" i="7" s="1"/>
  <c r="M183" i="7" s="1"/>
  <c r="M185" i="7" s="1"/>
  <c r="M187" i="7" s="1"/>
  <c r="M189" i="7" s="1"/>
  <c r="M191" i="7" s="1"/>
  <c r="M195" i="7" s="1"/>
  <c r="M197" i="7" s="1"/>
  <c r="M199" i="7" s="1"/>
  <c r="M201" i="7" s="1"/>
  <c r="M203" i="7" s="1"/>
  <c r="M205" i="7" s="1"/>
  <c r="M207" i="7" s="1"/>
  <c r="M209" i="7" s="1"/>
  <c r="M211" i="7" s="1"/>
  <c r="M213" i="7" s="1"/>
  <c r="M217" i="7" s="1"/>
  <c r="M219" i="7" s="1"/>
  <c r="M221" i="7" s="1"/>
  <c r="M223" i="7" s="1"/>
  <c r="M225" i="7" s="1"/>
  <c r="M227" i="7" s="1"/>
  <c r="M229" i="7" s="1"/>
  <c r="M231" i="7" s="1"/>
  <c r="M233" i="7" s="1"/>
  <c r="M235" i="7" s="1"/>
  <c r="M239" i="7" s="1"/>
  <c r="M241" i="7" s="1"/>
  <c r="M243" i="7" s="1"/>
  <c r="M245" i="7" s="1"/>
  <c r="M247" i="7" s="1"/>
  <c r="M249" i="7" s="1"/>
  <c r="M159" i="7"/>
  <c r="L216" i="7"/>
  <c r="L149" i="7"/>
  <c r="L150" i="7"/>
  <c r="L151" i="7"/>
  <c r="L152" i="7"/>
  <c r="L153" i="7"/>
  <c r="L154" i="7"/>
  <c r="L158" i="7" s="1"/>
  <c r="L160" i="7" s="1"/>
  <c r="L162" i="7" s="1"/>
  <c r="L164" i="7" s="1"/>
  <c r="L166" i="7" s="1"/>
  <c r="L168" i="7" s="1"/>
  <c r="L170" i="7" s="1"/>
  <c r="L172" i="7" s="1"/>
  <c r="L174" i="7" s="1"/>
  <c r="L176" i="7" s="1"/>
  <c r="L178" i="7" s="1"/>
  <c r="L180" i="7" s="1"/>
  <c r="L182" i="7" s="1"/>
  <c r="L184" i="7" s="1"/>
  <c r="L186" i="7" s="1"/>
  <c r="L188" i="7" s="1"/>
  <c r="L190" i="7" s="1"/>
  <c r="L192" i="7" s="1"/>
  <c r="L194" i="7" s="1"/>
  <c r="L196" i="7" s="1"/>
  <c r="L198" i="7" s="1"/>
  <c r="L200" i="7" s="1"/>
  <c r="L202" i="7" s="1"/>
  <c r="L204" i="7" s="1"/>
  <c r="L206" i="7" s="1"/>
  <c r="L208" i="7" s="1"/>
  <c r="L210" i="7" s="1"/>
  <c r="L212" i="7" s="1"/>
  <c r="L214" i="7" s="1"/>
  <c r="L155" i="7"/>
  <c r="L157" i="7" s="1"/>
  <c r="L159" i="7" s="1"/>
  <c r="L161" i="7" s="1"/>
  <c r="L163" i="7" s="1"/>
  <c r="L165" i="7" s="1"/>
  <c r="L167" i="7" s="1"/>
  <c r="L169" i="7" s="1"/>
  <c r="L171" i="7" s="1"/>
  <c r="L173" i="7" s="1"/>
  <c r="L175" i="7" s="1"/>
  <c r="L177" i="7" s="1"/>
  <c r="L179" i="7" s="1"/>
  <c r="L181" i="7" s="1"/>
  <c r="L183" i="7" s="1"/>
  <c r="L185" i="7" s="1"/>
  <c r="L187" i="7" s="1"/>
  <c r="L189" i="7" s="1"/>
  <c r="L191" i="7" s="1"/>
  <c r="L193" i="7" s="1"/>
  <c r="L195" i="7" s="1"/>
  <c r="L197" i="7" s="1"/>
  <c r="L199" i="7" s="1"/>
  <c r="L201" i="7" s="1"/>
  <c r="L203" i="7" s="1"/>
  <c r="L205" i="7" s="1"/>
  <c r="L207" i="7" s="1"/>
  <c r="L209" i="7" s="1"/>
  <c r="L211" i="7" s="1"/>
  <c r="L213" i="7" s="1"/>
  <c r="L215" i="7" s="1"/>
  <c r="L219" i="7" s="1"/>
  <c r="L221" i="7" s="1"/>
  <c r="L223" i="7" s="1"/>
  <c r="L225" i="7" s="1"/>
  <c r="L227" i="7" s="1"/>
  <c r="L229" i="7" s="1"/>
  <c r="L231" i="7" s="1"/>
  <c r="L233" i="7" s="1"/>
  <c r="L235" i="7" s="1"/>
  <c r="L237" i="7" s="1"/>
  <c r="L239" i="7" s="1"/>
  <c r="L241" i="7" s="1"/>
  <c r="L243" i="7" s="1"/>
  <c r="L245" i="7" s="1"/>
  <c r="L247" i="7" s="1"/>
  <c r="L249" i="7" s="1"/>
  <c r="L148" i="7"/>
  <c r="AP180" i="7"/>
  <c r="AP181" i="7" s="1"/>
  <c r="AP184" i="7" s="1"/>
  <c r="AP185" i="7" s="1"/>
  <c r="AP186" i="7" s="1"/>
  <c r="AP187" i="7" s="1"/>
  <c r="AP188" i="7" s="1"/>
  <c r="AP189" i="7" s="1"/>
  <c r="AP190" i="7" s="1"/>
  <c r="AP191" i="7" s="1"/>
  <c r="AP192" i="7" s="1"/>
  <c r="AP193" i="7" s="1"/>
  <c r="AP197" i="7" s="1"/>
  <c r="AP199" i="7" s="1"/>
  <c r="AP207" i="7" s="1"/>
  <c r="AP208" i="7" s="1"/>
  <c r="AP210" i="7" s="1"/>
  <c r="AP211" i="7" s="1"/>
  <c r="AP231" i="7" s="1"/>
  <c r="AP234" i="7" s="1"/>
  <c r="AP237" i="7" s="1"/>
  <c r="AP179" i="7"/>
  <c r="Q158" i="7"/>
  <c r="Q159" i="7"/>
  <c r="Q160" i="7"/>
  <c r="Q161" i="7"/>
  <c r="Q162" i="7"/>
  <c r="Q163" i="7"/>
  <c r="Q165" i="7"/>
  <c r="Q167" i="7" s="1"/>
  <c r="Q169" i="7" s="1"/>
  <c r="Q171" i="7" s="1"/>
  <c r="Q175" i="7" s="1"/>
  <c r="Q177" i="7" s="1"/>
  <c r="Q179" i="7" s="1"/>
  <c r="Q181" i="7" s="1"/>
  <c r="Q183" i="7" s="1"/>
  <c r="Q185" i="7" s="1"/>
  <c r="Q187" i="7" s="1"/>
  <c r="Q191" i="7" s="1"/>
  <c r="Q193" i="7" s="1"/>
  <c r="Q195" i="7" s="1"/>
  <c r="Q197" i="7" s="1"/>
  <c r="Q199" i="7" s="1"/>
  <c r="Q201" i="7" s="1"/>
  <c r="Q203" i="7" s="1"/>
  <c r="Q205" i="7" s="1"/>
  <c r="Q209" i="7" s="1"/>
  <c r="Q211" i="7" s="1"/>
  <c r="Q213" i="7" s="1"/>
  <c r="Q215" i="7" s="1"/>
  <c r="Q217" i="7" s="1"/>
  <c r="Q219" i="7" s="1"/>
  <c r="Q221" i="7" s="1"/>
  <c r="Q223" i="7" s="1"/>
  <c r="Q227" i="7" s="1"/>
  <c r="Q229" i="7" s="1"/>
  <c r="Q231" i="7" s="1"/>
  <c r="Q233" i="7" s="1"/>
  <c r="Q235" i="7" s="1"/>
  <c r="Q237" i="7" s="1"/>
  <c r="Q239" i="7" s="1"/>
  <c r="Q243" i="7" s="1"/>
  <c r="Q245" i="7" s="1"/>
  <c r="Q247" i="7" s="1"/>
  <c r="Q249" i="7" s="1"/>
  <c r="Q166" i="7"/>
  <c r="Q168" i="7" s="1"/>
  <c r="Q170" i="7" s="1"/>
  <c r="Q172" i="7" s="1"/>
  <c r="Q174" i="7" s="1"/>
  <c r="Q176" i="7" s="1"/>
  <c r="Q178" i="7" s="1"/>
  <c r="Q182" i="7" s="1"/>
  <c r="Q184" i="7" s="1"/>
  <c r="Q186" i="7" s="1"/>
  <c r="Q188" i="7" s="1"/>
  <c r="Q190" i="7" s="1"/>
  <c r="Q192" i="7" s="1"/>
  <c r="Q194" i="7" s="1"/>
  <c r="Q196" i="7" s="1"/>
  <c r="Q200" i="7" s="1"/>
  <c r="Q202" i="7" s="1"/>
  <c r="Q204" i="7" s="1"/>
  <c r="Q206" i="7" s="1"/>
  <c r="Q208" i="7" s="1"/>
  <c r="Q210" i="7" s="1"/>
  <c r="Q212" i="7" s="1"/>
  <c r="Q214" i="7" s="1"/>
  <c r="Q218" i="7" s="1"/>
  <c r="Q220" i="7" s="1"/>
  <c r="Q222" i="7" s="1"/>
  <c r="Q224" i="7" s="1"/>
  <c r="Q226" i="7" s="1"/>
  <c r="Q228" i="7" s="1"/>
  <c r="Q230" i="7" s="1"/>
  <c r="Q232" i="7" s="1"/>
  <c r="Q236" i="7" s="1"/>
  <c r="Q238" i="7" s="1"/>
  <c r="Q240" i="7" s="1"/>
  <c r="Q242" i="7" s="1"/>
  <c r="Q244" i="7" s="1"/>
  <c r="Q246" i="7" s="1"/>
  <c r="Q248" i="7" s="1"/>
  <c r="Q157" i="7"/>
  <c r="P154" i="7"/>
  <c r="P156" i="7" s="1"/>
  <c r="P158" i="7" s="1"/>
  <c r="P159" i="7" s="1"/>
  <c r="P161" i="7" s="1"/>
  <c r="P163" i="7" s="1"/>
  <c r="P165" i="7" s="1"/>
  <c r="P167" i="7" s="1"/>
  <c r="P168" i="7" s="1"/>
  <c r="P170" i="7" s="1"/>
  <c r="P172" i="7" s="1"/>
  <c r="P174" i="7" s="1"/>
  <c r="P176" i="7" s="1"/>
  <c r="P177" i="7" s="1"/>
  <c r="P179" i="7" s="1"/>
  <c r="P181" i="7" s="1"/>
  <c r="P183" i="7" s="1"/>
  <c r="P184" i="7" s="1"/>
  <c r="P186" i="7" s="1"/>
  <c r="P188" i="7" s="1"/>
  <c r="P190" i="7" s="1"/>
  <c r="P192" i="7" s="1"/>
  <c r="P193" i="7" s="1"/>
  <c r="P195" i="7" s="1"/>
  <c r="P197" i="7" s="1"/>
  <c r="P199" i="7" s="1"/>
  <c r="P201" i="7" s="1"/>
  <c r="P202" i="7" s="1"/>
  <c r="P204" i="7" s="1"/>
  <c r="P206" i="7" s="1"/>
  <c r="P208" i="7" s="1"/>
  <c r="P210" i="7" s="1"/>
  <c r="P211" i="7" s="1"/>
  <c r="P213" i="7" s="1"/>
  <c r="P215" i="7" s="1"/>
  <c r="P217" i="7" s="1"/>
  <c r="P218" i="7" s="1"/>
  <c r="P220" i="7" s="1"/>
  <c r="P222" i="7" s="1"/>
  <c r="P224" i="7" s="1"/>
  <c r="P226" i="7" s="1"/>
  <c r="P227" i="7" s="1"/>
  <c r="P229" i="7" s="1"/>
  <c r="P231" i="7" s="1"/>
  <c r="P233" i="7" s="1"/>
  <c r="P235" i="7" s="1"/>
  <c r="P236" i="7" s="1"/>
  <c r="P238" i="7" s="1"/>
  <c r="P240" i="7" s="1"/>
  <c r="P242" i="7" s="1"/>
  <c r="P243" i="7" s="1"/>
  <c r="P245" i="7" s="1"/>
  <c r="P247" i="7" s="1"/>
  <c r="P249" i="7" s="1"/>
  <c r="AG121" i="7"/>
  <c r="AG122" i="7" s="1"/>
  <c r="AG123" i="7" s="1"/>
  <c r="AG124" i="7" s="1"/>
  <c r="AG125" i="7" s="1"/>
  <c r="AG126" i="7" s="1"/>
  <c r="AG127" i="7" s="1"/>
  <c r="AG129" i="7" s="1"/>
  <c r="AG115" i="7"/>
  <c r="AG116" i="7"/>
  <c r="AG118" i="7" s="1"/>
  <c r="AG119" i="7" s="1"/>
  <c r="AG120" i="7" s="1"/>
  <c r="AG101" i="7"/>
  <c r="AG102" i="7" s="1"/>
  <c r="AG103" i="7" s="1"/>
  <c r="AG104" i="7" s="1"/>
  <c r="AG106" i="7" s="1"/>
  <c r="AG107" i="7" s="1"/>
  <c r="AG108" i="7" s="1"/>
  <c r="AG109" i="7" s="1"/>
  <c r="AG110" i="7" s="1"/>
  <c r="AG111" i="7" s="1"/>
  <c r="AG112" i="7" s="1"/>
  <c r="AG113" i="7" s="1"/>
  <c r="AG114" i="7" s="1"/>
  <c r="AG100" i="7"/>
  <c r="Q122" i="7"/>
  <c r="Q123" i="7"/>
  <c r="Q124" i="7" s="1"/>
  <c r="Q125" i="7" s="1"/>
  <c r="Q126" i="7" s="1"/>
  <c r="Q127" i="7" s="1"/>
  <c r="Q128" i="7" s="1"/>
  <c r="Q129" i="7" s="1"/>
  <c r="Q130" i="7" s="1"/>
  <c r="Q132" i="7" s="1"/>
  <c r="Q133" i="7" s="1"/>
  <c r="Q134" i="7" s="1"/>
  <c r="Q135" i="7" s="1"/>
  <c r="Q136" i="7" s="1"/>
  <c r="Q137" i="7" s="1"/>
  <c r="Q138" i="7" s="1"/>
  <c r="Q139" i="7" s="1"/>
  <c r="Q140" i="7" s="1"/>
  <c r="Q141" i="7" s="1"/>
  <c r="Q121" i="7"/>
  <c r="C4" i="7"/>
  <c r="F4" i="7" s="1"/>
  <c r="C3" i="7"/>
  <c r="AI55" i="7"/>
  <c r="AI56" i="7" s="1"/>
  <c r="AI57" i="7" s="1"/>
  <c r="AI58" i="7" s="1"/>
  <c r="AI59" i="7" s="1"/>
  <c r="AI60" i="7" s="1"/>
  <c r="AI61" i="7" s="1"/>
  <c r="AI62" i="7" s="1"/>
  <c r="AI63" i="7" s="1"/>
  <c r="AI64" i="7" s="1"/>
  <c r="AI65" i="7" s="1"/>
  <c r="AI66" i="7" s="1"/>
  <c r="AI67" i="7" s="1"/>
  <c r="AI68" i="7" s="1"/>
  <c r="AI69" i="7" s="1"/>
  <c r="AI70" i="7" s="1"/>
  <c r="AI71" i="7" s="1"/>
  <c r="AI72" i="7" s="1"/>
  <c r="AI73" i="7" s="1"/>
  <c r="AI74" i="7" s="1"/>
  <c r="I55" i="7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AI147" i="7"/>
  <c r="AI148" i="7" s="1"/>
  <c r="AI149" i="7" s="1"/>
  <c r="AI150" i="7" s="1"/>
  <c r="AI151" i="7" s="1"/>
  <c r="AI152" i="7" s="1"/>
  <c r="AI153" i="7" s="1"/>
  <c r="AI154" i="7" s="1"/>
  <c r="AI155" i="7" s="1"/>
  <c r="AI156" i="7" s="1"/>
  <c r="AI157" i="7" s="1"/>
  <c r="AI158" i="7" s="1"/>
  <c r="AI159" i="7" s="1"/>
  <c r="AI160" i="7" s="1"/>
  <c r="AI161" i="7" s="1"/>
  <c r="AI162" i="7" s="1"/>
  <c r="AI163" i="7" s="1"/>
  <c r="AI164" i="7" s="1"/>
  <c r="AI165" i="7" s="1"/>
  <c r="AI166" i="7" s="1"/>
  <c r="AI167" i="7" s="1"/>
  <c r="AI168" i="7" s="1"/>
  <c r="AI169" i="7" s="1"/>
  <c r="AI170" i="7" s="1"/>
  <c r="AI171" i="7" s="1"/>
  <c r="AI172" i="7" s="1"/>
  <c r="AI173" i="7" s="1"/>
  <c r="AI174" i="7" s="1"/>
  <c r="AI175" i="7" s="1"/>
  <c r="AI176" i="7" s="1"/>
  <c r="AI177" i="7" s="1"/>
  <c r="AI178" i="7" s="1"/>
  <c r="AI179" i="7" s="1"/>
  <c r="AI180" i="7" s="1"/>
  <c r="AI181" i="7" s="1"/>
  <c r="AI182" i="7" s="1"/>
  <c r="AI183" i="7" s="1"/>
  <c r="AI184" i="7" s="1"/>
  <c r="AI185" i="7" s="1"/>
  <c r="AI186" i="7" s="1"/>
  <c r="AI187" i="7" s="1"/>
  <c r="AI188" i="7" s="1"/>
  <c r="AI189" i="7" s="1"/>
  <c r="AI190" i="7" s="1"/>
  <c r="AI191" i="7" s="1"/>
  <c r="AI192" i="7" s="1"/>
  <c r="AI193" i="7" s="1"/>
  <c r="AI194" i="7" s="1"/>
  <c r="AI195" i="7" s="1"/>
  <c r="AI196" i="7" s="1"/>
  <c r="AI197" i="7" s="1"/>
  <c r="AI198" i="7" s="1"/>
  <c r="AI199" i="7" s="1"/>
  <c r="AI200" i="7" s="1"/>
  <c r="AI201" i="7" s="1"/>
  <c r="AI202" i="7" s="1"/>
  <c r="AI203" i="7" s="1"/>
  <c r="AI204" i="7" s="1"/>
  <c r="AI205" i="7" s="1"/>
  <c r="AI206" i="7" s="1"/>
  <c r="AI207" i="7" s="1"/>
  <c r="AI208" i="7" s="1"/>
  <c r="AI209" i="7" s="1"/>
  <c r="AI210" i="7" s="1"/>
  <c r="AI211" i="7" s="1"/>
  <c r="AI212" i="7" s="1"/>
  <c r="AI213" i="7" s="1"/>
  <c r="AI214" i="7" s="1"/>
  <c r="AI215" i="7" s="1"/>
  <c r="AI216" i="7" s="1"/>
  <c r="AI217" i="7" s="1"/>
  <c r="AI218" i="7" s="1"/>
  <c r="AI219" i="7" s="1"/>
  <c r="AI220" i="7" s="1"/>
  <c r="AI221" i="7" s="1"/>
  <c r="AI222" i="7" s="1"/>
  <c r="AI223" i="7" s="1"/>
  <c r="AI224" i="7" s="1"/>
  <c r="AI225" i="7" s="1"/>
  <c r="AI226" i="7" s="1"/>
  <c r="AI227" i="7" s="1"/>
  <c r="AI228" i="7" s="1"/>
  <c r="AI229" i="7" s="1"/>
  <c r="AI230" i="7" s="1"/>
  <c r="AI231" i="7" s="1"/>
  <c r="AI232" i="7" s="1"/>
  <c r="AI233" i="7" s="1"/>
  <c r="AI234" i="7" s="1"/>
  <c r="AI235" i="7" s="1"/>
  <c r="AI236" i="7" s="1"/>
  <c r="AI237" i="7" s="1"/>
  <c r="AI238" i="7" s="1"/>
  <c r="AI239" i="7" s="1"/>
  <c r="AI240" i="7" s="1"/>
  <c r="AI241" i="7" s="1"/>
  <c r="AI242" i="7" s="1"/>
  <c r="AI243" i="7" s="1"/>
  <c r="AI244" i="7" s="1"/>
  <c r="AI245" i="7" s="1"/>
  <c r="AI246" i="7" s="1"/>
  <c r="AI247" i="7" s="1"/>
  <c r="AI248" i="7" s="1"/>
  <c r="AI249" i="7" s="1"/>
  <c r="AI250" i="7" s="1"/>
  <c r="I147" i="7"/>
  <c r="I148" i="7" s="1"/>
  <c r="I149" i="7" s="1"/>
  <c r="I150" i="7" s="1"/>
  <c r="I151" i="7" s="1"/>
  <c r="I152" i="7" s="1"/>
  <c r="I153" i="7" s="1"/>
  <c r="I154" i="7" s="1"/>
  <c r="I155" i="7" s="1"/>
  <c r="I156" i="7" s="1"/>
  <c r="I157" i="7" s="1"/>
  <c r="I158" i="7" s="1"/>
  <c r="I159" i="7" s="1"/>
  <c r="I160" i="7" s="1"/>
  <c r="I161" i="7" s="1"/>
  <c r="I162" i="7" s="1"/>
  <c r="I163" i="7" s="1"/>
  <c r="I164" i="7" s="1"/>
  <c r="I165" i="7" s="1"/>
  <c r="I166" i="7" s="1"/>
  <c r="I167" i="7" s="1"/>
  <c r="I168" i="7" s="1"/>
  <c r="I169" i="7" s="1"/>
  <c r="I170" i="7" s="1"/>
  <c r="I171" i="7" s="1"/>
  <c r="I172" i="7" s="1"/>
  <c r="I173" i="7" s="1"/>
  <c r="I174" i="7" s="1"/>
  <c r="I175" i="7" s="1"/>
  <c r="I176" i="7" s="1"/>
  <c r="I177" i="7" s="1"/>
  <c r="I178" i="7" s="1"/>
  <c r="I179" i="7" s="1"/>
  <c r="I180" i="7" s="1"/>
  <c r="I181" i="7" s="1"/>
  <c r="I182" i="7" s="1"/>
  <c r="I183" i="7" s="1"/>
  <c r="I184" i="7" s="1"/>
  <c r="I185" i="7" s="1"/>
  <c r="I186" i="7" s="1"/>
  <c r="I187" i="7" s="1"/>
  <c r="I188" i="7" s="1"/>
  <c r="I189" i="7" s="1"/>
  <c r="I190" i="7" s="1"/>
  <c r="I191" i="7" s="1"/>
  <c r="I192" i="7" s="1"/>
  <c r="I193" i="7" s="1"/>
  <c r="I194" i="7" s="1"/>
  <c r="I195" i="7" s="1"/>
  <c r="I196" i="7" s="1"/>
  <c r="I197" i="7" s="1"/>
  <c r="I198" i="7" s="1"/>
  <c r="I199" i="7" s="1"/>
  <c r="I200" i="7" s="1"/>
  <c r="I201" i="7" s="1"/>
  <c r="I202" i="7" s="1"/>
  <c r="I203" i="7" s="1"/>
  <c r="I204" i="7" s="1"/>
  <c r="I205" i="7" s="1"/>
  <c r="I206" i="7" s="1"/>
  <c r="I207" i="7" s="1"/>
  <c r="I208" i="7" s="1"/>
  <c r="I209" i="7" s="1"/>
  <c r="I210" i="7" s="1"/>
  <c r="I211" i="7" s="1"/>
  <c r="I212" i="7" s="1"/>
  <c r="I213" i="7" s="1"/>
  <c r="I214" i="7" s="1"/>
  <c r="I215" i="7" s="1"/>
  <c r="I216" i="7" s="1"/>
  <c r="I217" i="7" s="1"/>
  <c r="I218" i="7" s="1"/>
  <c r="I219" i="7" s="1"/>
  <c r="I220" i="7" s="1"/>
  <c r="I221" i="7" s="1"/>
  <c r="I222" i="7" s="1"/>
  <c r="I223" i="7" s="1"/>
  <c r="I224" i="7" s="1"/>
  <c r="I225" i="7" s="1"/>
  <c r="I226" i="7" s="1"/>
  <c r="I227" i="7" s="1"/>
  <c r="I228" i="7" s="1"/>
  <c r="I229" i="7" s="1"/>
  <c r="I230" i="7" s="1"/>
  <c r="I231" i="7" s="1"/>
  <c r="I232" i="7" s="1"/>
  <c r="I233" i="7" s="1"/>
  <c r="I234" i="7" s="1"/>
  <c r="I235" i="7" s="1"/>
  <c r="I236" i="7" s="1"/>
  <c r="I237" i="7" s="1"/>
  <c r="I238" i="7" s="1"/>
  <c r="I239" i="7" s="1"/>
  <c r="I240" i="7" s="1"/>
  <c r="I241" i="7" s="1"/>
  <c r="I242" i="7" s="1"/>
  <c r="I243" i="7" s="1"/>
  <c r="I244" i="7" s="1"/>
  <c r="I245" i="7" s="1"/>
  <c r="I246" i="7" s="1"/>
  <c r="I247" i="7" s="1"/>
  <c r="I248" i="7" s="1"/>
  <c r="I249" i="7" s="1"/>
  <c r="I250" i="7" s="1"/>
  <c r="AI80" i="7"/>
  <c r="AI81" i="7" s="1"/>
  <c r="AI82" i="7" s="1"/>
  <c r="AI83" i="7" s="1"/>
  <c r="AI84" i="7" s="1"/>
  <c r="AI85" i="7" s="1"/>
  <c r="AI86" i="7" s="1"/>
  <c r="AI87" i="7" s="1"/>
  <c r="AI88" i="7" s="1"/>
  <c r="AI89" i="7" s="1"/>
  <c r="AI90" i="7" s="1"/>
  <c r="AI91" i="7" s="1"/>
  <c r="AI92" i="7" s="1"/>
  <c r="AI93" i="7" s="1"/>
  <c r="AI94" i="7" s="1"/>
  <c r="AI95" i="7" s="1"/>
  <c r="AI96" i="7" s="1"/>
  <c r="AI97" i="7" s="1"/>
  <c r="AI98" i="7" s="1"/>
  <c r="AI99" i="7" s="1"/>
  <c r="AI100" i="7" s="1"/>
  <c r="AI101" i="7" s="1"/>
  <c r="AI102" i="7" s="1"/>
  <c r="AI103" i="7" s="1"/>
  <c r="AI104" i="7" s="1"/>
  <c r="AI105" i="7" s="1"/>
  <c r="AI106" i="7" s="1"/>
  <c r="AI107" i="7" s="1"/>
  <c r="AI108" i="7" s="1"/>
  <c r="AI109" i="7" s="1"/>
  <c r="AI110" i="7" s="1"/>
  <c r="AI111" i="7" s="1"/>
  <c r="AI112" i="7" s="1"/>
  <c r="AI113" i="7" s="1"/>
  <c r="AI114" i="7" s="1"/>
  <c r="AI115" i="7" s="1"/>
  <c r="AI116" i="7" s="1"/>
  <c r="AI117" i="7" s="1"/>
  <c r="AI118" i="7" s="1"/>
  <c r="AI119" i="7" s="1"/>
  <c r="AI120" i="7" s="1"/>
  <c r="AI121" i="7" s="1"/>
  <c r="AI122" i="7" s="1"/>
  <c r="AI123" i="7" s="1"/>
  <c r="AI124" i="7" s="1"/>
  <c r="AI125" i="7" s="1"/>
  <c r="AI126" i="7" s="1"/>
  <c r="AI127" i="7" s="1"/>
  <c r="AI128" i="7" s="1"/>
  <c r="AI129" i="7" s="1"/>
  <c r="AI130" i="7" s="1"/>
  <c r="AI131" i="7" s="1"/>
  <c r="AI132" i="7" s="1"/>
  <c r="AI133" i="7" s="1"/>
  <c r="AI134" i="7" s="1"/>
  <c r="AI135" i="7" s="1"/>
  <c r="AI136" i="7" s="1"/>
  <c r="AI137" i="7" s="1"/>
  <c r="AI138" i="7" s="1"/>
  <c r="AI139" i="7" s="1"/>
  <c r="AI140" i="7" s="1"/>
  <c r="AI141" i="7" s="1"/>
  <c r="I80" i="7"/>
  <c r="I81" i="7" s="1"/>
  <c r="I82" i="7" s="1"/>
  <c r="I83" i="7" s="1"/>
  <c r="I84" i="7" s="1"/>
  <c r="I85" i="7" s="1"/>
  <c r="I86" i="7" s="1"/>
  <c r="I87" i="7" s="1"/>
  <c r="I88" i="7" s="1"/>
  <c r="I89" i="7" s="1"/>
  <c r="I90" i="7" s="1"/>
  <c r="I91" i="7" s="1"/>
  <c r="I92" i="7" s="1"/>
  <c r="I93" i="7" s="1"/>
  <c r="I94" i="7" s="1"/>
  <c r="I95" i="7" s="1"/>
  <c r="I96" i="7" s="1"/>
  <c r="I97" i="7" s="1"/>
  <c r="I98" i="7" s="1"/>
  <c r="I99" i="7" s="1"/>
  <c r="I100" i="7" s="1"/>
  <c r="I101" i="7" s="1"/>
  <c r="I102" i="7" s="1"/>
  <c r="I103" i="7" s="1"/>
  <c r="I104" i="7" s="1"/>
  <c r="I105" i="7" s="1"/>
  <c r="I106" i="7" s="1"/>
  <c r="I107" i="7" s="1"/>
  <c r="I108" i="7" s="1"/>
  <c r="I109" i="7" s="1"/>
  <c r="I110" i="7" s="1"/>
  <c r="I111" i="7" s="1"/>
  <c r="I112" i="7" s="1"/>
  <c r="I113" i="7" s="1"/>
  <c r="I114" i="7" s="1"/>
  <c r="I115" i="7" s="1"/>
  <c r="I116" i="7" s="1"/>
  <c r="I117" i="7" s="1"/>
  <c r="I118" i="7" s="1"/>
  <c r="I119" i="7" s="1"/>
  <c r="I120" i="7" s="1"/>
  <c r="I121" i="7" s="1"/>
  <c r="I122" i="7" s="1"/>
  <c r="I123" i="7" s="1"/>
  <c r="I124" i="7" s="1"/>
  <c r="I125" i="7" s="1"/>
  <c r="I126" i="7" s="1"/>
  <c r="I127" i="7" s="1"/>
  <c r="I128" i="7" s="1"/>
  <c r="I129" i="7" s="1"/>
  <c r="I130" i="7" s="1"/>
  <c r="I131" i="7" s="1"/>
  <c r="I132" i="7" s="1"/>
  <c r="I133" i="7" s="1"/>
  <c r="I134" i="7" s="1"/>
  <c r="I135" i="7" s="1"/>
  <c r="I136" i="7" s="1"/>
  <c r="I137" i="7" s="1"/>
  <c r="I138" i="7" s="1"/>
  <c r="I139" i="7" s="1"/>
  <c r="I140" i="7" s="1"/>
  <c r="I141" i="7" s="1"/>
  <c r="C25" i="8" l="1"/>
  <c r="I84" i="8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97" i="8" s="1"/>
  <c r="I98" i="8" s="1"/>
  <c r="I99" i="8" s="1"/>
  <c r="I100" i="8" s="1"/>
  <c r="I101" i="8" s="1"/>
  <c r="I102" i="8" s="1"/>
  <c r="I103" i="8" s="1"/>
  <c r="I104" i="8" s="1"/>
  <c r="I105" i="8" s="1"/>
  <c r="I106" i="8" s="1"/>
  <c r="I107" i="8" s="1"/>
  <c r="I108" i="8" s="1"/>
  <c r="I109" i="8" s="1"/>
  <c r="I110" i="8" s="1"/>
  <c r="I111" i="8" s="1"/>
  <c r="I112" i="8" s="1"/>
  <c r="I113" i="8" s="1"/>
  <c r="I114" i="8" s="1"/>
  <c r="I115" i="8" s="1"/>
  <c r="I116" i="8" s="1"/>
  <c r="I117" i="8" s="1"/>
  <c r="I118" i="8" s="1"/>
  <c r="I119" i="8" s="1"/>
  <c r="I120" i="8" s="1"/>
  <c r="I121" i="8" s="1"/>
  <c r="I122" i="8" s="1"/>
  <c r="I123" i="8" s="1"/>
  <c r="I124" i="8" s="1"/>
  <c r="I125" i="8" s="1"/>
  <c r="I126" i="8" s="1"/>
  <c r="I127" i="8" s="1"/>
  <c r="I128" i="8" s="1"/>
  <c r="I129" i="8" s="1"/>
  <c r="I130" i="8" s="1"/>
  <c r="I131" i="8" s="1"/>
  <c r="I132" i="8" s="1"/>
  <c r="I133" i="8" s="1"/>
  <c r="I134" i="8" s="1"/>
  <c r="I135" i="8" s="1"/>
  <c r="I136" i="8" s="1"/>
  <c r="I137" i="8" s="1"/>
  <c r="I138" i="8" s="1"/>
  <c r="I139" i="8" s="1"/>
  <c r="I140" i="8" s="1"/>
  <c r="I141" i="8" s="1"/>
  <c r="I142" i="8" s="1"/>
  <c r="I143" i="8" s="1"/>
  <c r="I144" i="8" s="1"/>
  <c r="I145" i="8" s="1"/>
  <c r="I146" i="8" s="1"/>
  <c r="I147" i="8" s="1"/>
  <c r="I148" i="8" s="1"/>
  <c r="I149" i="8" s="1"/>
  <c r="I150" i="8" s="1"/>
  <c r="I151" i="8" s="1"/>
  <c r="I152" i="8" s="1"/>
  <c r="I153" i="8" s="1"/>
  <c r="I154" i="8" s="1"/>
  <c r="I155" i="8" s="1"/>
  <c r="I156" i="8" s="1"/>
  <c r="I157" i="8" s="1"/>
  <c r="I158" i="8" s="1"/>
  <c r="I159" i="8" s="1"/>
  <c r="I160" i="8" s="1"/>
  <c r="I161" i="8" s="1"/>
  <c r="I162" i="8" s="1"/>
  <c r="I163" i="8" s="1"/>
  <c r="I164" i="8" s="1"/>
  <c r="I165" i="8" s="1"/>
  <c r="I166" i="8" s="1"/>
  <c r="AI84" i="8"/>
  <c r="AI85" i="8" s="1"/>
  <c r="AI86" i="8" s="1"/>
  <c r="AI87" i="8" s="1"/>
  <c r="AI88" i="8" s="1"/>
  <c r="AI89" i="8" s="1"/>
  <c r="AI90" i="8" s="1"/>
  <c r="AI91" i="8" s="1"/>
  <c r="AI92" i="8" s="1"/>
  <c r="AI93" i="8" s="1"/>
  <c r="AI94" i="8" s="1"/>
  <c r="AI95" i="8" s="1"/>
  <c r="AI96" i="8" s="1"/>
  <c r="AI97" i="8" s="1"/>
  <c r="AI98" i="8" s="1"/>
  <c r="AI99" i="8" s="1"/>
  <c r="AI100" i="8" s="1"/>
  <c r="AI101" i="8" s="1"/>
  <c r="AI102" i="8" s="1"/>
  <c r="AI103" i="8" s="1"/>
  <c r="AI104" i="8" s="1"/>
  <c r="AI105" i="8" s="1"/>
  <c r="AI106" i="8" s="1"/>
  <c r="AI107" i="8" s="1"/>
  <c r="AI108" i="8" s="1"/>
  <c r="AI109" i="8" s="1"/>
  <c r="AI110" i="8" s="1"/>
  <c r="AI111" i="8" s="1"/>
  <c r="AI112" i="8" s="1"/>
  <c r="AI113" i="8" s="1"/>
  <c r="AI114" i="8" s="1"/>
  <c r="AI115" i="8" s="1"/>
  <c r="AI116" i="8" s="1"/>
  <c r="AI117" i="8" s="1"/>
  <c r="AI118" i="8" s="1"/>
  <c r="AI119" i="8" s="1"/>
  <c r="AI120" i="8" s="1"/>
  <c r="AI121" i="8" s="1"/>
  <c r="AI122" i="8" s="1"/>
  <c r="AI123" i="8" s="1"/>
  <c r="AI124" i="8" s="1"/>
  <c r="AI125" i="8" s="1"/>
  <c r="AI126" i="8" s="1"/>
  <c r="AI127" i="8" s="1"/>
  <c r="AI128" i="8" s="1"/>
  <c r="AI129" i="8" s="1"/>
  <c r="AI130" i="8" s="1"/>
  <c r="AI131" i="8" s="1"/>
  <c r="AI132" i="8" s="1"/>
  <c r="AI133" i="8" s="1"/>
  <c r="AI134" i="8" s="1"/>
  <c r="AI135" i="8" s="1"/>
  <c r="AI136" i="8" s="1"/>
  <c r="AI137" i="8" s="1"/>
  <c r="AI138" i="8" s="1"/>
  <c r="AI139" i="8" s="1"/>
  <c r="AI140" i="8" s="1"/>
  <c r="AI141" i="8" s="1"/>
  <c r="AI142" i="8" s="1"/>
  <c r="AI143" i="8" s="1"/>
  <c r="AI144" i="8" s="1"/>
  <c r="AI145" i="8" s="1"/>
  <c r="AI146" i="8" s="1"/>
  <c r="AI147" i="8" s="1"/>
  <c r="AI148" i="8" s="1"/>
  <c r="AI149" i="8" s="1"/>
  <c r="AI150" i="8" s="1"/>
  <c r="AI151" i="8" s="1"/>
  <c r="AI152" i="8" s="1"/>
  <c r="AI153" i="8" s="1"/>
  <c r="AI154" i="8" s="1"/>
  <c r="AI155" i="8" s="1"/>
  <c r="AI156" i="8" s="1"/>
  <c r="AI157" i="8" s="1"/>
  <c r="AI158" i="8" s="1"/>
  <c r="AI159" i="8" s="1"/>
  <c r="AI160" i="8" s="1"/>
  <c r="AI161" i="8" s="1"/>
  <c r="AI162" i="8" s="1"/>
  <c r="AI163" i="8" s="1"/>
  <c r="AI164" i="8" s="1"/>
  <c r="AI165" i="8" s="1"/>
  <c r="AI166" i="8" s="1"/>
  <c r="L218" i="7"/>
  <c r="L220" i="7" s="1"/>
  <c r="L222" i="7" s="1"/>
  <c r="L224" i="7" s="1"/>
  <c r="L226" i="7" s="1"/>
  <c r="L228" i="7" s="1"/>
  <c r="L230" i="7" s="1"/>
  <c r="L232" i="7" s="1"/>
  <c r="L234" i="7" s="1"/>
  <c r="L236" i="7" s="1"/>
  <c r="L238" i="7" s="1"/>
  <c r="L240" i="7" s="1"/>
  <c r="L242" i="7" s="1"/>
  <c r="L244" i="7" s="1"/>
  <c r="L246" i="7" s="1"/>
  <c r="L248" i="7" s="1"/>
  <c r="C25" i="7"/>
  <c r="AI172" i="6"/>
  <c r="AI173" i="6" s="1"/>
  <c r="AI174" i="6" s="1"/>
  <c r="AI175" i="6" s="1"/>
  <c r="AI176" i="6" s="1"/>
  <c r="AI177" i="6" s="1"/>
  <c r="AI178" i="6" s="1"/>
  <c r="AI179" i="6" s="1"/>
  <c r="AI180" i="6" s="1"/>
  <c r="AI181" i="6" s="1"/>
  <c r="AI182" i="6" s="1"/>
  <c r="AI183" i="6" s="1"/>
  <c r="AI184" i="6" s="1"/>
  <c r="AI185" i="6" s="1"/>
  <c r="AI186" i="6" s="1"/>
  <c r="AI187" i="6" s="1"/>
  <c r="AI188" i="6" s="1"/>
  <c r="AI189" i="6" s="1"/>
  <c r="AI190" i="6" s="1"/>
  <c r="AI191" i="6" s="1"/>
  <c r="AI192" i="6" s="1"/>
  <c r="AI193" i="6" s="1"/>
  <c r="AI194" i="6" s="1"/>
  <c r="AI195" i="6" s="1"/>
  <c r="AI196" i="6" s="1"/>
  <c r="AI197" i="6" s="1"/>
  <c r="AI198" i="6" s="1"/>
  <c r="AI199" i="6" s="1"/>
  <c r="AI200" i="6" s="1"/>
  <c r="AI201" i="6" s="1"/>
  <c r="AI202" i="6" s="1"/>
  <c r="AI203" i="6" s="1"/>
  <c r="AI204" i="6" s="1"/>
  <c r="AI205" i="6" s="1"/>
  <c r="AI206" i="6" s="1"/>
  <c r="AI207" i="6" s="1"/>
  <c r="AI208" i="6" s="1"/>
  <c r="AI209" i="6" s="1"/>
  <c r="AI210" i="6" s="1"/>
  <c r="AI211" i="6" s="1"/>
  <c r="AI212" i="6" s="1"/>
  <c r="AI213" i="6" s="1"/>
  <c r="AI214" i="6" s="1"/>
  <c r="AI215" i="6" s="1"/>
  <c r="AI216" i="6" s="1"/>
  <c r="AI217" i="6" s="1"/>
  <c r="AI218" i="6" s="1"/>
  <c r="AI219" i="6" s="1"/>
  <c r="AI220" i="6" s="1"/>
  <c r="AI221" i="6" s="1"/>
  <c r="AI222" i="6" s="1"/>
  <c r="AI223" i="6" s="1"/>
  <c r="AI224" i="6" s="1"/>
  <c r="AI225" i="6" s="1"/>
  <c r="AI226" i="6" s="1"/>
  <c r="AI227" i="6" s="1"/>
  <c r="AI228" i="6" s="1"/>
  <c r="AI229" i="6" s="1"/>
  <c r="AI230" i="6" s="1"/>
  <c r="AI231" i="6" s="1"/>
  <c r="AI232" i="6" s="1"/>
  <c r="AI233" i="6" s="1"/>
  <c r="AI234" i="6" s="1"/>
  <c r="AI235" i="6" s="1"/>
  <c r="AI236" i="6" s="1"/>
  <c r="AI237" i="6" s="1"/>
  <c r="AI238" i="6" s="1"/>
  <c r="AI239" i="6" s="1"/>
  <c r="AI240" i="6" s="1"/>
  <c r="AI241" i="6" s="1"/>
  <c r="AI242" i="6" s="1"/>
  <c r="AI243" i="6" s="1"/>
  <c r="AI244" i="6" s="1"/>
  <c r="AI245" i="6" s="1"/>
  <c r="AI246" i="6" s="1"/>
  <c r="AI247" i="6" s="1"/>
  <c r="AI248" i="6" s="1"/>
  <c r="AI249" i="6" s="1"/>
  <c r="AI250" i="6" s="1"/>
  <c r="AI251" i="6" s="1"/>
  <c r="AI252" i="6" s="1"/>
  <c r="AI253" i="6" s="1"/>
  <c r="AI254" i="6" s="1"/>
  <c r="AI255" i="6" s="1"/>
  <c r="AI256" i="6" s="1"/>
  <c r="AI257" i="6" s="1"/>
  <c r="AI258" i="6" s="1"/>
  <c r="AI259" i="6" s="1"/>
  <c r="AI260" i="6" s="1"/>
  <c r="AI261" i="6" s="1"/>
  <c r="AI262" i="6" s="1"/>
  <c r="AI263" i="6" s="1"/>
  <c r="AI264" i="6" s="1"/>
  <c r="AI265" i="6" s="1"/>
  <c r="AI266" i="6" s="1"/>
  <c r="AI267" i="6" s="1"/>
  <c r="AI268" i="6" s="1"/>
  <c r="AI269" i="6" s="1"/>
  <c r="AI270" i="6" s="1"/>
  <c r="AI271" i="6" s="1"/>
  <c r="AI272" i="6" s="1"/>
  <c r="AI273" i="6" s="1"/>
  <c r="AI274" i="6" s="1"/>
  <c r="AI275" i="6" s="1"/>
  <c r="AI276" i="6" s="1"/>
  <c r="AI277" i="6" s="1"/>
  <c r="AI278" i="6" s="1"/>
  <c r="AI279" i="6" s="1"/>
  <c r="AI280" i="6" s="1"/>
  <c r="AI281" i="6" s="1"/>
  <c r="AI282" i="6" s="1"/>
  <c r="AI283" i="6" s="1"/>
  <c r="AI284" i="6" s="1"/>
  <c r="AI285" i="6" s="1"/>
  <c r="AI286" i="6" s="1"/>
  <c r="AI287" i="6" s="1"/>
  <c r="AI288" i="6" s="1"/>
  <c r="AI289" i="6" s="1"/>
  <c r="AI290" i="6" s="1"/>
  <c r="AI291" i="6" s="1"/>
  <c r="AI83" i="6"/>
  <c r="AI84" i="6" s="1"/>
  <c r="AI85" i="6" s="1"/>
  <c r="AI86" i="6" s="1"/>
  <c r="AI87" i="6" s="1"/>
  <c r="AI88" i="6" s="1"/>
  <c r="AI89" i="6" s="1"/>
  <c r="AI90" i="6" s="1"/>
  <c r="AI91" i="6" s="1"/>
  <c r="AI92" i="6" s="1"/>
  <c r="AI93" i="6" s="1"/>
  <c r="AI94" i="6" s="1"/>
  <c r="AI95" i="6" s="1"/>
  <c r="AI96" i="6" s="1"/>
  <c r="AI97" i="6" s="1"/>
  <c r="AI98" i="6" s="1"/>
  <c r="AI99" i="6" s="1"/>
  <c r="AI100" i="6" s="1"/>
  <c r="AI101" i="6" s="1"/>
  <c r="AI102" i="6" s="1"/>
  <c r="AI103" i="6" s="1"/>
  <c r="AI104" i="6" s="1"/>
  <c r="AI105" i="6" s="1"/>
  <c r="AI106" i="6" s="1"/>
  <c r="AI107" i="6" s="1"/>
  <c r="AI108" i="6" s="1"/>
  <c r="AI109" i="6" s="1"/>
  <c r="AI110" i="6" s="1"/>
  <c r="AI111" i="6" s="1"/>
  <c r="AI112" i="6" s="1"/>
  <c r="AI113" i="6" s="1"/>
  <c r="AI114" i="6" s="1"/>
  <c r="AI115" i="6" s="1"/>
  <c r="AI116" i="6" s="1"/>
  <c r="AI117" i="6" s="1"/>
  <c r="AI118" i="6" s="1"/>
  <c r="AI119" i="6" s="1"/>
  <c r="AI120" i="6" s="1"/>
  <c r="AI121" i="6" s="1"/>
  <c r="AI122" i="6" s="1"/>
  <c r="AI123" i="6" s="1"/>
  <c r="AI124" i="6" s="1"/>
  <c r="AI125" i="6" s="1"/>
  <c r="AI126" i="6" s="1"/>
  <c r="AI127" i="6" s="1"/>
  <c r="AI128" i="6" s="1"/>
  <c r="AI129" i="6" s="1"/>
  <c r="AI130" i="6" s="1"/>
  <c r="AI131" i="6" s="1"/>
  <c r="AI132" i="6" s="1"/>
  <c r="AI133" i="6" s="1"/>
  <c r="AI134" i="6" s="1"/>
  <c r="AI135" i="6" s="1"/>
  <c r="AI136" i="6" s="1"/>
  <c r="AI137" i="6" s="1"/>
  <c r="AI138" i="6" s="1"/>
  <c r="AI139" i="6" s="1"/>
  <c r="AI140" i="6" s="1"/>
  <c r="AI141" i="6" s="1"/>
  <c r="AI142" i="6" s="1"/>
  <c r="AI143" i="6" s="1"/>
  <c r="AI144" i="6" s="1"/>
  <c r="AI145" i="6" s="1"/>
  <c r="AI146" i="6" s="1"/>
  <c r="AI147" i="6" s="1"/>
  <c r="AI148" i="6" s="1"/>
  <c r="AI149" i="6" s="1"/>
  <c r="AI150" i="6" s="1"/>
  <c r="AI151" i="6" s="1"/>
  <c r="AI152" i="6" s="1"/>
  <c r="AI153" i="6" s="1"/>
  <c r="AI154" i="6" s="1"/>
  <c r="AI155" i="6" s="1"/>
  <c r="AI156" i="6" s="1"/>
  <c r="AI157" i="6" s="1"/>
  <c r="AI158" i="6" s="1"/>
  <c r="AI159" i="6" s="1"/>
  <c r="AI160" i="6" s="1"/>
  <c r="AI161" i="6" s="1"/>
  <c r="AI162" i="6" s="1"/>
  <c r="AI163" i="6" s="1"/>
  <c r="AI164" i="6" s="1"/>
  <c r="AI165" i="6" s="1"/>
  <c r="AI166" i="6" s="1"/>
  <c r="I172" i="6"/>
  <c r="I173" i="6" s="1"/>
  <c r="I174" i="6" s="1"/>
  <c r="I175" i="6" s="1"/>
  <c r="I176" i="6" s="1"/>
  <c r="I177" i="6" s="1"/>
  <c r="I178" i="6" s="1"/>
  <c r="I179" i="6" s="1"/>
  <c r="I180" i="6" s="1"/>
  <c r="I181" i="6" s="1"/>
  <c r="I182" i="6" s="1"/>
  <c r="I183" i="6" s="1"/>
  <c r="I184" i="6" s="1"/>
  <c r="I185" i="6" s="1"/>
  <c r="I186" i="6" s="1"/>
  <c r="I187" i="6" s="1"/>
  <c r="I188" i="6" s="1"/>
  <c r="I189" i="6" s="1"/>
  <c r="I190" i="6" s="1"/>
  <c r="I191" i="6" s="1"/>
  <c r="I192" i="6" s="1"/>
  <c r="I193" i="6" s="1"/>
  <c r="I194" i="6" s="1"/>
  <c r="I195" i="6" s="1"/>
  <c r="I196" i="6" s="1"/>
  <c r="I197" i="6" s="1"/>
  <c r="I198" i="6" s="1"/>
  <c r="I199" i="6" s="1"/>
  <c r="I200" i="6" s="1"/>
  <c r="I201" i="6" s="1"/>
  <c r="I202" i="6" s="1"/>
  <c r="I203" i="6" s="1"/>
  <c r="I204" i="6" s="1"/>
  <c r="I205" i="6" s="1"/>
  <c r="I206" i="6" s="1"/>
  <c r="I207" i="6" s="1"/>
  <c r="I208" i="6" s="1"/>
  <c r="I209" i="6" s="1"/>
  <c r="I210" i="6" s="1"/>
  <c r="I211" i="6" s="1"/>
  <c r="I212" i="6" s="1"/>
  <c r="I213" i="6" s="1"/>
  <c r="I214" i="6" s="1"/>
  <c r="I215" i="6" s="1"/>
  <c r="I216" i="6" s="1"/>
  <c r="I217" i="6" s="1"/>
  <c r="I218" i="6" s="1"/>
  <c r="I219" i="6" s="1"/>
  <c r="I220" i="6" s="1"/>
  <c r="I221" i="6" s="1"/>
  <c r="I222" i="6" s="1"/>
  <c r="I223" i="6" s="1"/>
  <c r="I224" i="6" s="1"/>
  <c r="I225" i="6" s="1"/>
  <c r="I226" i="6" s="1"/>
  <c r="I227" i="6" s="1"/>
  <c r="I228" i="6" s="1"/>
  <c r="I229" i="6" s="1"/>
  <c r="I230" i="6" s="1"/>
  <c r="I231" i="6" s="1"/>
  <c r="I232" i="6" s="1"/>
  <c r="I233" i="6" s="1"/>
  <c r="I234" i="6" s="1"/>
  <c r="I235" i="6" s="1"/>
  <c r="I236" i="6" s="1"/>
  <c r="I237" i="6" s="1"/>
  <c r="I238" i="6" s="1"/>
  <c r="I239" i="6" s="1"/>
  <c r="I240" i="6" s="1"/>
  <c r="I241" i="6" s="1"/>
  <c r="I242" i="6" s="1"/>
  <c r="I243" i="6" s="1"/>
  <c r="I244" i="6" s="1"/>
  <c r="I245" i="6" s="1"/>
  <c r="I246" i="6" s="1"/>
  <c r="I247" i="6" s="1"/>
  <c r="I248" i="6" s="1"/>
  <c r="I249" i="6" s="1"/>
  <c r="I250" i="6" s="1"/>
  <c r="I251" i="6" s="1"/>
  <c r="I252" i="6" s="1"/>
  <c r="I253" i="6" s="1"/>
  <c r="I254" i="6" s="1"/>
  <c r="I255" i="6" s="1"/>
  <c r="I256" i="6" s="1"/>
  <c r="I257" i="6" s="1"/>
  <c r="I258" i="6" s="1"/>
  <c r="I259" i="6" s="1"/>
  <c r="I260" i="6" s="1"/>
  <c r="I261" i="6" s="1"/>
  <c r="I262" i="6" s="1"/>
  <c r="I263" i="6" s="1"/>
  <c r="I264" i="6" s="1"/>
  <c r="I265" i="6" s="1"/>
  <c r="I266" i="6" s="1"/>
  <c r="I267" i="6" s="1"/>
  <c r="I268" i="6" s="1"/>
  <c r="I269" i="6" s="1"/>
  <c r="I270" i="6" s="1"/>
  <c r="I271" i="6" s="1"/>
  <c r="I272" i="6" s="1"/>
  <c r="I273" i="6" s="1"/>
  <c r="I274" i="6" s="1"/>
  <c r="I275" i="6" s="1"/>
  <c r="I276" i="6" s="1"/>
  <c r="I277" i="6" s="1"/>
  <c r="I278" i="6" s="1"/>
  <c r="I279" i="6" s="1"/>
  <c r="I280" i="6" s="1"/>
  <c r="I281" i="6" s="1"/>
  <c r="I282" i="6" s="1"/>
  <c r="I283" i="6" s="1"/>
  <c r="I284" i="6" s="1"/>
  <c r="I285" i="6" s="1"/>
  <c r="I286" i="6" s="1"/>
  <c r="I287" i="6" s="1"/>
  <c r="I288" i="6" s="1"/>
  <c r="I289" i="6" s="1"/>
  <c r="I290" i="6" s="1"/>
  <c r="I291" i="6" s="1"/>
  <c r="I83" i="6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I135" i="6" s="1"/>
  <c r="I136" i="6" s="1"/>
  <c r="I137" i="6" s="1"/>
  <c r="I138" i="6" s="1"/>
  <c r="I139" i="6" s="1"/>
  <c r="I140" i="6" s="1"/>
  <c r="I141" i="6" s="1"/>
  <c r="I142" i="6" s="1"/>
  <c r="I143" i="6" s="1"/>
  <c r="I144" i="6" s="1"/>
  <c r="I145" i="6" s="1"/>
  <c r="I146" i="6" s="1"/>
  <c r="I147" i="6" s="1"/>
  <c r="I148" i="6" s="1"/>
  <c r="I149" i="6" s="1"/>
  <c r="I150" i="6" s="1"/>
  <c r="I151" i="6" s="1"/>
  <c r="I152" i="6" s="1"/>
  <c r="I153" i="6" s="1"/>
  <c r="I154" i="6" s="1"/>
  <c r="I155" i="6" s="1"/>
  <c r="I156" i="6" s="1"/>
  <c r="I157" i="6" s="1"/>
  <c r="I158" i="6" s="1"/>
  <c r="I159" i="6" s="1"/>
  <c r="I160" i="6" s="1"/>
  <c r="I161" i="6" s="1"/>
  <c r="I162" i="6" s="1"/>
  <c r="I163" i="6" s="1"/>
  <c r="I164" i="6" s="1"/>
  <c r="I165" i="6" s="1"/>
  <c r="I166" i="6" s="1"/>
  <c r="C3" i="6"/>
  <c r="C4" i="6"/>
  <c r="F4" i="6" s="1"/>
  <c r="C25" i="6" l="1"/>
  <c r="H14" i="5" l="1"/>
  <c r="H14" i="4" l="1"/>
  <c r="K14" i="4" s="1"/>
  <c r="H14" i="2"/>
  <c r="H18" i="4"/>
  <c r="K32" i="4"/>
  <c r="K31" i="4"/>
  <c r="K30" i="4"/>
  <c r="K29" i="4"/>
  <c r="K28" i="4"/>
  <c r="K27" i="4"/>
  <c r="K26" i="4"/>
  <c r="K25" i="4"/>
  <c r="I25" i="4"/>
  <c r="I32" i="4"/>
  <c r="I31" i="4"/>
  <c r="I30" i="4"/>
  <c r="I29" i="4"/>
  <c r="I28" i="4"/>
  <c r="I27" i="4"/>
  <c r="I26" i="4"/>
  <c r="I25" i="5"/>
  <c r="L25" i="5" s="1"/>
  <c r="H18" i="5"/>
  <c r="H18" i="2"/>
  <c r="K32" i="5"/>
  <c r="K31" i="5"/>
  <c r="K30" i="5"/>
  <c r="K29" i="5"/>
  <c r="K28" i="5"/>
  <c r="K27" i="5"/>
  <c r="K26" i="5"/>
  <c r="K25" i="5"/>
  <c r="I32" i="5"/>
  <c r="I31" i="5"/>
  <c r="I30" i="5"/>
  <c r="I29" i="5"/>
  <c r="I28" i="5"/>
  <c r="I27" i="5"/>
  <c r="I26" i="5"/>
  <c r="I25" i="2"/>
  <c r="H10" i="4"/>
  <c r="K10" i="4" s="1"/>
  <c r="Q18" i="4"/>
  <c r="P18" i="4" s="1"/>
  <c r="P32" i="4" s="1"/>
  <c r="C15" i="7" s="1"/>
  <c r="Q17" i="4"/>
  <c r="P17" i="4" s="1"/>
  <c r="P31" i="4" s="1"/>
  <c r="C14" i="7" s="1"/>
  <c r="Q16" i="4"/>
  <c r="P16" i="4" s="1"/>
  <c r="P30" i="4" s="1"/>
  <c r="C13" i="7" s="1"/>
  <c r="Q14" i="4"/>
  <c r="Q13" i="4"/>
  <c r="P13" i="4" s="1"/>
  <c r="P27" i="4" s="1"/>
  <c r="C10" i="7" s="1"/>
  <c r="Q11" i="4"/>
  <c r="P11" i="4" s="1"/>
  <c r="P25" i="4" s="1"/>
  <c r="C8" i="7" s="1"/>
  <c r="Q10" i="4"/>
  <c r="P10" i="4" s="1"/>
  <c r="P24" i="4" s="1"/>
  <c r="C7" i="7" s="1"/>
  <c r="Q20" i="5"/>
  <c r="P20" i="5" s="1"/>
  <c r="Q19" i="5"/>
  <c r="P19" i="5" s="1"/>
  <c r="Q18" i="5"/>
  <c r="P18" i="5" s="1"/>
  <c r="Q16" i="5"/>
  <c r="P16" i="5" s="1"/>
  <c r="Q13" i="5"/>
  <c r="P13" i="5" s="1"/>
  <c r="Q11" i="5"/>
  <c r="P11" i="5" s="1"/>
  <c r="Q10" i="5"/>
  <c r="Q17" i="5"/>
  <c r="Q14" i="5"/>
  <c r="H10" i="5"/>
  <c r="K10" i="5" s="1"/>
  <c r="H10" i="2"/>
  <c r="K10" i="2" s="1"/>
  <c r="C16" i="8" l="1"/>
  <c r="P35" i="5"/>
  <c r="C17" i="8"/>
  <c r="P36" i="5"/>
  <c r="P27" i="5"/>
  <c r="C8" i="8"/>
  <c r="C13" i="8"/>
  <c r="P32" i="5"/>
  <c r="P29" i="5"/>
  <c r="C10" i="8"/>
  <c r="C15" i="8"/>
  <c r="P34" i="5"/>
  <c r="D8" i="7"/>
  <c r="Q25" i="4" s="1"/>
  <c r="E8" i="7"/>
  <c r="R25" i="4" s="1"/>
  <c r="E10" i="7"/>
  <c r="R27" i="4" s="1"/>
  <c r="D10" i="7"/>
  <c r="Q27" i="4" s="1"/>
  <c r="E13" i="7"/>
  <c r="R30" i="4" s="1"/>
  <c r="D13" i="7"/>
  <c r="Q30" i="4" s="1"/>
  <c r="E14" i="7"/>
  <c r="R31" i="4" s="1"/>
  <c r="D14" i="7"/>
  <c r="Q31" i="4" s="1"/>
  <c r="D15" i="7"/>
  <c r="Q32" i="4" s="1"/>
  <c r="E15" i="7"/>
  <c r="R32" i="4" s="1"/>
  <c r="E7" i="7"/>
  <c r="R24" i="4" s="1"/>
  <c r="D7" i="7"/>
  <c r="Q24" i="4" s="1"/>
  <c r="Q15" i="5"/>
  <c r="Q12" i="5"/>
  <c r="P10" i="5"/>
  <c r="P14" i="5"/>
  <c r="P17" i="5"/>
  <c r="Q15" i="4"/>
  <c r="Q19" i="4" s="1"/>
  <c r="P12" i="4"/>
  <c r="P26" i="4" s="1"/>
  <c r="C9" i="7" s="1"/>
  <c r="P14" i="4"/>
  <c r="P19" i="4"/>
  <c r="P33" i="4" s="1"/>
  <c r="C16" i="7" s="1"/>
  <c r="Q12" i="4"/>
  <c r="Q21" i="5"/>
  <c r="K32" i="2"/>
  <c r="K31" i="2"/>
  <c r="K30" i="2"/>
  <c r="K29" i="2"/>
  <c r="K28" i="2"/>
  <c r="K27" i="2"/>
  <c r="K26" i="2"/>
  <c r="K25" i="2"/>
  <c r="I32" i="2"/>
  <c r="I31" i="2"/>
  <c r="I30" i="2"/>
  <c r="I29" i="2"/>
  <c r="I28" i="2"/>
  <c r="I27" i="2"/>
  <c r="I26" i="2"/>
  <c r="Q20" i="2"/>
  <c r="P20" i="2" s="1"/>
  <c r="P36" i="2" s="1"/>
  <c r="C17" i="6" s="1"/>
  <c r="Q19" i="2"/>
  <c r="P19" i="2" s="1"/>
  <c r="P35" i="2" s="1"/>
  <c r="C16" i="6" s="1"/>
  <c r="Q18" i="2"/>
  <c r="P18" i="2" s="1"/>
  <c r="P34" i="2" s="1"/>
  <c r="C15" i="6" s="1"/>
  <c r="Q17" i="2"/>
  <c r="Q10" i="2"/>
  <c r="Q16" i="2"/>
  <c r="P16" i="2" s="1"/>
  <c r="P32" i="2" s="1"/>
  <c r="C13" i="6" s="1"/>
  <c r="Q14" i="2"/>
  <c r="Q13" i="2"/>
  <c r="P13" i="2" s="1"/>
  <c r="P29" i="2" s="1"/>
  <c r="C10" i="6" s="1"/>
  <c r="Q11" i="2"/>
  <c r="P11" i="2" s="1"/>
  <c r="P27" i="2" s="1"/>
  <c r="C8" i="6" s="1"/>
  <c r="E13" i="8" l="1"/>
  <c r="D13" i="8"/>
  <c r="P15" i="5"/>
  <c r="P30" i="5"/>
  <c r="C11" i="8"/>
  <c r="D10" i="8"/>
  <c r="E10" i="8"/>
  <c r="E17" i="8"/>
  <c r="D17" i="8"/>
  <c r="E8" i="8"/>
  <c r="D8" i="8"/>
  <c r="P12" i="5"/>
  <c r="C7" i="8"/>
  <c r="P26" i="5"/>
  <c r="D15" i="8"/>
  <c r="E15" i="8"/>
  <c r="P21" i="5"/>
  <c r="C14" i="8"/>
  <c r="P33" i="5"/>
  <c r="D16" i="8"/>
  <c r="E16" i="8"/>
  <c r="F15" i="7"/>
  <c r="S32" i="4" s="1"/>
  <c r="G15" i="7"/>
  <c r="U32" i="4" s="1"/>
  <c r="G14" i="7"/>
  <c r="U31" i="4" s="1"/>
  <c r="F14" i="7"/>
  <c r="S31" i="4" s="1"/>
  <c r="E9" i="7"/>
  <c r="R26" i="4" s="1"/>
  <c r="D9" i="7"/>
  <c r="Q26" i="4" s="1"/>
  <c r="P15" i="4"/>
  <c r="P29" i="4" s="1"/>
  <c r="C12" i="7" s="1"/>
  <c r="P28" i="4"/>
  <c r="C11" i="7" s="1"/>
  <c r="G13" i="7"/>
  <c r="U30" i="4" s="1"/>
  <c r="F13" i="7"/>
  <c r="S30" i="4" s="1"/>
  <c r="G10" i="7"/>
  <c r="U27" i="4" s="1"/>
  <c r="F10" i="7"/>
  <c r="S27" i="4" s="1"/>
  <c r="F7" i="7"/>
  <c r="S24" i="4" s="1"/>
  <c r="G7" i="7"/>
  <c r="U24" i="4" s="1"/>
  <c r="E16" i="7"/>
  <c r="R33" i="4" s="1"/>
  <c r="D16" i="7"/>
  <c r="Q33" i="4" s="1"/>
  <c r="G8" i="7"/>
  <c r="U25" i="4" s="1"/>
  <c r="F8" i="7"/>
  <c r="S25" i="4" s="1"/>
  <c r="D17" i="6"/>
  <c r="E17" i="6"/>
  <c r="R36" i="2" s="1"/>
  <c r="D10" i="6"/>
  <c r="E10" i="6"/>
  <c r="R29" i="2" s="1"/>
  <c r="D13" i="6"/>
  <c r="E13" i="6"/>
  <c r="R32" i="2" s="1"/>
  <c r="D15" i="6"/>
  <c r="E15" i="6"/>
  <c r="R34" i="2" s="1"/>
  <c r="E16" i="6"/>
  <c r="R35" i="2" s="1"/>
  <c r="D16" i="6"/>
  <c r="E8" i="6"/>
  <c r="R27" i="2" s="1"/>
  <c r="D8" i="6"/>
  <c r="Q15" i="2"/>
  <c r="P10" i="2"/>
  <c r="Q22" i="5"/>
  <c r="Q20" i="4"/>
  <c r="P20" i="4"/>
  <c r="P34" i="4" s="1"/>
  <c r="C17" i="7" s="1"/>
  <c r="Q12" i="2"/>
  <c r="P14" i="2"/>
  <c r="Q21" i="2"/>
  <c r="P17" i="2"/>
  <c r="L30" i="5"/>
  <c r="L29" i="5"/>
  <c r="L31" i="5"/>
  <c r="L28" i="5"/>
  <c r="K14" i="5"/>
  <c r="B37" i="5"/>
  <c r="B38" i="5" s="1"/>
  <c r="B39" i="5" s="1"/>
  <c r="B40" i="5" s="1"/>
  <c r="L32" i="5"/>
  <c r="K18" i="5"/>
  <c r="I18" i="5"/>
  <c r="E10" i="5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B10" i="5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L25" i="4"/>
  <c r="L29" i="4"/>
  <c r="L27" i="4"/>
  <c r="L26" i="4"/>
  <c r="I18" i="4"/>
  <c r="I14" i="4"/>
  <c r="B37" i="4"/>
  <c r="B38" i="4" s="1"/>
  <c r="L32" i="4"/>
  <c r="L31" i="4"/>
  <c r="E10" i="4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B10" i="4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I14" i="2"/>
  <c r="L31" i="2"/>
  <c r="L30" i="2"/>
  <c r="L29" i="2"/>
  <c r="L27" i="2"/>
  <c r="L26" i="2"/>
  <c r="L25" i="2"/>
  <c r="I18" i="2"/>
  <c r="P28" i="5" l="1"/>
  <c r="C9" i="8"/>
  <c r="G8" i="8"/>
  <c r="F8" i="8"/>
  <c r="G10" i="8"/>
  <c r="F10" i="8"/>
  <c r="D11" i="8"/>
  <c r="E11" i="8"/>
  <c r="F15" i="8"/>
  <c r="G15" i="8"/>
  <c r="C12" i="8"/>
  <c r="P31" i="5"/>
  <c r="F17" i="8"/>
  <c r="G17" i="8"/>
  <c r="D14" i="8"/>
  <c r="E14" i="8"/>
  <c r="G13" i="8"/>
  <c r="F13" i="8"/>
  <c r="F16" i="8"/>
  <c r="G16" i="8"/>
  <c r="P22" i="5"/>
  <c r="C18" i="8"/>
  <c r="P37" i="5"/>
  <c r="E7" i="8"/>
  <c r="D7" i="8"/>
  <c r="D11" i="7"/>
  <c r="Q28" i="4" s="1"/>
  <c r="E11" i="7"/>
  <c r="R28" i="4" s="1"/>
  <c r="D12" i="7"/>
  <c r="Q29" i="4" s="1"/>
  <c r="E12" i="7"/>
  <c r="R29" i="4" s="1"/>
  <c r="G9" i="7"/>
  <c r="U26" i="4" s="1"/>
  <c r="F9" i="7"/>
  <c r="S26" i="4" s="1"/>
  <c r="G16" i="7"/>
  <c r="U33" i="4" s="1"/>
  <c r="F16" i="7"/>
  <c r="S33" i="4" s="1"/>
  <c r="E17" i="7"/>
  <c r="R34" i="4" s="1"/>
  <c r="D17" i="7"/>
  <c r="Q34" i="4" s="1"/>
  <c r="G17" i="6"/>
  <c r="U36" i="2" s="1"/>
  <c r="Q36" i="2"/>
  <c r="F17" i="6"/>
  <c r="S36" i="2" s="1"/>
  <c r="P21" i="2"/>
  <c r="P37" i="2" s="1"/>
  <c r="C18" i="6" s="1"/>
  <c r="E18" i="6" s="1"/>
  <c r="R37" i="2" s="1"/>
  <c r="P33" i="2"/>
  <c r="C14" i="6" s="1"/>
  <c r="Q29" i="2"/>
  <c r="F10" i="6"/>
  <c r="S29" i="2" s="1"/>
  <c r="G10" i="6"/>
  <c r="U29" i="2" s="1"/>
  <c r="Q32" i="2"/>
  <c r="G13" i="6"/>
  <c r="U32" i="2" s="1"/>
  <c r="F13" i="6"/>
  <c r="S32" i="2" s="1"/>
  <c r="G15" i="6"/>
  <c r="U34" i="2" s="1"/>
  <c r="Q34" i="2"/>
  <c r="F15" i="6"/>
  <c r="S34" i="2" s="1"/>
  <c r="P15" i="2"/>
  <c r="P31" i="2" s="1"/>
  <c r="C12" i="6" s="1"/>
  <c r="P30" i="2"/>
  <c r="C11" i="6" s="1"/>
  <c r="Q35" i="2"/>
  <c r="F16" i="6"/>
  <c r="S35" i="2" s="1"/>
  <c r="G16" i="6"/>
  <c r="U35" i="2" s="1"/>
  <c r="F8" i="6"/>
  <c r="S27" i="2" s="1"/>
  <c r="Q27" i="2"/>
  <c r="G8" i="6"/>
  <c r="U27" i="2" s="1"/>
  <c r="P12" i="2"/>
  <c r="P26" i="2"/>
  <c r="Q22" i="2"/>
  <c r="L32" i="2"/>
  <c r="L28" i="2"/>
  <c r="L27" i="5"/>
  <c r="L26" i="5"/>
  <c r="I14" i="5"/>
  <c r="K18" i="4"/>
  <c r="L30" i="4"/>
  <c r="L28" i="4"/>
  <c r="K18" i="2"/>
  <c r="K14" i="2"/>
  <c r="D12" i="8" l="1"/>
  <c r="E12" i="8"/>
  <c r="D18" i="8"/>
  <c r="E18" i="8"/>
  <c r="G11" i="8"/>
  <c r="F11" i="8"/>
  <c r="G14" i="8"/>
  <c r="F14" i="8"/>
  <c r="D9" i="8"/>
  <c r="E9" i="8"/>
  <c r="C19" i="8"/>
  <c r="P38" i="5"/>
  <c r="G7" i="8"/>
  <c r="F7" i="8"/>
  <c r="F12" i="7"/>
  <c r="S29" i="4" s="1"/>
  <c r="G12" i="7"/>
  <c r="U29" i="4" s="1"/>
  <c r="F17" i="7"/>
  <c r="S34" i="4" s="1"/>
  <c r="G17" i="7"/>
  <c r="U34" i="4" s="1"/>
  <c r="F11" i="7"/>
  <c r="S28" i="4" s="1"/>
  <c r="G11" i="7"/>
  <c r="U28" i="4" s="1"/>
  <c r="D18" i="6"/>
  <c r="F18" i="6" s="1"/>
  <c r="S37" i="2" s="1"/>
  <c r="E14" i="6"/>
  <c r="R33" i="2" s="1"/>
  <c r="D14" i="6"/>
  <c r="E11" i="6"/>
  <c r="R30" i="2" s="1"/>
  <c r="D11" i="6"/>
  <c r="D12" i="6"/>
  <c r="E12" i="6"/>
  <c r="R31" i="2" s="1"/>
  <c r="P22" i="2"/>
  <c r="P38" i="2" s="1"/>
  <c r="P28" i="2"/>
  <c r="C7" i="6"/>
  <c r="H22" i="2"/>
  <c r="K22" i="2" s="1"/>
  <c r="H22" i="5"/>
  <c r="I22" i="5" s="1"/>
  <c r="H22" i="4"/>
  <c r="K22" i="4" s="1"/>
  <c r="B37" i="2"/>
  <c r="B38" i="2" s="1"/>
  <c r="B39" i="2" s="1"/>
  <c r="B40" i="2" s="1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G18" i="8" l="1"/>
  <c r="F18" i="8"/>
  <c r="D19" i="8"/>
  <c r="E19" i="8"/>
  <c r="G9" i="8"/>
  <c r="F9" i="8"/>
  <c r="F12" i="8"/>
  <c r="G12" i="8"/>
  <c r="G18" i="6"/>
  <c r="U37" i="2" s="1"/>
  <c r="Q37" i="2"/>
  <c r="F14" i="6"/>
  <c r="S33" i="2" s="1"/>
  <c r="G14" i="6"/>
  <c r="U33" i="2" s="1"/>
  <c r="Q33" i="2"/>
  <c r="F12" i="6"/>
  <c r="S31" i="2" s="1"/>
  <c r="Q31" i="2"/>
  <c r="G12" i="6"/>
  <c r="U31" i="2" s="1"/>
  <c r="G11" i="6"/>
  <c r="U30" i="2" s="1"/>
  <c r="Q30" i="2"/>
  <c r="F11" i="6"/>
  <c r="S30" i="2" s="1"/>
  <c r="E7" i="6"/>
  <c r="R26" i="2" s="1"/>
  <c r="D7" i="6"/>
  <c r="C9" i="6"/>
  <c r="C19" i="6"/>
  <c r="I22" i="2"/>
  <c r="K22" i="5"/>
  <c r="I22" i="4"/>
  <c r="G19" i="8" l="1"/>
  <c r="F19" i="8"/>
  <c r="D19" i="6"/>
  <c r="E19" i="6"/>
  <c r="R38" i="2" s="1"/>
  <c r="D9" i="6"/>
  <c r="E9" i="6"/>
  <c r="R28" i="2" s="1"/>
  <c r="F7" i="6"/>
  <c r="S26" i="2" s="1"/>
  <c r="G7" i="6"/>
  <c r="U26" i="2" s="1"/>
  <c r="Q26" i="2"/>
  <c r="Q28" i="2" l="1"/>
  <c r="F9" i="6"/>
  <c r="S28" i="2" s="1"/>
  <c r="G9" i="6"/>
  <c r="U28" i="2" s="1"/>
  <c r="Q38" i="2"/>
  <c r="G19" i="6"/>
  <c r="U38" i="2" s="1"/>
  <c r="F19" i="6"/>
  <c r="S38" i="2" s="1"/>
</calcChain>
</file>

<file path=xl/sharedStrings.xml><?xml version="1.0" encoding="utf-8"?>
<sst xmlns="http://schemas.openxmlformats.org/spreadsheetml/2006/main" count="2197" uniqueCount="98">
  <si>
    <t>BRIEF-2 Parent</t>
  </si>
  <si>
    <t xml:space="preserve">Directions: Enter all information in the green boxes. </t>
  </si>
  <si>
    <t>Use the following code:</t>
  </si>
  <si>
    <t xml:space="preserve">Age: </t>
  </si>
  <si>
    <t>5-7</t>
  </si>
  <si>
    <t>1 = Never</t>
  </si>
  <si>
    <t>3 = Often</t>
  </si>
  <si>
    <t xml:space="preserve">Gender: </t>
  </si>
  <si>
    <t>Boys</t>
  </si>
  <si>
    <t>2 = Sometimes</t>
  </si>
  <si>
    <t>? = (Skipped)</t>
  </si>
  <si>
    <t>Raw Score</t>
  </si>
  <si>
    <t>Total Missing Items:</t>
  </si>
  <si>
    <t>Raw Score Calculation:</t>
  </si>
  <si>
    <t>Item</t>
  </si>
  <si>
    <t>Total:</t>
  </si>
  <si>
    <t>Limit:</t>
  </si>
  <si>
    <t>Classification:</t>
  </si>
  <si>
    <t>Scale/Index/Comp</t>
  </si>
  <si>
    <t># Missing</t>
  </si>
  <si>
    <t>Inhibit</t>
  </si>
  <si>
    <t>Self-Monitor</t>
  </si>
  <si>
    <t>Negativity Scale:</t>
  </si>
  <si>
    <t>BRI</t>
  </si>
  <si>
    <t>Score:</t>
  </si>
  <si>
    <t xml:space="preserve">Percentile: </t>
  </si>
  <si>
    <t>Shift</t>
  </si>
  <si>
    <t>Emotional Control</t>
  </si>
  <si>
    <t>ERI</t>
  </si>
  <si>
    <t>Infrequency Scale:</t>
  </si>
  <si>
    <t>Initiate</t>
  </si>
  <si>
    <t>Working Memory</t>
  </si>
  <si>
    <t>Plan/Organize</t>
  </si>
  <si>
    <t>Task-Monitor</t>
  </si>
  <si>
    <t>Inconsistency Scale:</t>
  </si>
  <si>
    <t>Org. of Materials</t>
  </si>
  <si>
    <t>CRI</t>
  </si>
  <si>
    <t>GEC</t>
  </si>
  <si>
    <t>Item no.</t>
  </si>
  <si>
    <t>Score</t>
  </si>
  <si>
    <t>Difference</t>
  </si>
  <si>
    <t>Scoring Summary Table</t>
  </si>
  <si>
    <t>T-Score</t>
  </si>
  <si>
    <t xml:space="preserve">%ile </t>
  </si>
  <si>
    <t>90% CI</t>
  </si>
  <si>
    <t>-</t>
  </si>
  <si>
    <t>BRIEF-2 Teacher</t>
  </si>
  <si>
    <t>Select:</t>
  </si>
  <si>
    <t>Raw Scores Calculation:</t>
  </si>
  <si>
    <t>TEACHER T-SCORES, %ILES AND CIs NOT YET AVAILABLE</t>
  </si>
  <si>
    <t>BRIEF-2 Self</t>
  </si>
  <si>
    <t>14-18</t>
  </si>
  <si>
    <t>Task Completion</t>
  </si>
  <si>
    <t>Gender:</t>
  </si>
  <si>
    <t>Column Adjust:</t>
  </si>
  <si>
    <t>Inhibition - T-Scores</t>
  </si>
  <si>
    <t>Self-Montor - T-Scores</t>
  </si>
  <si>
    <t>Shift - T-Scores</t>
  </si>
  <si>
    <t>Inhibition - Percentiles</t>
  </si>
  <si>
    <t>Self-Montor - Percentiles</t>
  </si>
  <si>
    <t>Shift - Percentiles</t>
  </si>
  <si>
    <t>Girls</t>
  </si>
  <si>
    <t>Scale</t>
  </si>
  <si>
    <t>Raw</t>
  </si>
  <si>
    <t>T Score</t>
  </si>
  <si>
    <t>%ile</t>
  </si>
  <si>
    <t xml:space="preserve">Raw </t>
  </si>
  <si>
    <t>8-10</t>
  </si>
  <si>
    <t>11-13</t>
  </si>
  <si>
    <t>&gt;90</t>
  </si>
  <si>
    <t>&gt;99</t>
  </si>
  <si>
    <t>Self-Mon.</t>
  </si>
  <si>
    <t>Emo Ctrl.</t>
  </si>
  <si>
    <t>Work Mem.</t>
  </si>
  <si>
    <t>Plan/Org.</t>
  </si>
  <si>
    <t>Task-Mon.</t>
  </si>
  <si>
    <t>Org. Mat.</t>
  </si>
  <si>
    <t>Final Column:</t>
  </si>
  <si>
    <t>CI</t>
  </si>
  <si>
    <t>Emotional Control - T-Scores</t>
  </si>
  <si>
    <t>Initiate - T-Scores</t>
  </si>
  <si>
    <t>Working Memory - T-Scores</t>
  </si>
  <si>
    <t>Emotional Control - Percentiles</t>
  </si>
  <si>
    <t>Initiate - Percentiles</t>
  </si>
  <si>
    <t>Working Memory - Percentiles</t>
  </si>
  <si>
    <t>Plan/Organize - T-Scores</t>
  </si>
  <si>
    <t>Task-Monitor T-Scores</t>
  </si>
  <si>
    <t>Organization of Materials - T-Scores</t>
  </si>
  <si>
    <t>Plan/Organize - Percentiles</t>
  </si>
  <si>
    <t>Task-Monitor - Percentiles</t>
  </si>
  <si>
    <t>Organization of Materials - Percentiles</t>
  </si>
  <si>
    <t>Behavior Regulation</t>
  </si>
  <si>
    <t>Emotion Regulation</t>
  </si>
  <si>
    <t>Cognitive Regulation</t>
  </si>
  <si>
    <t>Global Executive Composite</t>
  </si>
  <si>
    <t>Task Com.</t>
  </si>
  <si>
    <t>Task Completion - T-Scores</t>
  </si>
  <si>
    <t>Task Completion - Percentiles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</si>
</sst>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5050"/>
      <name val="Calibri"/>
      <family val="2"/>
      <scheme val="minor"/>
    </font>
    <font>
      <u/>
      <sz val="11"/>
      <color rgb="FFFF5050"/>
      <name val="Calibri"/>
      <family val="2"/>
      <scheme val="minor"/>
    </font>
    <font>
      <b/>
      <sz val="11"/>
      <color rgb="FFFF5050"/>
      <name val="Calibri"/>
      <family val="2"/>
      <scheme val="minor"/>
    </font>
    <font>
      <b/>
      <u/>
      <sz val="11"/>
      <color rgb="FFFF5050"/>
      <name val="Calibri"/>
      <family val="2"/>
      <scheme val="minor"/>
    </font>
    <font>
      <i/>
      <sz val="11"/>
      <color rgb="FFFF505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63377788628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/>
      <top style="thick">
        <color theme="7"/>
      </top>
      <bottom/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/>
      <bottom/>
      <diagonal/>
    </border>
    <border>
      <left/>
      <right style="thick">
        <color theme="7"/>
      </right>
      <top/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 style="thick">
        <color theme="7"/>
      </left>
      <right style="thick">
        <color theme="7"/>
      </right>
      <top/>
      <bottom style="thick">
        <color theme="7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 style="thick">
        <color theme="8"/>
      </left>
      <right/>
      <top style="thick">
        <color theme="8"/>
      </top>
      <bottom/>
      <diagonal/>
    </border>
    <border>
      <left/>
      <right/>
      <top style="thick">
        <color theme="8"/>
      </top>
      <bottom/>
      <diagonal/>
    </border>
    <border>
      <left/>
      <right style="thick">
        <color theme="8"/>
      </right>
      <top style="thick">
        <color theme="8"/>
      </top>
      <bottom/>
      <diagonal/>
    </border>
    <border>
      <left style="thick">
        <color theme="8"/>
      </left>
      <right/>
      <top/>
      <bottom/>
      <diagonal/>
    </border>
    <border>
      <left/>
      <right style="thick">
        <color theme="8"/>
      </right>
      <top/>
      <bottom/>
      <diagonal/>
    </border>
    <border>
      <left style="thick">
        <color theme="8"/>
      </left>
      <right/>
      <top/>
      <bottom style="thick">
        <color theme="8"/>
      </bottom>
      <diagonal/>
    </border>
    <border>
      <left/>
      <right/>
      <top/>
      <bottom style="thick">
        <color theme="8"/>
      </bottom>
      <diagonal/>
    </border>
    <border>
      <left/>
      <right style="thick">
        <color theme="8"/>
      </right>
      <top/>
      <bottom style="thick">
        <color theme="8"/>
      </bottom>
      <diagonal/>
    </border>
    <border>
      <left style="thick">
        <color theme="7"/>
      </left>
      <right style="thick">
        <color theme="7"/>
      </right>
      <top style="thick">
        <color theme="7"/>
      </top>
      <bottom/>
      <diagonal/>
    </border>
    <border>
      <left style="thick">
        <color theme="7"/>
      </left>
      <right style="thick">
        <color theme="7"/>
      </right>
      <top/>
      <bottom/>
      <diagonal/>
    </border>
    <border>
      <left style="thick">
        <color theme="9"/>
      </left>
      <right style="thick">
        <color theme="9"/>
      </right>
      <top style="thick">
        <color theme="9"/>
      </top>
      <bottom/>
      <diagonal/>
    </border>
    <border>
      <left style="thick">
        <color theme="9"/>
      </left>
      <right style="thick">
        <color theme="9"/>
      </right>
      <top/>
      <bottom/>
      <diagonal/>
    </border>
    <border>
      <left style="thick">
        <color theme="9"/>
      </left>
      <right style="thick">
        <color theme="9"/>
      </right>
      <top/>
      <bottom style="thick">
        <color theme="9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theme="7"/>
      </left>
      <right style="thick">
        <color theme="7"/>
      </right>
      <top style="thick">
        <color theme="7"/>
      </top>
      <bottom style="thick">
        <color theme="7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7" xfId="0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/>
    <xf numFmtId="0" fontId="3" fillId="0" borderId="7" xfId="0" applyFont="1" applyBorder="1"/>
    <xf numFmtId="0" fontId="3" fillId="0" borderId="0" xfId="0" applyFont="1" applyAlignment="1">
      <alignment horizontal="left"/>
    </xf>
    <xf numFmtId="0" fontId="0" fillId="0" borderId="5" xfId="0" applyBorder="1"/>
    <xf numFmtId="0" fontId="3" fillId="0" borderId="6" xfId="0" applyFont="1" applyBorder="1"/>
    <xf numFmtId="0" fontId="0" fillId="0" borderId="8" xfId="0" applyBorder="1"/>
    <xf numFmtId="0" fontId="1" fillId="0" borderId="0" xfId="0" applyFont="1"/>
    <xf numFmtId="2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0" applyFont="1"/>
    <xf numFmtId="0" fontId="2" fillId="0" borderId="0" xfId="0" applyFont="1"/>
    <xf numFmtId="0" fontId="4" fillId="0" borderId="0" xfId="0" applyFont="1"/>
    <xf numFmtId="0" fontId="2" fillId="2" borderId="5" xfId="0" applyFont="1" applyFill="1" applyBorder="1" applyAlignment="1">
      <alignment horizontal="center"/>
    </xf>
    <xf numFmtId="0" fontId="7" fillId="0" borderId="5" xfId="0" applyFont="1" applyBorder="1"/>
    <xf numFmtId="0" fontId="2" fillId="3" borderId="5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7" fillId="0" borderId="0" xfId="0" applyFont="1"/>
    <xf numFmtId="0" fontId="2" fillId="3" borderId="0" xfId="0" applyFont="1" applyFill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2" fillId="2" borderId="5" xfId="0" applyFont="1" applyFill="1" applyBorder="1" applyAlignment="1">
      <alignment horizontal="left"/>
    </xf>
    <xf numFmtId="0" fontId="2" fillId="3" borderId="0" xfId="0" applyFont="1" applyFill="1"/>
    <xf numFmtId="0" fontId="2" fillId="3" borderId="5" xfId="0" applyFont="1" applyFill="1" applyBorder="1" applyAlignment="1">
      <alignment horizontal="left"/>
    </xf>
    <xf numFmtId="0" fontId="2" fillId="3" borderId="7" xfId="0" applyFont="1" applyFill="1" applyBorder="1"/>
    <xf numFmtId="0" fontId="2" fillId="3" borderId="8" xfId="0" applyFont="1" applyFill="1" applyBorder="1" applyAlignment="1">
      <alignment horizontal="left"/>
    </xf>
    <xf numFmtId="0" fontId="2" fillId="4" borderId="0" xfId="0" applyFont="1" applyFill="1" applyAlignment="1" applyProtection="1">
      <alignment horizontal="center"/>
      <protection locked="0"/>
    </xf>
    <xf numFmtId="0" fontId="2" fillId="4" borderId="7" xfId="0" applyFont="1" applyFill="1" applyBorder="1" applyAlignment="1" applyProtection="1">
      <alignment horizontal="center"/>
      <protection locked="0"/>
    </xf>
    <xf numFmtId="0" fontId="2" fillId="4" borderId="5" xfId="0" applyFont="1" applyFill="1" applyBorder="1" applyAlignment="1" applyProtection="1">
      <alignment horizontal="center"/>
      <protection locked="0"/>
    </xf>
    <xf numFmtId="0" fontId="2" fillId="7" borderId="0" xfId="0" applyFont="1" applyFill="1" applyAlignment="1" applyProtection="1">
      <alignment horizontal="center"/>
      <protection locked="0"/>
    </xf>
    <xf numFmtId="0" fontId="0" fillId="0" borderId="0" xfId="0" applyProtection="1">
      <protection hidden="1"/>
    </xf>
    <xf numFmtId="0" fontId="0" fillId="0" borderId="0" xfId="0" applyAlignment="1" applyProtection="1">
      <alignment horizontal="left"/>
      <protection hidden="1"/>
    </xf>
    <xf numFmtId="0" fontId="3" fillId="0" borderId="0" xfId="0" applyFont="1" applyProtection="1">
      <protection hidden="1"/>
    </xf>
    <xf numFmtId="0" fontId="7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5" borderId="9" xfId="0" applyFill="1" applyBorder="1" applyProtection="1">
      <protection hidden="1"/>
    </xf>
    <xf numFmtId="0" fontId="0" fillId="0" borderId="36" xfId="0" applyBorder="1" applyProtection="1">
      <protection hidden="1"/>
    </xf>
    <xf numFmtId="0" fontId="0" fillId="5" borderId="12" xfId="0" applyFill="1" applyBorder="1" applyProtection="1">
      <protection hidden="1"/>
    </xf>
    <xf numFmtId="0" fontId="0" fillId="0" borderId="37" xfId="0" applyBorder="1" applyProtection="1">
      <protection hidden="1"/>
    </xf>
    <xf numFmtId="0" fontId="7" fillId="0" borderId="26" xfId="0" applyFont="1" applyBorder="1" applyAlignment="1" applyProtection="1">
      <alignment horizontal="center"/>
      <protection hidden="1"/>
    </xf>
    <xf numFmtId="0" fontId="7" fillId="0" borderId="27" xfId="0" applyFont="1" applyBorder="1" applyAlignment="1" applyProtection="1">
      <alignment horizontal="center"/>
      <protection hidden="1"/>
    </xf>
    <xf numFmtId="0" fontId="7" fillId="0" borderId="12" xfId="0" applyFont="1" applyBorder="1" applyAlignment="1" applyProtection="1">
      <alignment horizontal="center"/>
      <protection hidden="1"/>
    </xf>
    <xf numFmtId="49" fontId="7" fillId="0" borderId="12" xfId="0" applyNumberFormat="1" applyFont="1" applyBorder="1" applyAlignment="1" applyProtection="1">
      <alignment horizontal="center"/>
      <protection hidden="1"/>
    </xf>
    <xf numFmtId="49" fontId="7" fillId="0" borderId="0" xfId="0" applyNumberFormat="1" applyFont="1" applyAlignment="1" applyProtection="1">
      <alignment horizontal="center"/>
      <protection hidden="1"/>
    </xf>
    <xf numFmtId="49" fontId="7" fillId="0" borderId="13" xfId="0" applyNumberFormat="1" applyFont="1" applyBorder="1" applyAlignment="1" applyProtection="1">
      <alignment horizontal="center"/>
      <protection hidden="1"/>
    </xf>
    <xf numFmtId="0" fontId="7" fillId="0" borderId="37" xfId="0" applyFont="1" applyBorder="1" applyAlignment="1" applyProtection="1">
      <alignment horizontal="center"/>
      <protection hidden="1"/>
    </xf>
    <xf numFmtId="49" fontId="7" fillId="0" borderId="21" xfId="0" applyNumberFormat="1" applyFont="1" applyBorder="1" applyAlignment="1" applyProtection="1">
      <alignment horizontal="center"/>
      <protection hidden="1"/>
    </xf>
    <xf numFmtId="49" fontId="7" fillId="0" borderId="22" xfId="0" applyNumberFormat="1" applyFont="1" applyBorder="1" applyAlignment="1" applyProtection="1">
      <alignment horizont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right"/>
      <protection hidden="1"/>
    </xf>
    <xf numFmtId="0" fontId="4" fillId="0" borderId="30" xfId="0" applyFont="1" applyBorder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5" borderId="12" xfId="0" applyFill="1" applyBorder="1" applyAlignment="1" applyProtection="1">
      <alignment horizontal="center"/>
      <protection hidden="1"/>
    </xf>
    <xf numFmtId="0" fontId="0" fillId="5" borderId="0" xfId="0" applyFill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5" borderId="13" xfId="0" applyFill="1" applyBorder="1" applyAlignment="1" applyProtection="1">
      <alignment horizontal="center"/>
      <protection hidden="1"/>
    </xf>
    <xf numFmtId="0" fontId="0" fillId="0" borderId="37" xfId="0" applyBorder="1" applyAlignment="1" applyProtection="1">
      <alignment horizontal="center"/>
      <protection hidden="1"/>
    </xf>
    <xf numFmtId="0" fontId="0" fillId="6" borderId="0" xfId="0" applyFill="1" applyAlignment="1" applyProtection="1">
      <alignment horizontal="center"/>
      <protection hidden="1"/>
    </xf>
    <xf numFmtId="0" fontId="0" fillId="6" borderId="21" xfId="0" applyFill="1" applyBorder="1" applyAlignment="1" applyProtection="1">
      <alignment horizontal="center"/>
      <protection hidden="1"/>
    </xf>
    <xf numFmtId="0" fontId="0" fillId="6" borderId="22" xfId="0" applyFill="1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0" xfId="0" applyAlignment="1" applyProtection="1">
      <alignment wrapText="1"/>
      <protection hidden="1"/>
    </xf>
    <xf numFmtId="0" fontId="0" fillId="0" borderId="29" xfId="0" applyBorder="1" applyAlignment="1" applyProtection="1">
      <alignment horizontal="center" wrapText="1"/>
      <protection hidden="1"/>
    </xf>
    <xf numFmtId="0" fontId="0" fillId="0" borderId="31" xfId="0" applyBorder="1" applyAlignment="1" applyProtection="1">
      <alignment horizontal="center"/>
      <protection hidden="1"/>
    </xf>
    <xf numFmtId="0" fontId="2" fillId="0" borderId="32" xfId="0" applyFont="1" applyBorder="1" applyAlignment="1" applyProtection="1">
      <alignment horizontal="center"/>
      <protection hidden="1"/>
    </xf>
    <xf numFmtId="0" fontId="4" fillId="0" borderId="32" xfId="0" applyFont="1" applyBorder="1" applyAlignment="1" applyProtection="1">
      <alignment horizontal="center"/>
      <protection hidden="1"/>
    </xf>
    <xf numFmtId="0" fontId="4" fillId="0" borderId="32" xfId="0" applyFont="1" applyBorder="1" applyAlignment="1" applyProtection="1">
      <alignment horizontal="right"/>
      <protection hidden="1"/>
    </xf>
    <xf numFmtId="0" fontId="4" fillId="0" borderId="33" xfId="0" applyFont="1" applyBorder="1" applyAlignment="1" applyProtection="1">
      <alignment horizontal="left"/>
      <protection hidden="1"/>
    </xf>
    <xf numFmtId="49" fontId="0" fillId="0" borderId="0" xfId="0" applyNumberFormat="1" applyAlignment="1" applyProtection="1">
      <alignment horizontal="right"/>
      <protection hidden="1"/>
    </xf>
    <xf numFmtId="0" fontId="10" fillId="0" borderId="0" xfId="0" applyFont="1" applyAlignment="1" applyProtection="1">
      <alignment horizontal="center"/>
      <protection hidden="1"/>
    </xf>
    <xf numFmtId="49" fontId="0" fillId="0" borderId="0" xfId="0" applyNumberForma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0" xfId="0" applyFont="1" applyProtection="1">
      <protection hidden="1"/>
    </xf>
    <xf numFmtId="0" fontId="0" fillId="0" borderId="38" xfId="0" applyBorder="1" applyAlignment="1" applyProtection="1">
      <alignment horizontal="center"/>
      <protection hidden="1"/>
    </xf>
    <xf numFmtId="0" fontId="0" fillId="6" borderId="24" xfId="0" applyFill="1" applyBorder="1" applyAlignment="1" applyProtection="1">
      <alignment horizontal="center"/>
      <protection hidden="1"/>
    </xf>
    <xf numFmtId="0" fontId="0" fillId="6" borderId="23" xfId="0" applyFill="1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/>
      <protection hidden="1"/>
    </xf>
    <xf numFmtId="0" fontId="0" fillId="6" borderId="25" xfId="0" applyFill="1" applyBorder="1" applyAlignment="1" applyProtection="1">
      <alignment horizontal="center"/>
      <protection hidden="1"/>
    </xf>
    <xf numFmtId="0" fontId="0" fillId="5" borderId="42" xfId="0" applyFill="1" applyBorder="1" applyAlignment="1" applyProtection="1">
      <alignment horizontal="center"/>
      <protection hidden="1"/>
    </xf>
    <xf numFmtId="0" fontId="0" fillId="5" borderId="40" xfId="0" applyFill="1" applyBorder="1" applyAlignment="1" applyProtection="1">
      <alignment horizontal="center"/>
      <protection hidden="1"/>
    </xf>
    <xf numFmtId="0" fontId="0" fillId="5" borderId="39" xfId="0" applyFill="1" applyBorder="1" applyAlignment="1" applyProtection="1">
      <alignment horizontal="center"/>
      <protection hidden="1"/>
    </xf>
    <xf numFmtId="0" fontId="0" fillId="5" borderId="41" xfId="0" applyFill="1" applyBorder="1" applyAlignment="1" applyProtection="1">
      <alignment horizontal="center"/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7" fillId="0" borderId="35" xfId="0" applyFont="1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0" fontId="1" fillId="0" borderId="9" xfId="0" applyFont="1" applyBorder="1" applyProtection="1">
      <protection hidden="1"/>
    </xf>
    <xf numFmtId="0" fontId="1" fillId="0" borderId="10" xfId="0" applyFont="1" applyBorder="1" applyProtection="1">
      <protection hidden="1"/>
    </xf>
    <xf numFmtId="0" fontId="1" fillId="0" borderId="21" xfId="0" applyFont="1" applyBorder="1" applyProtection="1">
      <protection hidden="1"/>
    </xf>
    <xf numFmtId="0" fontId="1" fillId="0" borderId="0" xfId="0" applyFont="1" applyProtection="1">
      <protection hidden="1"/>
    </xf>
    <xf numFmtId="0" fontId="3" fillId="0" borderId="12" xfId="0" applyFont="1" applyBorder="1" applyProtection="1">
      <protection hidden="1"/>
    </xf>
    <xf numFmtId="0" fontId="3" fillId="0" borderId="21" xfId="0" applyFont="1" applyBorder="1" applyProtection="1"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5" borderId="15" xfId="0" applyFill="1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5" borderId="14" xfId="0" applyFill="1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5" borderId="0" xfId="0" applyFill="1" applyProtection="1">
      <protection hidden="1"/>
    </xf>
    <xf numFmtId="0" fontId="0" fillId="5" borderId="13" xfId="0" applyFill="1" applyBorder="1" applyProtection="1">
      <protection hidden="1"/>
    </xf>
    <xf numFmtId="0" fontId="0" fillId="6" borderId="21" xfId="0" applyFill="1" applyBorder="1" applyProtection="1">
      <protection hidden="1"/>
    </xf>
    <xf numFmtId="0" fontId="0" fillId="6" borderId="0" xfId="0" applyFill="1" applyProtection="1">
      <protection hidden="1"/>
    </xf>
    <xf numFmtId="0" fontId="0" fillId="6" borderId="22" xfId="0" applyFill="1" applyBorder="1" applyProtection="1">
      <protection hidden="1"/>
    </xf>
    <xf numFmtId="0" fontId="0" fillId="5" borderId="16" xfId="0" applyFill="1" applyBorder="1" applyAlignment="1" applyProtection="1">
      <alignment horizontal="center"/>
      <protection hidden="1"/>
    </xf>
    <xf numFmtId="0" fontId="0" fillId="5" borderId="15" xfId="0" applyFill="1" applyBorder="1" applyProtection="1">
      <protection hidden="1"/>
    </xf>
    <xf numFmtId="0" fontId="0" fillId="5" borderId="16" xfId="0" applyFill="1" applyBorder="1" applyProtection="1">
      <protection hidden="1"/>
    </xf>
    <xf numFmtId="0" fontId="0" fillId="6" borderId="23" xfId="0" applyFill="1" applyBorder="1" applyProtection="1">
      <protection hidden="1"/>
    </xf>
    <xf numFmtId="0" fontId="0" fillId="6" borderId="24" xfId="0" applyFill="1" applyBorder="1" applyProtection="1">
      <protection hidden="1"/>
    </xf>
    <xf numFmtId="0" fontId="0" fillId="6" borderId="25" xfId="0" applyFill="1" applyBorder="1" applyProtection="1">
      <protection hidden="1"/>
    </xf>
    <xf numFmtId="0" fontId="0" fillId="5" borderId="39" xfId="0" applyFill="1" applyBorder="1" applyProtection="1">
      <protection hidden="1"/>
    </xf>
    <xf numFmtId="0" fontId="0" fillId="5" borderId="41" xfId="0" applyFill="1" applyBorder="1" applyProtection="1"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6" fillId="0" borderId="0" xfId="0" applyFont="1" applyAlignment="1" applyProtection="1">
      <alignment horizontal="center"/>
      <protection hidden="1"/>
    </xf>
    <xf numFmtId="0" fontId="10" fillId="0" borderId="0" xfId="0" applyFont="1" applyProtection="1">
      <protection hidden="1"/>
    </xf>
    <xf numFmtId="0" fontId="16" fillId="0" borderId="0" xfId="0" applyFont="1" applyProtection="1">
      <protection hidden="1"/>
    </xf>
    <xf numFmtId="0" fontId="11" fillId="5" borderId="9" xfId="0" applyFont="1" applyFill="1" applyBorder="1" applyProtection="1">
      <protection hidden="1"/>
    </xf>
    <xf numFmtId="0" fontId="11" fillId="0" borderId="36" xfId="0" applyFont="1" applyBorder="1" applyProtection="1">
      <protection hidden="1"/>
    </xf>
    <xf numFmtId="0" fontId="11" fillId="5" borderId="12" xfId="0" applyFont="1" applyFill="1" applyBorder="1" applyProtection="1">
      <protection hidden="1"/>
    </xf>
    <xf numFmtId="0" fontId="11" fillId="0" borderId="37" xfId="0" applyFont="1" applyBorder="1" applyProtection="1">
      <protection hidden="1"/>
    </xf>
    <xf numFmtId="0" fontId="12" fillId="0" borderId="0" xfId="0" applyFont="1" applyProtection="1">
      <protection hidden="1"/>
    </xf>
    <xf numFmtId="0" fontId="16" fillId="0" borderId="26" xfId="0" applyFont="1" applyBorder="1" applyAlignment="1" applyProtection="1">
      <alignment horizontal="center"/>
      <protection hidden="1"/>
    </xf>
    <xf numFmtId="0" fontId="16" fillId="0" borderId="27" xfId="0" applyFont="1" applyBorder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2" fillId="0" borderId="12" xfId="0" applyFont="1" applyBorder="1" applyAlignment="1" applyProtection="1">
      <alignment horizontal="center"/>
      <protection hidden="1"/>
    </xf>
    <xf numFmtId="49" fontId="12" fillId="0" borderId="12" xfId="0" applyNumberFormat="1" applyFont="1" applyBorder="1" applyAlignment="1" applyProtection="1">
      <alignment horizontal="center"/>
      <protection hidden="1"/>
    </xf>
    <xf numFmtId="49" fontId="12" fillId="0" borderId="0" xfId="0" applyNumberFormat="1" applyFont="1" applyAlignment="1" applyProtection="1">
      <alignment horizontal="center"/>
      <protection hidden="1"/>
    </xf>
    <xf numFmtId="49" fontId="12" fillId="0" borderId="13" xfId="0" applyNumberFormat="1" applyFont="1" applyBorder="1" applyAlignment="1" applyProtection="1">
      <alignment horizontal="center"/>
      <protection hidden="1"/>
    </xf>
    <xf numFmtId="0" fontId="12" fillId="0" borderId="37" xfId="0" applyFont="1" applyBorder="1" applyAlignment="1" applyProtection="1">
      <alignment horizontal="center"/>
      <protection hidden="1"/>
    </xf>
    <xf numFmtId="49" fontId="12" fillId="0" borderId="21" xfId="0" applyNumberFormat="1" applyFont="1" applyBorder="1" applyAlignment="1" applyProtection="1">
      <alignment horizontal="center"/>
      <protection hidden="1"/>
    </xf>
    <xf numFmtId="49" fontId="12" fillId="0" borderId="22" xfId="0" applyNumberFormat="1" applyFont="1" applyBorder="1" applyAlignment="1" applyProtection="1">
      <alignment horizontal="center"/>
      <protection hidden="1"/>
    </xf>
    <xf numFmtId="0" fontId="10" fillId="0" borderId="29" xfId="0" applyFont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0" xfId="0" applyFont="1" applyAlignment="1" applyProtection="1">
      <alignment horizontal="right"/>
      <protection hidden="1"/>
    </xf>
    <xf numFmtId="0" fontId="13" fillId="0" borderId="30" xfId="0" applyFont="1" applyBorder="1" applyAlignment="1" applyProtection="1">
      <alignment horizontal="left"/>
      <protection hidden="1"/>
    </xf>
    <xf numFmtId="0" fontId="13" fillId="0" borderId="0" xfId="0" applyFont="1" applyAlignment="1" applyProtection="1">
      <alignment horizontal="left"/>
      <protection hidden="1"/>
    </xf>
    <xf numFmtId="0" fontId="11" fillId="0" borderId="12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13" xfId="0" applyFont="1" applyBorder="1" applyAlignment="1" applyProtection="1">
      <alignment horizontal="center"/>
      <protection hidden="1"/>
    </xf>
    <xf numFmtId="0" fontId="11" fillId="5" borderId="12" xfId="0" applyFont="1" applyFill="1" applyBorder="1" applyAlignment="1" applyProtection="1">
      <alignment horizontal="center"/>
      <protection hidden="1"/>
    </xf>
    <xf numFmtId="0" fontId="11" fillId="5" borderId="0" xfId="0" applyFont="1" applyFill="1" applyAlignment="1" applyProtection="1">
      <alignment horizontal="center"/>
      <protection hidden="1"/>
    </xf>
    <xf numFmtId="0" fontId="11" fillId="5" borderId="13" xfId="0" applyFont="1" applyFill="1" applyBorder="1" applyAlignment="1" applyProtection="1">
      <alignment horizontal="center"/>
      <protection hidden="1"/>
    </xf>
    <xf numFmtId="0" fontId="11" fillId="0" borderId="37" xfId="0" applyFont="1" applyBorder="1" applyAlignment="1" applyProtection="1">
      <alignment horizontal="center"/>
      <protection hidden="1"/>
    </xf>
    <xf numFmtId="0" fontId="11" fillId="6" borderId="21" xfId="0" applyFont="1" applyFill="1" applyBorder="1" applyAlignment="1" applyProtection="1">
      <alignment horizontal="center"/>
      <protection hidden="1"/>
    </xf>
    <xf numFmtId="0" fontId="11" fillId="6" borderId="0" xfId="0" applyFont="1" applyFill="1" applyAlignment="1" applyProtection="1">
      <alignment horizontal="center"/>
      <protection hidden="1"/>
    </xf>
    <xf numFmtId="0" fontId="11" fillId="6" borderId="22" xfId="0" applyFont="1" applyFill="1" applyBorder="1" applyAlignment="1" applyProtection="1">
      <alignment horizontal="center"/>
      <protection hidden="1"/>
    </xf>
    <xf numFmtId="0" fontId="11" fillId="0" borderId="22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left"/>
      <protection hidden="1"/>
    </xf>
    <xf numFmtId="0" fontId="11" fillId="0" borderId="0" xfId="0" applyFont="1" applyAlignment="1" applyProtection="1">
      <alignment wrapText="1"/>
      <protection hidden="1"/>
    </xf>
    <xf numFmtId="0" fontId="10" fillId="0" borderId="29" xfId="0" applyFont="1" applyBorder="1" applyAlignment="1" applyProtection="1">
      <alignment horizontal="center" wrapText="1"/>
      <protection hidden="1"/>
    </xf>
    <xf numFmtId="0" fontId="10" fillId="0" borderId="31" xfId="0" applyFont="1" applyBorder="1" applyAlignment="1" applyProtection="1">
      <alignment horizontal="center"/>
      <protection hidden="1"/>
    </xf>
    <xf numFmtId="0" fontId="13" fillId="0" borderId="32" xfId="0" applyFont="1" applyBorder="1" applyAlignment="1" applyProtection="1">
      <alignment horizontal="center"/>
      <protection hidden="1"/>
    </xf>
    <xf numFmtId="0" fontId="13" fillId="0" borderId="32" xfId="0" applyFont="1" applyBorder="1" applyAlignment="1" applyProtection="1">
      <alignment horizontal="right"/>
      <protection hidden="1"/>
    </xf>
    <xf numFmtId="0" fontId="13" fillId="0" borderId="33" xfId="0" applyFont="1" applyBorder="1" applyAlignment="1" applyProtection="1">
      <alignment horizontal="left"/>
      <protection hidden="1"/>
    </xf>
    <xf numFmtId="0" fontId="11" fillId="0" borderId="21" xfId="0" applyFont="1" applyBorder="1" applyAlignment="1" applyProtection="1">
      <alignment horizontal="center"/>
      <protection hidden="1"/>
    </xf>
    <xf numFmtId="49" fontId="16" fillId="0" borderId="0" xfId="0" applyNumberFormat="1" applyFont="1" applyAlignment="1" applyProtection="1">
      <alignment horizontal="center"/>
      <protection hidden="1"/>
    </xf>
    <xf numFmtId="49" fontId="10" fillId="0" borderId="0" xfId="0" applyNumberFormat="1" applyFont="1" applyAlignment="1" applyProtection="1">
      <alignment horizontal="right"/>
      <protection hidden="1"/>
    </xf>
    <xf numFmtId="49" fontId="10" fillId="0" borderId="0" xfId="0" applyNumberFormat="1" applyFont="1" applyAlignment="1" applyProtection="1">
      <alignment horizontal="center"/>
      <protection hidden="1"/>
    </xf>
    <xf numFmtId="49" fontId="11" fillId="0" borderId="0" xfId="0" applyNumberFormat="1" applyFont="1" applyAlignment="1" applyProtection="1">
      <alignment horizontal="right"/>
      <protection hidden="1"/>
    </xf>
    <xf numFmtId="0" fontId="11" fillId="0" borderId="14" xfId="0" applyFont="1" applyBorder="1" applyAlignment="1" applyProtection="1">
      <alignment horizontal="center"/>
      <protection hidden="1"/>
    </xf>
    <xf numFmtId="0" fontId="11" fillId="5" borderId="14" xfId="0" applyFont="1" applyFill="1" applyBorder="1" applyAlignment="1" applyProtection="1">
      <alignment horizontal="center"/>
      <protection hidden="1"/>
    </xf>
    <xf numFmtId="0" fontId="11" fillId="5" borderId="15" xfId="0" applyFont="1" applyFill="1" applyBorder="1" applyAlignment="1" applyProtection="1">
      <alignment horizontal="center"/>
      <protection hidden="1"/>
    </xf>
    <xf numFmtId="0" fontId="11" fillId="5" borderId="16" xfId="0" applyFont="1" applyFill="1" applyBorder="1" applyAlignment="1" applyProtection="1">
      <alignment horizontal="center"/>
      <protection hidden="1"/>
    </xf>
    <xf numFmtId="0" fontId="11" fillId="0" borderId="15" xfId="0" applyFont="1" applyBorder="1" applyAlignment="1" applyProtection="1">
      <alignment horizontal="center"/>
      <protection hidden="1"/>
    </xf>
    <xf numFmtId="0" fontId="11" fillId="0" borderId="16" xfId="0" applyFont="1" applyBorder="1" applyAlignment="1" applyProtection="1">
      <alignment horizontal="center"/>
      <protection hidden="1"/>
    </xf>
    <xf numFmtId="0" fontId="11" fillId="0" borderId="38" xfId="0" applyFont="1" applyBorder="1" applyAlignment="1" applyProtection="1">
      <alignment horizontal="center"/>
      <protection hidden="1"/>
    </xf>
    <xf numFmtId="0" fontId="11" fillId="6" borderId="24" xfId="0" applyFont="1" applyFill="1" applyBorder="1" applyAlignment="1" applyProtection="1">
      <alignment horizontal="center"/>
      <protection hidden="1"/>
    </xf>
    <xf numFmtId="0" fontId="11" fillId="0" borderId="23" xfId="0" applyFont="1" applyBorder="1" applyAlignment="1" applyProtection="1">
      <alignment horizontal="center"/>
      <protection hidden="1"/>
    </xf>
    <xf numFmtId="0" fontId="11" fillId="0" borderId="24" xfId="0" applyFont="1" applyBorder="1" applyAlignment="1" applyProtection="1">
      <alignment horizontal="center"/>
      <protection hidden="1"/>
    </xf>
    <xf numFmtId="0" fontId="11" fillId="0" borderId="25" xfId="0" applyFont="1" applyBorder="1" applyAlignment="1" applyProtection="1">
      <alignment horizontal="center"/>
      <protection hidden="1"/>
    </xf>
    <xf numFmtId="0" fontId="11" fillId="6" borderId="25" xfId="0" applyFont="1" applyFill="1" applyBorder="1" applyAlignment="1" applyProtection="1">
      <alignment horizontal="center"/>
      <protection hidden="1"/>
    </xf>
    <xf numFmtId="0" fontId="11" fillId="0" borderId="34" xfId="0" applyFont="1" applyBorder="1" applyProtection="1">
      <protection hidden="1"/>
    </xf>
    <xf numFmtId="0" fontId="11" fillId="0" borderId="35" xfId="0" applyFont="1" applyBorder="1" applyProtection="1">
      <protection hidden="1"/>
    </xf>
    <xf numFmtId="0" fontId="12" fillId="0" borderId="35" xfId="0" applyFont="1" applyBorder="1" applyAlignment="1" applyProtection="1">
      <alignment horizontal="center"/>
      <protection hidden="1"/>
    </xf>
    <xf numFmtId="0" fontId="11" fillId="0" borderId="35" xfId="0" applyFont="1" applyBorder="1" applyAlignment="1" applyProtection="1">
      <alignment horizontal="center"/>
      <protection hidden="1"/>
    </xf>
    <xf numFmtId="0" fontId="11" fillId="0" borderId="17" xfId="0" applyFont="1" applyBorder="1" applyAlignment="1" applyProtection="1">
      <alignment horizontal="center"/>
      <protection hidden="1"/>
    </xf>
    <xf numFmtId="0" fontId="11" fillId="6" borderId="23" xfId="0" applyFont="1" applyFill="1" applyBorder="1" applyAlignment="1" applyProtection="1">
      <alignment horizontal="center"/>
      <protection hidden="1"/>
    </xf>
    <xf numFmtId="0" fontId="11" fillId="5" borderId="0" xfId="0" applyFont="1" applyFill="1" applyProtection="1">
      <protection hidden="1"/>
    </xf>
    <xf numFmtId="0" fontId="11" fillId="5" borderId="13" xfId="0" applyFont="1" applyFill="1" applyBorder="1" applyProtection="1">
      <protection hidden="1"/>
    </xf>
    <xf numFmtId="0" fontId="11" fillId="6" borderId="21" xfId="0" applyFont="1" applyFill="1" applyBorder="1" applyProtection="1">
      <protection hidden="1"/>
    </xf>
    <xf numFmtId="0" fontId="11" fillId="6" borderId="0" xfId="0" applyFont="1" applyFill="1" applyProtection="1">
      <protection hidden="1"/>
    </xf>
    <xf numFmtId="0" fontId="11" fillId="6" borderId="22" xfId="0" applyFont="1" applyFill="1" applyBorder="1" applyProtection="1">
      <protection hidden="1"/>
    </xf>
    <xf numFmtId="0" fontId="11" fillId="5" borderId="15" xfId="0" applyFont="1" applyFill="1" applyBorder="1" applyProtection="1">
      <protection hidden="1"/>
    </xf>
    <xf numFmtId="0" fontId="11" fillId="5" borderId="16" xfId="0" applyFont="1" applyFill="1" applyBorder="1" applyProtection="1">
      <protection hidden="1"/>
    </xf>
    <xf numFmtId="0" fontId="11" fillId="6" borderId="23" xfId="0" applyFont="1" applyFill="1" applyBorder="1" applyProtection="1">
      <protection hidden="1"/>
    </xf>
    <xf numFmtId="0" fontId="11" fillId="6" borderId="24" xfId="0" applyFont="1" applyFill="1" applyBorder="1" applyProtection="1">
      <protection hidden="1"/>
    </xf>
    <xf numFmtId="0" fontId="11" fillId="6" borderId="25" xfId="0" applyFont="1" applyFill="1" applyBorder="1" applyProtection="1">
      <protection hidden="1"/>
    </xf>
    <xf numFmtId="0" fontId="11" fillId="5" borderId="40" xfId="0" applyFont="1" applyFill="1" applyBorder="1" applyAlignment="1" applyProtection="1">
      <alignment horizontal="center"/>
      <protection hidden="1"/>
    </xf>
    <xf numFmtId="0" fontId="11" fillId="5" borderId="39" xfId="0" applyFont="1" applyFill="1" applyBorder="1" applyAlignment="1" applyProtection="1">
      <alignment horizontal="center"/>
      <protection hidden="1"/>
    </xf>
    <xf numFmtId="0" fontId="11" fillId="5" borderId="39" xfId="0" applyFont="1" applyFill="1" applyBorder="1" applyProtection="1">
      <protection hidden="1"/>
    </xf>
    <xf numFmtId="0" fontId="11" fillId="5" borderId="41" xfId="0" applyFont="1" applyFill="1" applyBorder="1" applyProtection="1">
      <protection hidden="1"/>
    </xf>
    <xf numFmtId="0" fontId="11" fillId="5" borderId="41" xfId="0" applyFont="1" applyFill="1" applyBorder="1" applyAlignment="1" applyProtection="1">
      <alignment horizontal="center"/>
      <protection hidden="1"/>
    </xf>
    <xf numFmtId="0" fontId="2" fillId="7" borderId="7" xfId="0" applyFont="1" applyFill="1" applyBorder="1" applyAlignment="1" applyProtection="1">
      <alignment horizontal="center"/>
      <protection locked="0"/>
    </xf>
    <xf numFmtId="0" fontId="2" fillId="7" borderId="5" xfId="0" applyFont="1" applyFill="1" applyBorder="1" applyAlignment="1" applyProtection="1">
      <alignment horizontal="center"/>
      <protection locked="0"/>
    </xf>
    <xf numFmtId="0" fontId="17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/>
    <xf numFmtId="0" fontId="18" fillId="2" borderId="5" xfId="0" applyFont="1" applyFill="1" applyBorder="1" applyAlignment="1">
      <alignment horizontal="left"/>
    </xf>
    <xf numFmtId="0" fontId="18" fillId="3" borderId="0" xfId="0" applyFont="1" applyFill="1" applyAlignment="1">
      <alignment horizontal="center"/>
    </xf>
    <xf numFmtId="0" fontId="18" fillId="3" borderId="0" xfId="0" applyFont="1" applyFill="1"/>
    <xf numFmtId="0" fontId="18" fillId="3" borderId="5" xfId="0" applyFont="1" applyFill="1" applyBorder="1" applyAlignment="1">
      <alignment horizontal="left"/>
    </xf>
    <xf numFmtId="0" fontId="18" fillId="3" borderId="7" xfId="0" applyFont="1" applyFill="1" applyBorder="1" applyAlignment="1">
      <alignment horizontal="center"/>
    </xf>
    <xf numFmtId="0" fontId="18" fillId="3" borderId="7" xfId="0" applyFont="1" applyFill="1" applyBorder="1"/>
    <xf numFmtId="0" fontId="18" fillId="3" borderId="8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49" fontId="2" fillId="4" borderId="0" xfId="0" applyNumberFormat="1" applyFont="1" applyFill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2" fillId="7" borderId="0" xfId="0" applyFont="1" applyFill="1" applyAlignment="1" applyProtection="1">
      <alignment horizontal="center"/>
      <protection locked="0"/>
    </xf>
    <xf numFmtId="49" fontId="2" fillId="7" borderId="0" xfId="0" applyNumberFormat="1" applyFont="1" applyFill="1" applyAlignment="1" applyProtection="1">
      <alignment horizontal="center"/>
      <protection locked="0"/>
    </xf>
    <xf numFmtId="0" fontId="1" fillId="0" borderId="19" xfId="0" applyFont="1" applyBorder="1" applyAlignment="1" applyProtection="1">
      <alignment horizontal="center"/>
      <protection hidden="1"/>
    </xf>
    <xf numFmtId="0" fontId="1" fillId="0" borderId="20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22" xfId="0" applyFont="1" applyBorder="1" applyAlignment="1" applyProtection="1">
      <alignment horizontal="center"/>
      <protection hidden="1"/>
    </xf>
    <xf numFmtId="0" fontId="1" fillId="0" borderId="18" xfId="0" applyFont="1" applyBorder="1" applyAlignment="1" applyProtection="1">
      <alignment horizontal="center"/>
      <protection hidden="1"/>
    </xf>
    <xf numFmtId="0" fontId="3" fillId="0" borderId="21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11" xfId="0" applyFont="1" applyBorder="1" applyAlignment="1" applyProtection="1">
      <alignment horizontal="center"/>
      <protection hidden="1"/>
    </xf>
    <xf numFmtId="0" fontId="3" fillId="0" borderId="13" xfId="0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3" fillId="0" borderId="12" xfId="0" applyFont="1" applyBorder="1" applyAlignment="1" applyProtection="1">
      <alignment horizontal="center"/>
      <protection hidden="1"/>
    </xf>
    <xf numFmtId="0" fontId="7" fillId="0" borderId="27" xfId="0" applyFont="1" applyBorder="1" applyAlignment="1" applyProtection="1">
      <alignment horizontal="center"/>
      <protection hidden="1"/>
    </xf>
    <xf numFmtId="0" fontId="7" fillId="0" borderId="28" xfId="0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0" fillId="0" borderId="0" xfId="0" applyFont="1" applyAlignment="1" applyProtection="1">
      <alignment horizontal="right"/>
      <protection hidden="1"/>
    </xf>
    <xf numFmtId="0" fontId="14" fillId="0" borderId="9" xfId="0" applyFont="1" applyBorder="1" applyAlignment="1" applyProtection="1">
      <alignment horizontal="center"/>
      <protection hidden="1"/>
    </xf>
    <xf numFmtId="0" fontId="14" fillId="0" borderId="10" xfId="0" applyFont="1" applyBorder="1" applyAlignment="1" applyProtection="1">
      <alignment horizontal="center"/>
      <protection hidden="1"/>
    </xf>
    <xf numFmtId="0" fontId="14" fillId="0" borderId="11" xfId="0" applyFont="1" applyBorder="1" applyAlignment="1" applyProtection="1">
      <alignment horizontal="center"/>
      <protection hidden="1"/>
    </xf>
    <xf numFmtId="0" fontId="14" fillId="0" borderId="19" xfId="0" applyFont="1" applyBorder="1" applyAlignment="1" applyProtection="1">
      <alignment horizontal="center"/>
      <protection hidden="1"/>
    </xf>
    <xf numFmtId="0" fontId="14" fillId="0" borderId="20" xfId="0" applyFont="1" applyBorder="1" applyAlignment="1" applyProtection="1">
      <alignment horizontal="center"/>
      <protection hidden="1"/>
    </xf>
    <xf numFmtId="0" fontId="15" fillId="0" borderId="12" xfId="0" applyFont="1" applyBorder="1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15" fillId="0" borderId="13" xfId="0" applyFont="1" applyBorder="1" applyAlignment="1" applyProtection="1">
      <alignment horizontal="center"/>
      <protection hidden="1"/>
    </xf>
    <xf numFmtId="0" fontId="15" fillId="0" borderId="21" xfId="0" applyFont="1" applyBorder="1" applyAlignment="1" applyProtection="1">
      <alignment horizontal="center"/>
      <protection hidden="1"/>
    </xf>
    <xf numFmtId="0" fontId="14" fillId="0" borderId="18" xfId="0" applyFont="1" applyBorder="1" applyAlignment="1" applyProtection="1">
      <alignment horizontal="center"/>
      <protection hidden="1"/>
    </xf>
    <xf numFmtId="0" fontId="15" fillId="0" borderId="22" xfId="0" applyFont="1" applyBorder="1" applyAlignment="1" applyProtection="1">
      <alignment horizontal="center"/>
      <protection hidden="1"/>
    </xf>
    <xf numFmtId="0" fontId="16" fillId="0" borderId="27" xfId="0" applyFont="1" applyBorder="1" applyAlignment="1" applyProtection="1">
      <alignment horizontal="center"/>
      <protection hidden="1"/>
    </xf>
    <xf numFmtId="0" fontId="16" fillId="0" borderId="28" xfId="0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4" fillId="0" borderId="13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45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499984740745262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 patternType="solid">
          <fgColor rgb="FFFF5050"/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2"/>
  <sheetViews>
    <sheetView tabSelected="1" zoomScaleNormal="100" workbookViewId="0">
      <selection activeCell="F39" sqref="F9:F39"/>
    </sheetView>
  </sheetViews>
  <sheetFormatPr defaultRowHeight="15"/>
  <cols>
    <col min="1" max="1" width="5.28515625" customWidth="1"/>
    <col min="2" max="2" width="2.85546875" style="1" customWidth="1"/>
    <col min="3" max="3" width="10.7109375" customWidth="1"/>
    <col min="4" max="4" width="5.140625" customWidth="1"/>
    <col min="5" max="5" width="3.140625" style="1" customWidth="1"/>
    <col min="6" max="6" width="10.85546875" customWidth="1"/>
    <col min="8" max="8" width="8.5703125" customWidth="1"/>
    <col min="9" max="9" width="6.7109375" customWidth="1"/>
    <col min="10" max="10" width="9.5703125" customWidth="1"/>
    <col min="11" max="11" width="6.140625" customWidth="1"/>
    <col min="12" max="12" width="11.85546875" customWidth="1"/>
    <col min="13" max="13" width="7.140625" customWidth="1"/>
    <col min="15" max="15" width="9.140625" customWidth="1"/>
    <col min="16" max="16" width="10.5703125" customWidth="1"/>
    <col min="18" max="18" width="9" customWidth="1"/>
    <col min="19" max="19" width="3.85546875" customWidth="1"/>
    <col min="20" max="20" width="2" customWidth="1"/>
    <col min="21" max="21" width="3.85546875" customWidth="1"/>
  </cols>
  <sheetData>
    <row r="1" spans="1:18" ht="18.75">
      <c r="A1" s="245" t="s">
        <v>0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</row>
    <row r="2" spans="1:18" ht="19.5" thickBot="1">
      <c r="H2" s="43"/>
      <c r="I2" s="43"/>
      <c r="J2" s="43"/>
      <c r="K2" s="43"/>
      <c r="L2" s="43"/>
      <c r="M2" s="43"/>
      <c r="N2" s="43"/>
      <c r="O2" s="43"/>
    </row>
    <row r="3" spans="1:18" ht="15.75" thickTop="1">
      <c r="A3" s="247" t="s">
        <v>1</v>
      </c>
      <c r="B3" s="248"/>
      <c r="C3" s="248"/>
      <c r="D3" s="248"/>
      <c r="E3" s="248"/>
      <c r="F3" s="248"/>
      <c r="G3" s="249"/>
      <c r="H3" s="11"/>
      <c r="I3" s="11"/>
      <c r="J3" s="11"/>
      <c r="K3" s="253"/>
      <c r="L3" s="253"/>
    </row>
    <row r="4" spans="1:18">
      <c r="A4" s="250" t="s">
        <v>2</v>
      </c>
      <c r="B4" s="251"/>
      <c r="C4" s="251"/>
      <c r="D4" s="251"/>
      <c r="E4" s="251"/>
      <c r="F4" s="251"/>
      <c r="G4" s="252"/>
      <c r="H4" s="11"/>
      <c r="I4" s="11"/>
      <c r="J4" s="44" t="s">
        <v>3</v>
      </c>
      <c r="K4" s="254" t="s">
        <v>4</v>
      </c>
      <c r="L4" s="254"/>
    </row>
    <row r="5" spans="1:18">
      <c r="A5" s="2"/>
      <c r="B5" s="11" t="s">
        <v>5</v>
      </c>
      <c r="C5" s="11"/>
      <c r="E5"/>
      <c r="F5" s="11" t="s">
        <v>6</v>
      </c>
      <c r="G5" s="14"/>
      <c r="J5" s="44" t="s">
        <v>7</v>
      </c>
      <c r="K5" s="244" t="s">
        <v>8</v>
      </c>
      <c r="L5" s="244"/>
    </row>
    <row r="6" spans="1:18" ht="15.75" thickBot="1">
      <c r="A6" s="15"/>
      <c r="B6" s="12" t="s">
        <v>9</v>
      </c>
      <c r="C6" s="12"/>
      <c r="D6" s="8"/>
      <c r="E6" s="8"/>
      <c r="F6" s="12" t="s">
        <v>10</v>
      </c>
      <c r="G6" s="16"/>
    </row>
    <row r="7" spans="1:18" ht="16.5" thickTop="1" thickBot="1">
      <c r="B7" s="11"/>
      <c r="C7" s="13"/>
      <c r="D7" s="13"/>
      <c r="E7" s="13"/>
      <c r="F7" s="13"/>
      <c r="G7" s="13"/>
      <c r="H7" s="13"/>
      <c r="I7" s="13"/>
      <c r="J7" s="13"/>
    </row>
    <row r="8" spans="1:18" ht="15.75" thickTop="1">
      <c r="A8" s="3"/>
      <c r="B8" s="4"/>
      <c r="C8" s="9" t="s">
        <v>11</v>
      </c>
      <c r="D8" s="5"/>
      <c r="E8" s="4"/>
      <c r="F8" s="10" t="s">
        <v>11</v>
      </c>
      <c r="G8" s="11"/>
      <c r="H8" s="255" t="s">
        <v>12</v>
      </c>
      <c r="I8" s="256"/>
      <c r="J8" s="256"/>
      <c r="K8" s="256"/>
      <c r="L8" s="257"/>
      <c r="M8" s="17"/>
      <c r="N8" s="255" t="s">
        <v>13</v>
      </c>
      <c r="O8" s="256"/>
      <c r="P8" s="256"/>
      <c r="Q8" s="257"/>
      <c r="R8" s="11"/>
    </row>
    <row r="9" spans="1:18">
      <c r="A9" s="2" t="s">
        <v>14</v>
      </c>
      <c r="B9" s="1">
        <v>1</v>
      </c>
      <c r="C9" s="51"/>
      <c r="D9" t="s">
        <v>14</v>
      </c>
      <c r="E9" s="1">
        <v>33</v>
      </c>
      <c r="F9" s="53"/>
      <c r="H9" s="23" t="s">
        <v>15</v>
      </c>
      <c r="I9" s="239" t="s">
        <v>16</v>
      </c>
      <c r="J9" s="239"/>
      <c r="K9" s="239" t="s">
        <v>17</v>
      </c>
      <c r="L9" s="240"/>
      <c r="N9" s="246" t="s">
        <v>18</v>
      </c>
      <c r="O9" s="239"/>
      <c r="P9" s="40" t="s">
        <v>11</v>
      </c>
      <c r="Q9" s="37" t="s">
        <v>19</v>
      </c>
    </row>
    <row r="10" spans="1:18" ht="15" customHeight="1" thickBot="1">
      <c r="A10" s="2" t="s">
        <v>14</v>
      </c>
      <c r="B10" s="1">
        <f>B9+1</f>
        <v>2</v>
      </c>
      <c r="C10" s="51"/>
      <c r="D10" t="s">
        <v>14</v>
      </c>
      <c r="E10" s="1">
        <f t="shared" ref="E10:E15" si="0">E9+1</f>
        <v>34</v>
      </c>
      <c r="F10" s="53"/>
      <c r="H10" s="25">
        <f>SUM(IF(C9="?",1,0),IF(C10="?",1,0),IF(C11="?",1,0),IF(C12="?",1,0),IF(C13="?",1,0),IF(C14="?",1,0),IF(C15="?",1,0),IF(C16="?",1,0),IF(C17="?",1,0),IF(C18="?",1,0),IF(C19="?",1,0),IF(C20="?",1,0),IF(C21="?",1,0),IF(C22="?",1,0),IF(C23="?",1,0),IF(C24="?",1,0),IF(C25="?",1,0),IF(C26="?",1,0),IF(C27="?",1,0),IF(C28="?",1,0),IF(C29="?",1,0),IF(C30="?",1,0),IF(C31="?",1,0),IF(C32="?",1,0),IF(C33="?",1,0),IF(C34="?",1,0),IF(C35="?",1,0),IF(C36="?",1,0),IF(C37="?",1,0),IF(C38="?",1,0),IF(C39="?",1,0),IF(C40="?",1,0),IF(F9="?",1,0),IF(F10="?",1,0),IF(F11="?",1,0),IF(F12="?",1,0),IF(F13="?",1,0),IF(F14="?",1,0),IF(F15="?",1,0),IF(F16="?",1,0),IF(F17="?",1,0),IF(F18="?",1,0),IF(F19="?",1,0),IF(F20="?",1,0),IF(F21="?",1,0),IF(F22="?",1,0),IF(F23="?",1,0),IF(F24="?",1,0),IF(F25="?",1,0),IF(F26="?",1,0),IF(F27="?",1,0),IF(F28="?",1,0),IF(F29="?",1,0),IF(F30="?",1,0),IF(F31="?",1,0),IF(F32="?",1,0),IF(F33="?",1,0),IF(F34="?",1,0),IF(F35="?",1,0),IF(F36="?",1,0),IF(F37="?",1,0),IF(F38="?",1,0),IF(F39="?",1,0))</f>
        <v>0</v>
      </c>
      <c r="I10" s="258">
        <v>12</v>
      </c>
      <c r="J10" s="258"/>
      <c r="K10" s="258" t="str">
        <f>IF(H10&gt;I10,"Invalid","Acceptable")</f>
        <v>Acceptable</v>
      </c>
      <c r="L10" s="259"/>
      <c r="N10" s="235" t="s">
        <v>20</v>
      </c>
      <c r="O10" s="236"/>
      <c r="P10" s="22">
        <f>IF(Q10&lt;2,SUM(C9,C18,C24,C32,C38,F15,F24,F38,Q10),"INVALID")</f>
        <v>0</v>
      </c>
      <c r="Q10" s="36">
        <f>SUM(IF(C9="?",1,0),IF(C18="?",1,0),IF(C24="?",1,0),IF(C32="?",1,0),IF(C38="?",1,0),IF(F15="?",1,0),IF(F24="?",1,0),IF(F38="?",1,0))</f>
        <v>0</v>
      </c>
      <c r="R10" s="17"/>
    </row>
    <row r="11" spans="1:18" ht="16.5" thickTop="1" thickBot="1">
      <c r="A11" s="2" t="s">
        <v>14</v>
      </c>
      <c r="B11" s="1">
        <f>B10+1</f>
        <v>3</v>
      </c>
      <c r="C11" s="51"/>
      <c r="D11" t="s">
        <v>14</v>
      </c>
      <c r="E11" s="1">
        <f t="shared" si="0"/>
        <v>35</v>
      </c>
      <c r="F11" s="53"/>
      <c r="I11" s="1"/>
      <c r="L11" s="1"/>
      <c r="N11" s="235" t="s">
        <v>21</v>
      </c>
      <c r="O11" s="236"/>
      <c r="P11" s="22">
        <f>IF(Q11&lt;2,SUM(C12,C21,C28,C34,Q11),"INVALID")</f>
        <v>0</v>
      </c>
      <c r="Q11" s="36">
        <f>SUM(IF(C12="?",1,0),IF(C21="?",1,0),IF(C28="?",1,0),IF(C34="?",1,0))</f>
        <v>0</v>
      </c>
      <c r="R11" s="33"/>
    </row>
    <row r="12" spans="1:18" ht="15.75" thickTop="1">
      <c r="A12" s="2" t="s">
        <v>14</v>
      </c>
      <c r="B12" s="1">
        <f t="shared" ref="B12:B15" si="1">B11+1</f>
        <v>4</v>
      </c>
      <c r="C12" s="51"/>
      <c r="D12" t="s">
        <v>14</v>
      </c>
      <c r="E12" s="1">
        <f t="shared" si="0"/>
        <v>36</v>
      </c>
      <c r="F12" s="53"/>
      <c r="H12" s="255" t="s">
        <v>22</v>
      </c>
      <c r="I12" s="256"/>
      <c r="J12" s="256"/>
      <c r="K12" s="256"/>
      <c r="L12" s="257"/>
      <c r="N12" s="235" t="s">
        <v>23</v>
      </c>
      <c r="O12" s="236"/>
      <c r="P12" s="41">
        <f>IF(AND(Q10&lt;2,Q11&lt;2),SUM(P10:P11),"INVALID")</f>
        <v>0</v>
      </c>
      <c r="Q12" s="38">
        <f>SUM(Q10:Q11)</f>
        <v>0</v>
      </c>
    </row>
    <row r="13" spans="1:18">
      <c r="A13" s="2" t="s">
        <v>14</v>
      </c>
      <c r="B13" s="1">
        <f t="shared" si="1"/>
        <v>5</v>
      </c>
      <c r="C13" s="51"/>
      <c r="D13" t="s">
        <v>14</v>
      </c>
      <c r="E13" s="1">
        <f t="shared" si="0"/>
        <v>37</v>
      </c>
      <c r="F13" s="53"/>
      <c r="H13" s="23" t="s">
        <v>24</v>
      </c>
      <c r="I13" s="239" t="s">
        <v>25</v>
      </c>
      <c r="J13" s="239"/>
      <c r="K13" s="239" t="s">
        <v>17</v>
      </c>
      <c r="L13" s="240"/>
      <c r="N13" s="235" t="s">
        <v>26</v>
      </c>
      <c r="O13" s="236"/>
      <c r="P13" s="22">
        <f>IF(Q13&lt;2,SUM(C10,C19,C25,C39,F16,F25,F34,F36,Q13),"INVALID")</f>
        <v>0</v>
      </c>
      <c r="Q13" s="36">
        <f>SUM(IF(C10="?",1,0),IF(C19="?",1,0),IF(C25="?",1,0),IF(C39="?",1,0),IF(F16="?",1,0),IF(F25="?",1,0),IF(F34="?",1,0),IF(F36="?",1,0))</f>
        <v>0</v>
      </c>
      <c r="R13" s="18"/>
    </row>
    <row r="14" spans="1:18" ht="15.75" thickBot="1">
      <c r="A14" s="2" t="s">
        <v>14</v>
      </c>
      <c r="B14" s="1">
        <f t="shared" si="1"/>
        <v>6</v>
      </c>
      <c r="C14" s="51"/>
      <c r="D14" t="s">
        <v>14</v>
      </c>
      <c r="E14" s="1">
        <f t="shared" si="0"/>
        <v>38</v>
      </c>
      <c r="F14" s="53"/>
      <c r="H14" s="25">
        <f>SUM(IF(C22="?",0,TRUNC(C22/3)),IF(C36="?",0,TRUNC(C36/3)),IF(C38="?",0,TRUNC(C38/3)),IF(F10="?",0,TRUNC(F10/3)),IF(F15="?",0,TRUNC(F15/3)),IF(F17="?",0,TRUNC(F17/3)),IF(F34="?",0,TRUNC(F34/3)),IF(F36="?",0,TRUNC(F36/3)))</f>
        <v>0</v>
      </c>
      <c r="I14" s="258" t="str">
        <f>IF(H14&gt;7,"&gt;99",IF(H14=7,"99","≤98"))</f>
        <v>≤98</v>
      </c>
      <c r="J14" s="258"/>
      <c r="K14" s="258" t="str">
        <f>IF(H14&gt;7,"Highly Elevated",IF(H14=7,"Elevated","Acceptable"))</f>
        <v>Acceptable</v>
      </c>
      <c r="L14" s="259"/>
      <c r="N14" s="235" t="s">
        <v>27</v>
      </c>
      <c r="O14" s="236"/>
      <c r="P14" s="22">
        <f>IF(Q14&lt;2,SUM(C14,C22,C30,C35,F10,F19,F27,F32,Q14),"INVALID")</f>
        <v>0</v>
      </c>
      <c r="Q14" s="36">
        <f>SUM(IF(C14="?",1,0),IF(C22="?",1,0),IF(C30="?",1,0),IF(C35="?",1,0),IF(F10="?",1,0),IF(F19="?",1,0),IF(F27="?",1,0),IF(F32="?",1,0))</f>
        <v>0</v>
      </c>
    </row>
    <row r="15" spans="1:18" ht="16.5" thickTop="1" thickBot="1">
      <c r="A15" s="2" t="s">
        <v>14</v>
      </c>
      <c r="B15" s="1">
        <f t="shared" si="1"/>
        <v>7</v>
      </c>
      <c r="C15" s="51"/>
      <c r="D15" t="s">
        <v>14</v>
      </c>
      <c r="E15" s="1">
        <f t="shared" si="0"/>
        <v>39</v>
      </c>
      <c r="F15" s="53"/>
      <c r="I15" s="1"/>
      <c r="L15" s="1"/>
      <c r="N15" s="235" t="s">
        <v>28</v>
      </c>
      <c r="O15" s="236"/>
      <c r="P15" s="41">
        <f>IF(AND(Q13&lt;2,Q14&lt;2),SUM(P13:P14),"INVALID")</f>
        <v>0</v>
      </c>
      <c r="Q15" s="38">
        <f>SUM(Q13:Q14)</f>
        <v>0</v>
      </c>
      <c r="R15" s="33"/>
    </row>
    <row r="16" spans="1:18" ht="15.75" thickTop="1">
      <c r="A16" s="2" t="s">
        <v>14</v>
      </c>
      <c r="B16" s="1">
        <f t="shared" ref="B16:B33" si="2">B15+1</f>
        <v>8</v>
      </c>
      <c r="C16" s="51"/>
      <c r="D16" t="s">
        <v>14</v>
      </c>
      <c r="E16" s="1">
        <f t="shared" ref="E16:E39" si="3">E15+1</f>
        <v>40</v>
      </c>
      <c r="F16" s="53"/>
      <c r="H16" s="255" t="s">
        <v>29</v>
      </c>
      <c r="I16" s="256"/>
      <c r="J16" s="256"/>
      <c r="K16" s="256"/>
      <c r="L16" s="257"/>
      <c r="N16" s="235" t="s">
        <v>30</v>
      </c>
      <c r="O16" s="236"/>
      <c r="P16" s="22">
        <f>IF(Q16&lt;2,SUM(C17,F14,F26,F31,F37,Q16),"INVALID")</f>
        <v>0</v>
      </c>
      <c r="Q16" s="36">
        <f>SUM(IF(C17="?",1,0),IF(F14="?",1,0),IF(F26="?",1,0),IF(F31="?",1,0),IF(F37="?",1,0))</f>
        <v>0</v>
      </c>
      <c r="R16" s="33"/>
    </row>
    <row r="17" spans="1:21">
      <c r="A17" s="2" t="s">
        <v>14</v>
      </c>
      <c r="B17" s="1">
        <f t="shared" si="2"/>
        <v>9</v>
      </c>
      <c r="C17" s="51"/>
      <c r="D17" t="s">
        <v>14</v>
      </c>
      <c r="E17" s="1">
        <f t="shared" si="3"/>
        <v>41</v>
      </c>
      <c r="F17" s="53"/>
      <c r="H17" s="23" t="s">
        <v>24</v>
      </c>
      <c r="I17" s="239" t="s">
        <v>25</v>
      </c>
      <c r="J17" s="239"/>
      <c r="K17" s="239" t="s">
        <v>17</v>
      </c>
      <c r="L17" s="240"/>
      <c r="N17" s="235" t="s">
        <v>31</v>
      </c>
      <c r="O17" s="236"/>
      <c r="P17" s="22">
        <f>IF(Q17&lt;2,SUM(C11,C20,C27,C33,C36,C40,F17,F22,Q17),"INVALID")</f>
        <v>0</v>
      </c>
      <c r="Q17" s="36">
        <f>SUM(IF(C11="?",1,0),IF(C20="?",1,0),IF(C27="?",1,0),IF(C33="?",1,0),IF(C36="?",1,0),IF(C40="?",1,0),IF(F17="?",1,0),IF(F22="?",1,0))</f>
        <v>0</v>
      </c>
      <c r="R17" s="33"/>
    </row>
    <row r="18" spans="1:21" s="34" customFormat="1" ht="15.75" thickBot="1">
      <c r="A18" s="2" t="s">
        <v>14</v>
      </c>
      <c r="B18" s="1">
        <f t="shared" si="2"/>
        <v>10</v>
      </c>
      <c r="C18" s="51"/>
      <c r="D18" t="s">
        <v>14</v>
      </c>
      <c r="E18" s="1">
        <f t="shared" si="3"/>
        <v>42</v>
      </c>
      <c r="F18" s="53"/>
      <c r="H18" s="25">
        <f>SUM(IF(C26="?",0,ROUND(C26/3,0)),IF(F12="?",0,ROUND(F12/3,0)),IF(F30="?",0,ROUND(F30/3,0)))</f>
        <v>0</v>
      </c>
      <c r="I18" s="258" t="str">
        <f>IF(H18=0,"99","&gt;99")</f>
        <v>99</v>
      </c>
      <c r="J18" s="258"/>
      <c r="K18" s="258" t="str">
        <f>IF(H18=0,"Acceptable","Questionable")</f>
        <v>Acceptable</v>
      </c>
      <c r="L18" s="259"/>
      <c r="N18" s="235" t="s">
        <v>32</v>
      </c>
      <c r="O18" s="236"/>
      <c r="P18" s="22">
        <f>IF(Q18&lt;2,SUM(C15,C23,C31,F11,F20,F28,F33,F35,Q18),"INVALID")</f>
        <v>0</v>
      </c>
      <c r="Q18" s="36">
        <f>SUM(IF(C15="?",1,0),IF(C23="?",1,0),IF(C31="?",1,0),IF(F11="?",1,0),IF(F20="?",1,0),IF(F28="?",1,0),IF(F33="?",1,0),IF(F35="?",1,0))</f>
        <v>0</v>
      </c>
      <c r="R18" s="33"/>
    </row>
    <row r="19" spans="1:21" ht="16.5" thickTop="1" thickBot="1">
      <c r="A19" s="2" t="s">
        <v>14</v>
      </c>
      <c r="B19" s="1">
        <f t="shared" si="2"/>
        <v>11</v>
      </c>
      <c r="C19" s="51"/>
      <c r="D19" t="s">
        <v>14</v>
      </c>
      <c r="E19" s="1">
        <f t="shared" si="3"/>
        <v>43</v>
      </c>
      <c r="F19" s="53"/>
      <c r="I19" s="1"/>
      <c r="L19" s="1"/>
      <c r="N19" s="235" t="s">
        <v>33</v>
      </c>
      <c r="O19" s="236"/>
      <c r="P19" s="22">
        <f>IF(Q19&lt;2,SUM(C13,C29,C37,F9,F18,Q19),"INVALID")</f>
        <v>0</v>
      </c>
      <c r="Q19" s="36">
        <f>SUM(IF(C13="?",1,0),IF(C29="?",1,0),IF(C37="?",1,0),IF(F9="?",1,0),IF(F18="?",1,0))</f>
        <v>0</v>
      </c>
      <c r="R19" s="33"/>
    </row>
    <row r="20" spans="1:21" ht="15.75" thickTop="1">
      <c r="A20" s="2" t="s">
        <v>14</v>
      </c>
      <c r="B20" s="1">
        <f t="shared" si="2"/>
        <v>12</v>
      </c>
      <c r="C20" s="51"/>
      <c r="D20" t="s">
        <v>14</v>
      </c>
      <c r="E20" s="1">
        <f t="shared" si="3"/>
        <v>44</v>
      </c>
      <c r="F20" s="53"/>
      <c r="H20" s="255" t="s">
        <v>34</v>
      </c>
      <c r="I20" s="256"/>
      <c r="J20" s="256"/>
      <c r="K20" s="256"/>
      <c r="L20" s="257"/>
      <c r="N20" s="235" t="s">
        <v>35</v>
      </c>
      <c r="O20" s="236"/>
      <c r="P20" s="22">
        <f>IF(Q20&lt;2,SUM(C16,F13,F21,F23,F29,F39,Q20),"INVALID")</f>
        <v>0</v>
      </c>
      <c r="Q20" s="36">
        <f>SUM(IF(C16="?",1,0),IF(F13="?",1,0),IF(F21="?",1,0),IF(F23="?",1,0),IF(F29="?",1,0),IF(F39="?",1,0))</f>
        <v>0</v>
      </c>
    </row>
    <row r="21" spans="1:21">
      <c r="A21" s="2" t="s">
        <v>14</v>
      </c>
      <c r="B21" s="1">
        <f t="shared" si="2"/>
        <v>13</v>
      </c>
      <c r="C21" s="51"/>
      <c r="D21" t="s">
        <v>14</v>
      </c>
      <c r="E21" s="1">
        <f t="shared" si="3"/>
        <v>45</v>
      </c>
      <c r="F21" s="53"/>
      <c r="H21" s="23" t="s">
        <v>24</v>
      </c>
      <c r="I21" s="239" t="s">
        <v>25</v>
      </c>
      <c r="J21" s="239"/>
      <c r="K21" s="239" t="s">
        <v>17</v>
      </c>
      <c r="L21" s="240"/>
      <c r="N21" s="235" t="s">
        <v>36</v>
      </c>
      <c r="O21" s="236"/>
      <c r="P21" s="41">
        <f>IF(AND(Q16&lt;2,Q17&lt;2,Q18&lt;2,Q19&lt;2,Q20&lt;2),SUM(P16:P20),"INVALID")</f>
        <v>0</v>
      </c>
      <c r="Q21" s="38">
        <f>SUM(Q16:Q20)</f>
        <v>0</v>
      </c>
      <c r="R21" s="18"/>
    </row>
    <row r="22" spans="1:21" ht="15.75" thickBot="1">
      <c r="A22" s="2" t="s">
        <v>14</v>
      </c>
      <c r="B22" s="1">
        <f t="shared" si="2"/>
        <v>14</v>
      </c>
      <c r="C22" s="51"/>
      <c r="D22" t="s">
        <v>14</v>
      </c>
      <c r="E22" s="1">
        <f t="shared" si="3"/>
        <v>46</v>
      </c>
      <c r="F22" s="53"/>
      <c r="H22" s="28">
        <f>SUM(L25:L32)</f>
        <v>0</v>
      </c>
      <c r="I22" s="260" t="str">
        <f>IF(H22&gt;10,"&gt;99",IF(H22&lt;7,"≤98","99"))</f>
        <v>≤98</v>
      </c>
      <c r="J22" s="260"/>
      <c r="K22" s="260" t="str">
        <f>IF(H22&gt;10,"Inconsistent",IF(H22&lt;7,"Acceptable","Questionable"))</f>
        <v>Acceptable</v>
      </c>
      <c r="L22" s="261"/>
      <c r="N22" s="237" t="s">
        <v>37</v>
      </c>
      <c r="O22" s="238"/>
      <c r="P22" s="42">
        <f>IF(P12="INVALID","INVALID",IF(P15="INVALID","INVALID",IF(P21="INVALID","INVALID",SUM(P12,P15,P21))))</f>
        <v>0</v>
      </c>
      <c r="Q22" s="39">
        <f>SUM(Q12,Q15,Q21)</f>
        <v>0</v>
      </c>
    </row>
    <row r="23" spans="1:21" ht="16.5" thickTop="1" thickBot="1">
      <c r="A23" s="2" t="s">
        <v>14</v>
      </c>
      <c r="B23" s="1">
        <f t="shared" si="2"/>
        <v>15</v>
      </c>
      <c r="C23" s="51"/>
      <c r="D23" t="s">
        <v>14</v>
      </c>
      <c r="E23" s="1">
        <f t="shared" si="3"/>
        <v>47</v>
      </c>
      <c r="F23" s="53"/>
      <c r="H23" s="2"/>
      <c r="I23" s="1"/>
      <c r="L23" s="29"/>
    </row>
    <row r="24" spans="1:21" ht="15.75" thickTop="1">
      <c r="A24" s="2" t="s">
        <v>14</v>
      </c>
      <c r="B24" s="1">
        <f t="shared" si="2"/>
        <v>16</v>
      </c>
      <c r="C24" s="51"/>
      <c r="D24" t="s">
        <v>14</v>
      </c>
      <c r="E24" s="1">
        <f t="shared" si="3"/>
        <v>48</v>
      </c>
      <c r="F24" s="53"/>
      <c r="H24" s="23" t="s">
        <v>38</v>
      </c>
      <c r="I24" s="21" t="s">
        <v>39</v>
      </c>
      <c r="J24" s="21" t="s">
        <v>38</v>
      </c>
      <c r="K24" s="21" t="s">
        <v>39</v>
      </c>
      <c r="L24" s="24" t="s">
        <v>40</v>
      </c>
      <c r="N24" s="241" t="s">
        <v>41</v>
      </c>
      <c r="O24" s="242"/>
      <c r="P24" s="242"/>
      <c r="Q24" s="242"/>
      <c r="R24" s="242"/>
      <c r="S24" s="242"/>
      <c r="T24" s="242"/>
      <c r="U24" s="243"/>
    </row>
    <row r="25" spans="1:21">
      <c r="A25" s="2" t="s">
        <v>14</v>
      </c>
      <c r="B25" s="1">
        <f t="shared" si="2"/>
        <v>17</v>
      </c>
      <c r="C25" s="51"/>
      <c r="D25" t="s">
        <v>14</v>
      </c>
      <c r="E25" s="1">
        <f t="shared" si="3"/>
        <v>49</v>
      </c>
      <c r="F25" s="53"/>
      <c r="H25" s="30">
        <v>5</v>
      </c>
      <c r="I25" s="22">
        <f>IF(C13="?",1,C13)</f>
        <v>0</v>
      </c>
      <c r="J25" s="19">
        <v>21</v>
      </c>
      <c r="K25" s="22">
        <f>IF(C29="?",1,C29)</f>
        <v>0</v>
      </c>
      <c r="L25" s="36">
        <f>ABS(I25-K25)</f>
        <v>0</v>
      </c>
      <c r="N25" s="246" t="s">
        <v>18</v>
      </c>
      <c r="O25" s="239"/>
      <c r="P25" s="40" t="s">
        <v>11</v>
      </c>
      <c r="Q25" s="21" t="s">
        <v>42</v>
      </c>
      <c r="R25" s="21" t="s">
        <v>43</v>
      </c>
      <c r="S25" s="239" t="s">
        <v>44</v>
      </c>
      <c r="T25" s="239"/>
      <c r="U25" s="240"/>
    </row>
    <row r="26" spans="1:21">
      <c r="A26" s="2" t="s">
        <v>14</v>
      </c>
      <c r="B26" s="1">
        <f t="shared" si="2"/>
        <v>18</v>
      </c>
      <c r="C26" s="51"/>
      <c r="D26" t="s">
        <v>14</v>
      </c>
      <c r="E26" s="1">
        <f t="shared" si="3"/>
        <v>50</v>
      </c>
      <c r="F26" s="53"/>
      <c r="H26" s="30">
        <v>9</v>
      </c>
      <c r="I26" s="22">
        <f>IF(C17="?",1,C17)</f>
        <v>0</v>
      </c>
      <c r="J26" s="19">
        <v>55</v>
      </c>
      <c r="K26" s="22">
        <f>IF(F31="?",1,F31)</f>
        <v>0</v>
      </c>
      <c r="L26" s="36">
        <f t="shared" ref="L26:L32" si="4">ABS(I26-K26)</f>
        <v>0</v>
      </c>
      <c r="N26" s="235" t="s">
        <v>20</v>
      </c>
      <c r="O26" s="236"/>
      <c r="P26" s="22">
        <f t="shared" ref="P26:P38" si="5">P10</f>
        <v>0</v>
      </c>
      <c r="Q26" s="22" t="str">
        <f>'Calc - Parent'!D7</f>
        <v/>
      </c>
      <c r="R26" s="22" t="str">
        <f>'Calc - Parent'!E7</f>
        <v/>
      </c>
      <c r="S26" s="45" t="e">
        <f>'Calc - Parent'!F7</f>
        <v>#VALUE!</v>
      </c>
      <c r="T26" s="22" t="s">
        <v>45</v>
      </c>
      <c r="U26" s="46" t="e">
        <f>'Calc - Parent'!G7</f>
        <v>#VALUE!</v>
      </c>
    </row>
    <row r="27" spans="1:21">
      <c r="A27" s="2" t="s">
        <v>14</v>
      </c>
      <c r="B27" s="1">
        <f t="shared" si="2"/>
        <v>19</v>
      </c>
      <c r="C27" s="51"/>
      <c r="D27" t="s">
        <v>14</v>
      </c>
      <c r="E27" s="1">
        <f t="shared" si="3"/>
        <v>51</v>
      </c>
      <c r="F27" s="53"/>
      <c r="H27" s="30">
        <v>10</v>
      </c>
      <c r="I27" s="22">
        <f>IF(C18="?",1,C18)</f>
        <v>0</v>
      </c>
      <c r="J27" s="19">
        <v>48</v>
      </c>
      <c r="K27" s="22">
        <f>IF(F24="?",1,F24)</f>
        <v>0</v>
      </c>
      <c r="L27" s="36">
        <f t="shared" si="4"/>
        <v>0</v>
      </c>
      <c r="N27" s="235" t="s">
        <v>21</v>
      </c>
      <c r="O27" s="236"/>
      <c r="P27" s="22">
        <f t="shared" si="5"/>
        <v>0</v>
      </c>
      <c r="Q27" s="22" t="str">
        <f>'Calc - Parent'!D8</f>
        <v/>
      </c>
      <c r="R27" s="22" t="str">
        <f>'Calc - Parent'!E8</f>
        <v/>
      </c>
      <c r="S27" s="45" t="e">
        <f>'Calc - Parent'!F8</f>
        <v>#VALUE!</v>
      </c>
      <c r="T27" s="22" t="s">
        <v>45</v>
      </c>
      <c r="U27" s="46" t="e">
        <f>'Calc - Parent'!G8</f>
        <v>#VALUE!</v>
      </c>
    </row>
    <row r="28" spans="1:21">
      <c r="A28" s="2" t="s">
        <v>14</v>
      </c>
      <c r="B28" s="1">
        <f t="shared" si="2"/>
        <v>20</v>
      </c>
      <c r="C28" s="51"/>
      <c r="D28" t="s">
        <v>14</v>
      </c>
      <c r="E28" s="1">
        <f t="shared" si="3"/>
        <v>52</v>
      </c>
      <c r="F28" s="53"/>
      <c r="H28" s="30">
        <v>17</v>
      </c>
      <c r="I28" s="22">
        <f>IF(C25="?",1,C25)</f>
        <v>0</v>
      </c>
      <c r="J28" s="19">
        <v>40</v>
      </c>
      <c r="K28" s="22">
        <f>IF(F16="?",1,F16)</f>
        <v>0</v>
      </c>
      <c r="L28" s="36">
        <f t="shared" si="4"/>
        <v>0</v>
      </c>
      <c r="N28" s="235" t="s">
        <v>23</v>
      </c>
      <c r="O28" s="236"/>
      <c r="P28" s="41">
        <f t="shared" si="5"/>
        <v>0</v>
      </c>
      <c r="Q28" s="41" t="str">
        <f>'Calc - Parent'!D9</f>
        <v/>
      </c>
      <c r="R28" s="41" t="str">
        <f>'Calc - Parent'!E9</f>
        <v/>
      </c>
      <c r="S28" s="47" t="e">
        <f>'Calc - Parent'!F9</f>
        <v>#VALUE!</v>
      </c>
      <c r="T28" s="41" t="s">
        <v>45</v>
      </c>
      <c r="U28" s="48" t="e">
        <f>'Calc - Parent'!G9</f>
        <v>#VALUE!</v>
      </c>
    </row>
    <row r="29" spans="1:21" ht="15" customHeight="1">
      <c r="A29" s="2" t="s">
        <v>14</v>
      </c>
      <c r="B29" s="1">
        <f t="shared" si="2"/>
        <v>21</v>
      </c>
      <c r="C29" s="51"/>
      <c r="D29" t="s">
        <v>14</v>
      </c>
      <c r="E29" s="1">
        <f t="shared" si="3"/>
        <v>53</v>
      </c>
      <c r="F29" s="53"/>
      <c r="H29" s="30">
        <v>20</v>
      </c>
      <c r="I29" s="22">
        <f>IF(C28="?",1,C28)</f>
        <v>0</v>
      </c>
      <c r="J29" s="19">
        <v>26</v>
      </c>
      <c r="K29" s="22">
        <f>IF(C34="?",1,C34)</f>
        <v>0</v>
      </c>
      <c r="L29" s="36">
        <f t="shared" si="4"/>
        <v>0</v>
      </c>
      <c r="N29" s="235" t="s">
        <v>26</v>
      </c>
      <c r="O29" s="236"/>
      <c r="P29" s="22">
        <f t="shared" si="5"/>
        <v>0</v>
      </c>
      <c r="Q29" s="22" t="str">
        <f>'Calc - Parent'!D10</f>
        <v/>
      </c>
      <c r="R29" s="22" t="str">
        <f>'Calc - Parent'!E10</f>
        <v/>
      </c>
      <c r="S29" s="45" t="e">
        <f>'Calc - Parent'!F10</f>
        <v>#VALUE!</v>
      </c>
      <c r="T29" s="22" t="s">
        <v>45</v>
      </c>
      <c r="U29" s="46" t="e">
        <f>'Calc - Parent'!G10</f>
        <v>#VALUE!</v>
      </c>
    </row>
    <row r="30" spans="1:21">
      <c r="A30" s="2" t="s">
        <v>14</v>
      </c>
      <c r="B30" s="1">
        <f t="shared" si="2"/>
        <v>22</v>
      </c>
      <c r="C30" s="51"/>
      <c r="D30" t="s">
        <v>14</v>
      </c>
      <c r="E30" s="1">
        <f t="shared" si="3"/>
        <v>54</v>
      </c>
      <c r="F30" s="53"/>
      <c r="H30" s="30">
        <v>22</v>
      </c>
      <c r="I30" s="22">
        <f>IF(C30="?",1,C30)</f>
        <v>0</v>
      </c>
      <c r="J30" s="19">
        <v>56</v>
      </c>
      <c r="K30" s="22">
        <f>IF(F32="?",1,F32)</f>
        <v>0</v>
      </c>
      <c r="L30" s="36">
        <f t="shared" si="4"/>
        <v>0</v>
      </c>
      <c r="N30" s="235" t="s">
        <v>27</v>
      </c>
      <c r="O30" s="236"/>
      <c r="P30" s="22">
        <f t="shared" si="5"/>
        <v>0</v>
      </c>
      <c r="Q30" s="22" t="str">
        <f>'Calc - Parent'!D11</f>
        <v/>
      </c>
      <c r="R30" s="22" t="str">
        <f>'Calc - Parent'!E11</f>
        <v/>
      </c>
      <c r="S30" s="45" t="e">
        <f>'Calc - Parent'!F11</f>
        <v>#VALUE!</v>
      </c>
      <c r="T30" s="22" t="s">
        <v>45</v>
      </c>
      <c r="U30" s="46" t="e">
        <f>'Calc - Parent'!G11</f>
        <v>#VALUE!</v>
      </c>
    </row>
    <row r="31" spans="1:21">
      <c r="A31" s="2" t="s">
        <v>14</v>
      </c>
      <c r="B31" s="1">
        <f t="shared" si="2"/>
        <v>23</v>
      </c>
      <c r="C31" s="51"/>
      <c r="D31" t="s">
        <v>14</v>
      </c>
      <c r="E31" s="1">
        <f t="shared" si="3"/>
        <v>55</v>
      </c>
      <c r="F31" s="53"/>
      <c r="H31" s="30">
        <v>25</v>
      </c>
      <c r="I31" s="22">
        <f>IF(C33="?",1,C33)</f>
        <v>0</v>
      </c>
      <c r="J31" s="19">
        <v>50</v>
      </c>
      <c r="K31" s="22">
        <f>IF(F26="?",1,F26)</f>
        <v>0</v>
      </c>
      <c r="L31" s="36">
        <f t="shared" si="4"/>
        <v>0</v>
      </c>
      <c r="N31" s="235" t="s">
        <v>28</v>
      </c>
      <c r="O31" s="236"/>
      <c r="P31" s="41">
        <f t="shared" si="5"/>
        <v>0</v>
      </c>
      <c r="Q31" s="41" t="str">
        <f>'Calc - Parent'!D12</f>
        <v/>
      </c>
      <c r="R31" s="41" t="str">
        <f>'Calc - Parent'!E12</f>
        <v/>
      </c>
      <c r="S31" s="47" t="e">
        <f>'Calc - Parent'!F12</f>
        <v>#VALUE!</v>
      </c>
      <c r="T31" s="41" t="s">
        <v>45</v>
      </c>
      <c r="U31" s="48" t="e">
        <f>'Calc - Parent'!G12</f>
        <v>#VALUE!</v>
      </c>
    </row>
    <row r="32" spans="1:21" ht="15.75" thickBot="1">
      <c r="A32" s="2" t="s">
        <v>14</v>
      </c>
      <c r="B32" s="1">
        <f t="shared" si="2"/>
        <v>24</v>
      </c>
      <c r="C32" s="51"/>
      <c r="D32" t="s">
        <v>14</v>
      </c>
      <c r="E32" s="1">
        <f t="shared" si="3"/>
        <v>56</v>
      </c>
      <c r="F32" s="53"/>
      <c r="H32" s="31">
        <v>37</v>
      </c>
      <c r="I32" s="26">
        <f>IF(F13="?",1,F13)</f>
        <v>0</v>
      </c>
      <c r="J32" s="32">
        <v>63</v>
      </c>
      <c r="K32" s="26">
        <f>IF(F39="?",1,F39)</f>
        <v>0</v>
      </c>
      <c r="L32" s="27">
        <f t="shared" si="4"/>
        <v>0</v>
      </c>
      <c r="N32" s="235" t="s">
        <v>30</v>
      </c>
      <c r="O32" s="236"/>
      <c r="P32" s="22">
        <f t="shared" si="5"/>
        <v>0</v>
      </c>
      <c r="Q32" s="22" t="str">
        <f>'Calc - Parent'!D13</f>
        <v/>
      </c>
      <c r="R32" s="22" t="str">
        <f>'Calc - Parent'!E13</f>
        <v/>
      </c>
      <c r="S32" s="45" t="e">
        <f>'Calc - Parent'!F13</f>
        <v>#VALUE!</v>
      </c>
      <c r="T32" s="22" t="s">
        <v>45</v>
      </c>
      <c r="U32" s="46" t="e">
        <f>'Calc - Parent'!G13</f>
        <v>#VALUE!</v>
      </c>
    </row>
    <row r="33" spans="1:21" ht="15.75" customHeight="1" thickTop="1">
      <c r="A33" s="2" t="s">
        <v>14</v>
      </c>
      <c r="B33" s="1">
        <f t="shared" si="2"/>
        <v>25</v>
      </c>
      <c r="C33" s="51"/>
      <c r="D33" t="s">
        <v>14</v>
      </c>
      <c r="E33" s="1">
        <f t="shared" si="3"/>
        <v>57</v>
      </c>
      <c r="F33" s="53"/>
      <c r="I33" s="1"/>
      <c r="L33" s="1"/>
      <c r="N33" s="235" t="s">
        <v>31</v>
      </c>
      <c r="O33" s="236"/>
      <c r="P33" s="22">
        <f t="shared" si="5"/>
        <v>0</v>
      </c>
      <c r="Q33" s="22" t="str">
        <f>'Calc - Parent'!D14</f>
        <v/>
      </c>
      <c r="R33" s="22" t="str">
        <f>'Calc - Parent'!E14</f>
        <v/>
      </c>
      <c r="S33" s="45" t="e">
        <f>'Calc - Parent'!F14</f>
        <v>#VALUE!</v>
      </c>
      <c r="T33" s="22" t="s">
        <v>45</v>
      </c>
      <c r="U33" s="46" t="e">
        <f>'Calc - Parent'!G14</f>
        <v>#VALUE!</v>
      </c>
    </row>
    <row r="34" spans="1:21">
      <c r="A34" s="2" t="s">
        <v>14</v>
      </c>
      <c r="B34" s="1">
        <v>26</v>
      </c>
      <c r="C34" s="51"/>
      <c r="D34" t="s">
        <v>14</v>
      </c>
      <c r="E34" s="1">
        <f t="shared" si="3"/>
        <v>58</v>
      </c>
      <c r="F34" s="53"/>
      <c r="I34" s="1"/>
      <c r="L34" s="1"/>
      <c r="N34" s="235" t="s">
        <v>32</v>
      </c>
      <c r="O34" s="236"/>
      <c r="P34" s="22">
        <f t="shared" si="5"/>
        <v>0</v>
      </c>
      <c r="Q34" s="22" t="str">
        <f>'Calc - Parent'!D15</f>
        <v/>
      </c>
      <c r="R34" s="22" t="str">
        <f>'Calc - Parent'!E15</f>
        <v/>
      </c>
      <c r="S34" s="45" t="e">
        <f>'Calc - Parent'!F15</f>
        <v>#VALUE!</v>
      </c>
      <c r="T34" s="22" t="s">
        <v>45</v>
      </c>
      <c r="U34" s="46" t="e">
        <f>'Calc - Parent'!G15</f>
        <v>#VALUE!</v>
      </c>
    </row>
    <row r="35" spans="1:21">
      <c r="A35" s="2" t="s">
        <v>14</v>
      </c>
      <c r="B35" s="1">
        <v>27</v>
      </c>
      <c r="C35" s="51"/>
      <c r="D35" t="s">
        <v>14</v>
      </c>
      <c r="E35" s="1">
        <f t="shared" si="3"/>
        <v>59</v>
      </c>
      <c r="F35" s="53"/>
      <c r="I35" s="1"/>
      <c r="L35" s="1"/>
      <c r="N35" s="235" t="s">
        <v>33</v>
      </c>
      <c r="O35" s="236"/>
      <c r="P35" s="22">
        <f t="shared" si="5"/>
        <v>0</v>
      </c>
      <c r="Q35" s="22" t="str">
        <f>'Calc - Parent'!D16</f>
        <v/>
      </c>
      <c r="R35" s="22" t="str">
        <f>'Calc - Parent'!E16</f>
        <v/>
      </c>
      <c r="S35" s="45" t="e">
        <f>'Calc - Parent'!F16</f>
        <v>#VALUE!</v>
      </c>
      <c r="T35" s="22" t="s">
        <v>45</v>
      </c>
      <c r="U35" s="46" t="e">
        <f>'Calc - Parent'!G16</f>
        <v>#VALUE!</v>
      </c>
    </row>
    <row r="36" spans="1:21">
      <c r="A36" s="2" t="s">
        <v>14</v>
      </c>
      <c r="B36" s="1">
        <v>28</v>
      </c>
      <c r="C36" s="51"/>
      <c r="D36" t="s">
        <v>14</v>
      </c>
      <c r="E36" s="1">
        <f t="shared" si="3"/>
        <v>60</v>
      </c>
      <c r="F36" s="53"/>
      <c r="I36" s="1"/>
      <c r="L36" s="1"/>
      <c r="N36" s="235" t="s">
        <v>35</v>
      </c>
      <c r="O36" s="236"/>
      <c r="P36" s="22">
        <f t="shared" si="5"/>
        <v>0</v>
      </c>
      <c r="Q36" s="22" t="str">
        <f>'Calc - Parent'!D17</f>
        <v/>
      </c>
      <c r="R36" s="22" t="str">
        <f>'Calc - Parent'!E17</f>
        <v/>
      </c>
      <c r="S36" s="45" t="e">
        <f>'Calc - Parent'!F17</f>
        <v>#VALUE!</v>
      </c>
      <c r="T36" s="22" t="s">
        <v>45</v>
      </c>
      <c r="U36" s="46" t="e">
        <f>'Calc - Parent'!G17</f>
        <v>#VALUE!</v>
      </c>
    </row>
    <row r="37" spans="1:21">
      <c r="A37" s="2" t="s">
        <v>14</v>
      </c>
      <c r="B37" s="1">
        <f>B36+1</f>
        <v>29</v>
      </c>
      <c r="C37" s="51"/>
      <c r="D37" t="s">
        <v>14</v>
      </c>
      <c r="E37" s="1">
        <f t="shared" si="3"/>
        <v>61</v>
      </c>
      <c r="F37" s="53"/>
      <c r="I37" s="1"/>
      <c r="L37" s="1"/>
      <c r="N37" s="235" t="s">
        <v>36</v>
      </c>
      <c r="O37" s="236"/>
      <c r="P37" s="41">
        <f t="shared" si="5"/>
        <v>0</v>
      </c>
      <c r="Q37" s="41" t="str">
        <f>'Calc - Parent'!D18</f>
        <v/>
      </c>
      <c r="R37" s="41" t="str">
        <f>'Calc - Parent'!E18</f>
        <v/>
      </c>
      <c r="S37" s="47" t="e">
        <f>'Calc - Parent'!F18</f>
        <v>#VALUE!</v>
      </c>
      <c r="T37" s="41" t="s">
        <v>45</v>
      </c>
      <c r="U37" s="48" t="e">
        <f>'Calc - Parent'!G18</f>
        <v>#VALUE!</v>
      </c>
    </row>
    <row r="38" spans="1:21" ht="15.75" thickBot="1">
      <c r="A38" s="2" t="s">
        <v>14</v>
      </c>
      <c r="B38" s="1">
        <f>B37+1</f>
        <v>30</v>
      </c>
      <c r="C38" s="51"/>
      <c r="D38" t="s">
        <v>14</v>
      </c>
      <c r="E38" s="1">
        <f t="shared" si="3"/>
        <v>62</v>
      </c>
      <c r="F38" s="53"/>
      <c r="I38" s="1"/>
      <c r="L38" s="1"/>
      <c r="N38" s="237" t="s">
        <v>37</v>
      </c>
      <c r="O38" s="238"/>
      <c r="P38" s="42">
        <f t="shared" si="5"/>
        <v>0</v>
      </c>
      <c r="Q38" s="42" t="str">
        <f>'Calc - Parent'!D19</f>
        <v/>
      </c>
      <c r="R38" s="42" t="str">
        <f>'Calc - Parent'!E19</f>
        <v/>
      </c>
      <c r="S38" s="49" t="e">
        <f>'Calc - Parent'!F19</f>
        <v>#VALUE!</v>
      </c>
      <c r="T38" s="42" t="s">
        <v>45</v>
      </c>
      <c r="U38" s="50" t="e">
        <f>'Calc - Parent'!G19</f>
        <v>#VALUE!</v>
      </c>
    </row>
    <row r="39" spans="1:21" ht="15.75" thickTop="1">
      <c r="A39" s="2" t="s">
        <v>14</v>
      </c>
      <c r="B39" s="1">
        <f>B38+1</f>
        <v>31</v>
      </c>
      <c r="C39" s="51"/>
      <c r="D39" t="s">
        <v>14</v>
      </c>
      <c r="E39" s="1">
        <f t="shared" si="3"/>
        <v>63</v>
      </c>
      <c r="F39" s="53"/>
      <c r="I39" s="1"/>
      <c r="L39" s="1"/>
    </row>
    <row r="40" spans="1:21" ht="15.75" thickBot="1">
      <c r="A40" s="6" t="s">
        <v>14</v>
      </c>
      <c r="B40" s="7">
        <f>B39+1</f>
        <v>32</v>
      </c>
      <c r="C40" s="52"/>
      <c r="D40" s="8"/>
      <c r="E40" s="7"/>
      <c r="F40" s="16"/>
      <c r="I40" s="1"/>
      <c r="L40" s="1"/>
    </row>
    <row r="41" spans="1:21" ht="15.75" thickTop="1">
      <c r="I41" s="1"/>
      <c r="L41" s="1"/>
    </row>
    <row r="42" spans="1:21">
      <c r="I42" s="1"/>
      <c r="L42" s="1"/>
    </row>
  </sheetData>
  <sheetProtection algorithmName="SHA-512" hashValue="kg02FuaWZKYcIHayeg0cu/BYoYOMsfGqABoCHaZLdh3hZ+T0pn3ZrdrPUV+4KKf4OLfd/Af/VXXl4XYq8w93uQ==" saltValue="RP4JYRykXh53BCOL6jZ3Ww==" spinCount="100000" sheet="1" objects="1" scenarios="1"/>
  <mergeCells count="57">
    <mergeCell ref="K13:L13"/>
    <mergeCell ref="K14:L14"/>
    <mergeCell ref="K17:L17"/>
    <mergeCell ref="I17:J17"/>
    <mergeCell ref="H16:L16"/>
    <mergeCell ref="N11:O11"/>
    <mergeCell ref="N12:O12"/>
    <mergeCell ref="N22:O22"/>
    <mergeCell ref="I18:J18"/>
    <mergeCell ref="K18:L18"/>
    <mergeCell ref="N19:O19"/>
    <mergeCell ref="N20:O20"/>
    <mergeCell ref="N21:O21"/>
    <mergeCell ref="I21:J21"/>
    <mergeCell ref="I22:J22"/>
    <mergeCell ref="K22:L22"/>
    <mergeCell ref="K21:L21"/>
    <mergeCell ref="N18:O18"/>
    <mergeCell ref="H20:L20"/>
    <mergeCell ref="I13:J13"/>
    <mergeCell ref="I14:J14"/>
    <mergeCell ref="I10:J10"/>
    <mergeCell ref="K10:L10"/>
    <mergeCell ref="H8:L8"/>
    <mergeCell ref="N8:Q8"/>
    <mergeCell ref="N9:O9"/>
    <mergeCell ref="N10:O10"/>
    <mergeCell ref="K5:L5"/>
    <mergeCell ref="A1:Q1"/>
    <mergeCell ref="N25:O25"/>
    <mergeCell ref="N26:O26"/>
    <mergeCell ref="A3:G3"/>
    <mergeCell ref="A4:G4"/>
    <mergeCell ref="K3:L3"/>
    <mergeCell ref="K4:L4"/>
    <mergeCell ref="N13:O13"/>
    <mergeCell ref="N14:O14"/>
    <mergeCell ref="N15:O15"/>
    <mergeCell ref="N16:O16"/>
    <mergeCell ref="N17:O17"/>
    <mergeCell ref="H12:L12"/>
    <mergeCell ref="I9:J9"/>
    <mergeCell ref="K9:L9"/>
    <mergeCell ref="N37:O37"/>
    <mergeCell ref="N38:O38"/>
    <mergeCell ref="S25:U25"/>
    <mergeCell ref="N24:U24"/>
    <mergeCell ref="N32:O32"/>
    <mergeCell ref="N33:O33"/>
    <mergeCell ref="N34:O34"/>
    <mergeCell ref="N35:O35"/>
    <mergeCell ref="N36:O36"/>
    <mergeCell ref="N27:O27"/>
    <mergeCell ref="N28:O28"/>
    <mergeCell ref="N29:O29"/>
    <mergeCell ref="N30:O30"/>
    <mergeCell ref="N31:O31"/>
  </mergeCells>
  <conditionalFormatting sqref="H10:I10 K10">
    <cfRule type="expression" dxfId="44" priority="13">
      <formula>$H$10&gt;12</formula>
    </cfRule>
  </conditionalFormatting>
  <conditionalFormatting sqref="H14:I14 K14">
    <cfRule type="expression" dxfId="43" priority="17">
      <formula>$H$14=7</formula>
    </cfRule>
    <cfRule type="expression" dxfId="42" priority="18">
      <formula>$H$14&gt;7</formula>
    </cfRule>
  </conditionalFormatting>
  <conditionalFormatting sqref="H18:I18 K18">
    <cfRule type="expression" dxfId="41" priority="16">
      <formula>$H$18&gt;0</formula>
    </cfRule>
  </conditionalFormatting>
  <conditionalFormatting sqref="H22:L22">
    <cfRule type="expression" dxfId="40" priority="14">
      <formula>$H$22&gt;10</formula>
    </cfRule>
    <cfRule type="expression" dxfId="39" priority="15">
      <formula>$H$22&gt;6</formula>
    </cfRule>
  </conditionalFormatting>
  <conditionalFormatting sqref="P10:P22">
    <cfRule type="cellIs" dxfId="38" priority="11" operator="equal">
      <formula>"INVALID"</formula>
    </cfRule>
  </conditionalFormatting>
  <conditionalFormatting sqref="P26:P38">
    <cfRule type="cellIs" dxfId="37" priority="5" operator="equal">
      <formula>"INVALID"</formula>
    </cfRule>
  </conditionalFormatting>
  <conditionalFormatting sqref="Q10:Q11 Q13:Q14 Q16:Q20">
    <cfRule type="cellIs" dxfId="36" priority="12" operator="greaterThan">
      <formula>1</formula>
    </cfRule>
  </conditionalFormatting>
  <conditionalFormatting sqref="Q12">
    <cfRule type="expression" dxfId="35" priority="10">
      <formula>$P$12="INVALID"</formula>
    </cfRule>
  </conditionalFormatting>
  <conditionalFormatting sqref="Q15">
    <cfRule type="expression" dxfId="34" priority="9">
      <formula>$P$15="INVALID"</formula>
    </cfRule>
  </conditionalFormatting>
  <conditionalFormatting sqref="Q21">
    <cfRule type="expression" dxfId="33" priority="8">
      <formula>$P$21="INVALID"</formula>
    </cfRule>
  </conditionalFormatting>
  <conditionalFormatting sqref="Q22">
    <cfRule type="expression" dxfId="32" priority="7">
      <formula>$P$22="INVALID"</formula>
    </cfRule>
  </conditionalFormatting>
  <dataValidations count="6">
    <dataValidation type="list" allowBlank="1" showInputMessage="1" showErrorMessage="1" error="Enter 1 (Never), 2 (Sometimes), 3 (Often), or ? (Missing)_x000a_" sqref="F9:F39" xr:uid="{00000000-0002-0000-0000-000000000000}">
      <formula1>"1,2,3,?"</formula1>
    </dataValidation>
    <dataValidation type="list" allowBlank="1" showInputMessage="1" showErrorMessage="1" error="Enter 1 (Never), 2 (Sometimes), 3 (Often), or ? (Missing)" sqref="C9:C40" xr:uid="{00000000-0002-0000-0000-000001000000}">
      <formula1>"1,2,3,?"</formula1>
    </dataValidation>
    <dataValidation type="whole" allowBlank="1" showInputMessage="1" showErrorMessage="1" error="No entries beyond Item 63" sqref="F40" xr:uid="{00000000-0002-0000-0000-000002000000}">
      <formula1>0</formula1>
      <formula2>0</formula2>
    </dataValidation>
    <dataValidation type="whole" allowBlank="1" showInputMessage="1" showErrorMessage="1" error="Restart entry from second page on next column." sqref="C41" xr:uid="{00000000-0002-0000-0000-000003000000}">
      <formula1>0</formula1>
      <formula2>0</formula2>
    </dataValidation>
    <dataValidation type="list" allowBlank="1" showInputMessage="1" showErrorMessage="1" sqref="K4:L4" xr:uid="{00000000-0002-0000-0000-000004000000}">
      <formula1>"Select:,5-7,8-10,11-13,14-18"</formula1>
    </dataValidation>
    <dataValidation type="list" allowBlank="1" showInputMessage="1" showErrorMessage="1" sqref="K5:L5" xr:uid="{00000000-0002-0000-0000-000005000000}">
      <formula1>"Select:,Boys,Girls"</formula1>
    </dataValidation>
  </dataValidations>
  <pageMargins left="0.7" right="0.7" top="0.75" bottom="0.75" header="0.3" footer="0.3"/>
  <pageSetup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1"/>
  <sheetViews>
    <sheetView workbookViewId="0">
      <selection activeCell="I14" sqref="I14:J14"/>
    </sheetView>
  </sheetViews>
  <sheetFormatPr defaultRowHeight="15"/>
  <cols>
    <col min="1" max="1" width="5.28515625" customWidth="1"/>
    <col min="2" max="2" width="2.85546875" style="1" customWidth="1"/>
    <col min="3" max="3" width="10.7109375" customWidth="1"/>
    <col min="4" max="4" width="5.140625" customWidth="1"/>
    <col min="5" max="5" width="3.140625" style="1" customWidth="1"/>
    <col min="6" max="6" width="10.85546875" customWidth="1"/>
    <col min="8" max="8" width="8.5703125" customWidth="1"/>
    <col min="9" max="9" width="6.7109375" customWidth="1"/>
    <col min="10" max="10" width="9.5703125" customWidth="1"/>
    <col min="11" max="11" width="8.5703125" customWidth="1"/>
    <col min="12" max="12" width="10" customWidth="1"/>
    <col min="13" max="13" width="7.140625" customWidth="1"/>
    <col min="15" max="15" width="9.140625" customWidth="1"/>
    <col min="16" max="16" width="10.5703125" customWidth="1"/>
    <col min="18" max="18" width="9" customWidth="1"/>
    <col min="19" max="19" width="3.85546875" customWidth="1"/>
    <col min="20" max="20" width="2" customWidth="1"/>
    <col min="21" max="21" width="3.85546875" customWidth="1"/>
  </cols>
  <sheetData>
    <row r="1" spans="1:18" ht="18.75">
      <c r="A1" s="245" t="s">
        <v>46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</row>
    <row r="2" spans="1:18" ht="19.5" thickBot="1">
      <c r="H2" s="43"/>
      <c r="I2" s="43"/>
      <c r="J2" s="43"/>
      <c r="K2" s="43"/>
      <c r="L2" s="43"/>
      <c r="M2" s="43"/>
      <c r="N2" s="43"/>
      <c r="O2" s="43"/>
    </row>
    <row r="3" spans="1:18" ht="15.75" thickTop="1">
      <c r="A3" s="247" t="s">
        <v>1</v>
      </c>
      <c r="B3" s="248"/>
      <c r="C3" s="248"/>
      <c r="D3" s="248"/>
      <c r="E3" s="248"/>
      <c r="F3" s="248"/>
      <c r="G3" s="249"/>
      <c r="H3" s="11"/>
      <c r="I3" s="11"/>
      <c r="J3" s="11"/>
      <c r="K3" s="253"/>
      <c r="L3" s="253"/>
    </row>
    <row r="4" spans="1:18">
      <c r="A4" s="250" t="s">
        <v>2</v>
      </c>
      <c r="B4" s="251"/>
      <c r="C4" s="251"/>
      <c r="D4" s="251"/>
      <c r="E4" s="251"/>
      <c r="F4" s="251"/>
      <c r="G4" s="252"/>
      <c r="H4" s="11"/>
      <c r="I4" s="11"/>
      <c r="J4" s="44" t="s">
        <v>3</v>
      </c>
      <c r="K4" s="254" t="s">
        <v>47</v>
      </c>
      <c r="L4" s="254"/>
    </row>
    <row r="5" spans="1:18">
      <c r="A5" s="2"/>
      <c r="B5" s="11" t="s">
        <v>5</v>
      </c>
      <c r="C5" s="11"/>
      <c r="E5"/>
      <c r="F5" s="11" t="s">
        <v>6</v>
      </c>
      <c r="G5" s="14"/>
      <c r="J5" s="44" t="s">
        <v>7</v>
      </c>
      <c r="K5" s="244" t="s">
        <v>47</v>
      </c>
      <c r="L5" s="244"/>
    </row>
    <row r="6" spans="1:18" ht="15.75" thickBot="1">
      <c r="A6" s="15"/>
      <c r="B6" s="12" t="s">
        <v>9</v>
      </c>
      <c r="C6" s="12"/>
      <c r="D6" s="8"/>
      <c r="E6" s="8"/>
      <c r="F6" s="12" t="s">
        <v>10</v>
      </c>
      <c r="G6" s="16"/>
    </row>
    <row r="7" spans="1:18" ht="16.5" thickTop="1" thickBot="1">
      <c r="B7" s="11"/>
      <c r="C7" s="13"/>
      <c r="D7" s="13"/>
      <c r="E7" s="13"/>
      <c r="F7" s="13"/>
      <c r="G7" s="13"/>
    </row>
    <row r="8" spans="1:18" ht="15.75" thickTop="1">
      <c r="A8" s="3"/>
      <c r="B8" s="4"/>
      <c r="C8" s="9" t="s">
        <v>11</v>
      </c>
      <c r="D8" s="5"/>
      <c r="E8" s="4"/>
      <c r="F8" s="10" t="s">
        <v>11</v>
      </c>
      <c r="G8" s="11"/>
      <c r="H8" s="255" t="s">
        <v>12</v>
      </c>
      <c r="I8" s="256"/>
      <c r="J8" s="256"/>
      <c r="K8" s="256"/>
      <c r="L8" s="257"/>
      <c r="M8" s="17"/>
      <c r="N8" s="255" t="s">
        <v>48</v>
      </c>
      <c r="O8" s="256"/>
      <c r="P8" s="256"/>
      <c r="Q8" s="257"/>
      <c r="R8" s="11"/>
    </row>
    <row r="9" spans="1:18">
      <c r="A9" s="2" t="s">
        <v>14</v>
      </c>
      <c r="B9" s="1">
        <v>1</v>
      </c>
      <c r="C9" s="54"/>
      <c r="D9" t="s">
        <v>14</v>
      </c>
      <c r="E9" s="1">
        <v>33</v>
      </c>
      <c r="F9" s="224"/>
      <c r="H9" s="23" t="s">
        <v>15</v>
      </c>
      <c r="I9" s="239" t="s">
        <v>16</v>
      </c>
      <c r="J9" s="239"/>
      <c r="K9" s="239" t="s">
        <v>17</v>
      </c>
      <c r="L9" s="240"/>
      <c r="N9" s="246" t="s">
        <v>18</v>
      </c>
      <c r="O9" s="239"/>
      <c r="P9" s="40" t="s">
        <v>11</v>
      </c>
      <c r="Q9" s="37" t="s">
        <v>19</v>
      </c>
    </row>
    <row r="10" spans="1:18" ht="15.75" thickBot="1">
      <c r="A10" s="2" t="s">
        <v>14</v>
      </c>
      <c r="B10" s="1">
        <f>B9+1</f>
        <v>2</v>
      </c>
      <c r="C10" s="54"/>
      <c r="D10" t="s">
        <v>14</v>
      </c>
      <c r="E10" s="1">
        <f t="shared" ref="E10:E39" si="0">E9+1</f>
        <v>34</v>
      </c>
      <c r="F10" s="224"/>
      <c r="H10" s="25">
        <f>SUM(IF(C9="?",1,0),IF(C10="?",1,0),IF(C11="?",1,0),IF(C12="?",1,0),IF(C13="?",1,0),IF(C14="?",1,0),IF(C15="?",1,0),IF(C16="?",1,0),IF(C17="?",1,0),IF(C18="?",1,0),IF(C19="?",1,0),IF(C20="?",1,0),IF(C21="?",1,0),IF(C22="?",1,0),IF(C23="?",1,0),IF(C24="?",1,0),IF(C25="?",1,0),IF(C26="?",1,0),IF(C27="?",1,0),IF(C28="?",1,0),IF(C29="?",1,0),IF(C30="?",1,0),IF(C31="?",1,0),IF(C32="?",1,0),IF(C33="?",1,0),IF(C34="?",1,0),IF(C35="?",1,0),IF(C36="?",1,0),IF(C37="?",1,0),IF(C38="?",1,0),IF(C39="?",1,0),IF(C40="?",1,0),IF(F9="?",1,0),IF(F10="?",1,0),IF(F11="?",1,0),IF(F12="?",1,0),IF(F13="?",1,0),IF(F14="?",1,0),IF(F15="?",1,0),IF(F16="?",1,0),IF(F17="?",1,0),IF(F18="?",1,0),IF(F19="?",1,0),IF(F20="?",1,0),IF(F21="?",1,0),IF(F22="?",1,0),IF(F23="?",1,0),IF(F24="?",1,0),IF(F25="?",1,0),IF(F26="?",1,0),IF(F27="?",1,0),IF(F28="?",1,0),IF(F29="?",1,0),IF(F30="?",1,0),IF(F31="?",1,0),IF(F32="?",1,0),IF(F33="?",1,0),IF(F34="?",1,0),IF(F35="?",1,0),IF(F36="?",1,0),IF(F37="?",1,0),IF(F38="?",1,0),IF(F39="?",1,0))</f>
        <v>0</v>
      </c>
      <c r="I10" s="258">
        <v>12</v>
      </c>
      <c r="J10" s="258"/>
      <c r="K10" s="258" t="str">
        <f>IF(H10&gt;I10,"Invalid","Acceptable")</f>
        <v>Acceptable</v>
      </c>
      <c r="L10" s="259"/>
      <c r="N10" s="235" t="s">
        <v>20</v>
      </c>
      <c r="O10" s="236"/>
      <c r="P10" s="22">
        <f>IF(Q10&lt;2,SUM(C9,C18,C24,C32,C38,F15,F24,F34),"INVALID")</f>
        <v>0</v>
      </c>
      <c r="Q10" s="36">
        <f>SUM(IF(C9="?",1,0),IF(C18="?",1,0),IF(C24="?",1,0),IF(C32="?",1,0),IF(C38="?",1,0),IF(F15="?",1,0),IF(F24="?",1,0),IF(F34="?",1,0))</f>
        <v>0</v>
      </c>
      <c r="R10" s="17"/>
    </row>
    <row r="11" spans="1:18" ht="16.5" thickTop="1" thickBot="1">
      <c r="A11" s="2" t="s">
        <v>14</v>
      </c>
      <c r="B11" s="1">
        <f>B10+1</f>
        <v>3</v>
      </c>
      <c r="C11" s="54"/>
      <c r="D11" t="s">
        <v>14</v>
      </c>
      <c r="E11" s="1">
        <f t="shared" si="0"/>
        <v>35</v>
      </c>
      <c r="F11" s="224"/>
      <c r="H11" s="13"/>
      <c r="I11" s="13"/>
      <c r="J11" s="13"/>
      <c r="N11" s="235" t="s">
        <v>21</v>
      </c>
      <c r="O11" s="236"/>
      <c r="P11" s="22">
        <f>IF(Q11&lt;2,SUM(C12,C21,C28,C34,F35),"INVALID")</f>
        <v>0</v>
      </c>
      <c r="Q11" s="36">
        <f>SUM(IF(C12="?",1,0),IF(C21="?",1,0),IF(C28="?",1,0),IF(C34="?",1,0),IF(F35="?",1,0))</f>
        <v>0</v>
      </c>
      <c r="R11" s="33"/>
    </row>
    <row r="12" spans="1:18" ht="15.75" thickTop="1">
      <c r="A12" s="2" t="s">
        <v>14</v>
      </c>
      <c r="B12" s="1">
        <f t="shared" ref="B12:B40" si="1">B11+1</f>
        <v>4</v>
      </c>
      <c r="C12" s="54"/>
      <c r="D12" t="s">
        <v>14</v>
      </c>
      <c r="E12" s="1">
        <f t="shared" si="0"/>
        <v>36</v>
      </c>
      <c r="F12" s="224"/>
      <c r="H12" s="255" t="s">
        <v>22</v>
      </c>
      <c r="I12" s="256"/>
      <c r="J12" s="256"/>
      <c r="K12" s="256"/>
      <c r="L12" s="257"/>
      <c r="N12" s="235" t="s">
        <v>23</v>
      </c>
      <c r="O12" s="236"/>
      <c r="P12" s="41">
        <f>IF(AND(Q10&lt;2,Q11&lt;2),SUM(P10:P11),"INVALID")</f>
        <v>0</v>
      </c>
      <c r="Q12" s="38">
        <f>SUM(Q10:Q11)</f>
        <v>0</v>
      </c>
    </row>
    <row r="13" spans="1:18">
      <c r="A13" s="2" t="s">
        <v>14</v>
      </c>
      <c r="B13" s="1">
        <f t="shared" si="1"/>
        <v>5</v>
      </c>
      <c r="C13" s="54"/>
      <c r="D13" t="s">
        <v>14</v>
      </c>
      <c r="E13" s="1">
        <f t="shared" si="0"/>
        <v>37</v>
      </c>
      <c r="F13" s="224"/>
      <c r="H13" s="23" t="s">
        <v>24</v>
      </c>
      <c r="I13" s="239" t="s">
        <v>25</v>
      </c>
      <c r="J13" s="239"/>
      <c r="K13" s="239" t="s">
        <v>17</v>
      </c>
      <c r="L13" s="240"/>
      <c r="N13" s="235" t="s">
        <v>26</v>
      </c>
      <c r="O13" s="236"/>
      <c r="P13" s="22">
        <f>IF(Q13&lt;2,SUM(C10,C19,C25,C39,F16,F25,F36,F39),"INVALID")</f>
        <v>0</v>
      </c>
      <c r="Q13" s="36">
        <f>SUM(IF(C10="?",1,0),IF(C19="?",1,0),IF(C25="?",1,0),IF(C39="?",1,0),IF(F16="?",1,0),IF(F25="?",1,0),IF(F36="?",1,0),IF(F39="?",1,0))</f>
        <v>0</v>
      </c>
      <c r="R13" s="18"/>
    </row>
    <row r="14" spans="1:18" ht="15.75" thickBot="1">
      <c r="A14" s="2" t="s">
        <v>14</v>
      </c>
      <c r="B14" s="1">
        <f t="shared" si="1"/>
        <v>6</v>
      </c>
      <c r="C14" s="54"/>
      <c r="D14" t="s">
        <v>14</v>
      </c>
      <c r="E14" s="1">
        <f t="shared" si="0"/>
        <v>38</v>
      </c>
      <c r="F14" s="224"/>
      <c r="H14" s="25">
        <f>SUM(IF(C10="?",0,TRUNC(C10/3)),IF(C19="?",0,TRUNC(C19/3)),IF(C39="?",0,TRUNC(C39/3)),IF(F10="?",0,TRUNC(F10/3)),IF(F13="?",0,TRUNC(F13/3)),IF(F19="?",0,TRUNC(F19/3)),IF(F21="?",0,TRUNC(F21/3)),IF(F25="?",0,TRUNC(F25/3)))</f>
        <v>0</v>
      </c>
      <c r="I14" s="258" t="str">
        <f>IF(H14&gt;7,"&gt;99",IF(H14=7,"99","≤98"))</f>
        <v>≤98</v>
      </c>
      <c r="J14" s="258"/>
      <c r="K14" s="258" t="str">
        <f>IF(H14&gt;7,"Highly Elevated",IF(H14=7,"Elevated","Acceptable"))</f>
        <v>Acceptable</v>
      </c>
      <c r="L14" s="259"/>
      <c r="N14" s="235" t="s">
        <v>27</v>
      </c>
      <c r="O14" s="236"/>
      <c r="P14" s="22">
        <f>IF(Q14&lt;2,SUM(C14,C22,C30,C35,F10,F19,F27,F32),"INVALID")</f>
        <v>0</v>
      </c>
      <c r="Q14" s="36">
        <f>SUM(IF(C14="?",1,0),IF(C22="?",1,0),IF(C30="?",1,0),IF(C35="?",1,0),IF(F10="?",1,0),IF(F19="?",1,0),IF(F27="?",1,0),IF(F32="?",1,0))</f>
        <v>0</v>
      </c>
    </row>
    <row r="15" spans="1:18" ht="16.5" thickTop="1" thickBot="1">
      <c r="A15" s="2" t="s">
        <v>14</v>
      </c>
      <c r="B15" s="1">
        <f t="shared" si="1"/>
        <v>7</v>
      </c>
      <c r="C15" s="54"/>
      <c r="D15" t="s">
        <v>14</v>
      </c>
      <c r="E15" s="1">
        <f t="shared" si="0"/>
        <v>39</v>
      </c>
      <c r="F15" s="224"/>
      <c r="I15" s="1"/>
      <c r="L15" s="1"/>
      <c r="N15" s="235" t="s">
        <v>28</v>
      </c>
      <c r="O15" s="236"/>
      <c r="P15" s="41">
        <f>IF(AND(Q13&lt;2,Q14&lt;2),SUM(P13:P14),"INVALID")</f>
        <v>0</v>
      </c>
      <c r="Q15" s="38">
        <f>SUM(Q13:Q14)</f>
        <v>0</v>
      </c>
      <c r="R15" s="33"/>
    </row>
    <row r="16" spans="1:18" ht="15.75" thickTop="1">
      <c r="A16" s="2" t="s">
        <v>14</v>
      </c>
      <c r="B16" s="1">
        <f t="shared" si="1"/>
        <v>8</v>
      </c>
      <c r="C16" s="54"/>
      <c r="D16" t="s">
        <v>14</v>
      </c>
      <c r="E16" s="1">
        <f t="shared" si="0"/>
        <v>40</v>
      </c>
      <c r="F16" s="224"/>
      <c r="H16" s="255" t="s">
        <v>29</v>
      </c>
      <c r="I16" s="256"/>
      <c r="J16" s="256"/>
      <c r="K16" s="256"/>
      <c r="L16" s="257"/>
      <c r="N16" s="235" t="s">
        <v>30</v>
      </c>
      <c r="O16" s="236"/>
      <c r="P16" s="22">
        <f>IF(Q16&lt;2,SUM(C17,F14,F26,F31),"INVALID")</f>
        <v>0</v>
      </c>
      <c r="Q16" s="36">
        <f>SUM(IF(C17="?",1,0),IF(F14="?",1,0),IF(F26="?",1,0),IF(F31="?",1,0))</f>
        <v>0</v>
      </c>
    </row>
    <row r="17" spans="1:21">
      <c r="A17" s="2" t="s">
        <v>14</v>
      </c>
      <c r="B17" s="1">
        <f t="shared" si="1"/>
        <v>9</v>
      </c>
      <c r="C17" s="54"/>
      <c r="D17" t="s">
        <v>14</v>
      </c>
      <c r="E17" s="1">
        <f t="shared" si="0"/>
        <v>41</v>
      </c>
      <c r="F17" s="224"/>
      <c r="H17" s="23" t="s">
        <v>24</v>
      </c>
      <c r="I17" s="239" t="s">
        <v>25</v>
      </c>
      <c r="J17" s="239"/>
      <c r="K17" s="239" t="s">
        <v>17</v>
      </c>
      <c r="L17" s="240"/>
      <c r="N17" s="235" t="s">
        <v>31</v>
      </c>
      <c r="O17" s="236"/>
      <c r="P17" s="22">
        <f>IF(Q17&lt;2,SUM(C11,C20,C27,C33,C36,C40,F17,F22),"INVALID")</f>
        <v>0</v>
      </c>
      <c r="Q17" s="36">
        <f>SUM(IF(C11="?",1,0),IF(C20="?",1,0),IF(C27="?",1,0),IF(C33="?",1,0),IF(C36="?",1,0),IF(C40="?",1,0),IF(F17="?",1,0),IF(F22="?",1,0))</f>
        <v>0</v>
      </c>
      <c r="R17" s="18"/>
    </row>
    <row r="18" spans="1:21" ht="15.75" thickBot="1">
      <c r="A18" s="2" t="s">
        <v>14</v>
      </c>
      <c r="B18" s="1">
        <f t="shared" si="1"/>
        <v>10</v>
      </c>
      <c r="C18" s="54"/>
      <c r="D18" t="s">
        <v>14</v>
      </c>
      <c r="E18" s="1">
        <f t="shared" si="0"/>
        <v>42</v>
      </c>
      <c r="F18" s="224"/>
      <c r="H18" s="25">
        <f>SUM(IF(C26="?",0,ROUND(C26/3,0)),IF(F12="?",0,ROUND(F12/3,0)),IF(F30="?",0,ROUND(F30/3,0)))</f>
        <v>0</v>
      </c>
      <c r="I18" s="258" t="str">
        <f>IF(H18=0,"99","&gt;99")</f>
        <v>99</v>
      </c>
      <c r="J18" s="258"/>
      <c r="K18" s="258" t="str">
        <f>IF(H18=0,"Acceptable","Questionable")</f>
        <v>Acceptable</v>
      </c>
      <c r="L18" s="259"/>
      <c r="N18" s="235" t="s">
        <v>32</v>
      </c>
      <c r="O18" s="236"/>
      <c r="P18" s="22">
        <f>IF(Q18&lt;2,SUM(C15,C23,C31,F11,F20,F28,F33,F37),"INVALID")</f>
        <v>0</v>
      </c>
      <c r="Q18" s="36">
        <f>SUM(IF(C15="?",1,0),IF(C23="?",1,0),IF(C31="?",1,0),IF(F11="?",1,0),IF(F20="?",1,0),IF(F28="?",1,0),IF(F33="?",1,0),IF(F37="?",1,0))</f>
        <v>0</v>
      </c>
    </row>
    <row r="19" spans="1:21" ht="16.5" thickTop="1" thickBot="1">
      <c r="A19" s="2" t="s">
        <v>14</v>
      </c>
      <c r="B19" s="1">
        <f t="shared" si="1"/>
        <v>11</v>
      </c>
      <c r="C19" s="54"/>
      <c r="D19" t="s">
        <v>14</v>
      </c>
      <c r="E19" s="1">
        <f t="shared" si="0"/>
        <v>43</v>
      </c>
      <c r="F19" s="224"/>
      <c r="I19" s="1"/>
      <c r="L19" s="1"/>
      <c r="N19" s="235" t="s">
        <v>33</v>
      </c>
      <c r="O19" s="236"/>
      <c r="P19" s="22">
        <f>IF(Q19&lt;2,SUM(C13,C29,C37,F9,F18,F38),"INVALID")</f>
        <v>0</v>
      </c>
      <c r="Q19" s="36">
        <f>SUM(IF(C13="?",1,0),IF(C29="?",1,0),IF(C37="?",1,0),IF(F9="?",1,0),IF(F18="?",1,0),IF(C38="?",1,0))</f>
        <v>0</v>
      </c>
    </row>
    <row r="20" spans="1:21" ht="15.75" thickTop="1">
      <c r="A20" s="2" t="s">
        <v>14</v>
      </c>
      <c r="B20" s="1">
        <f t="shared" si="1"/>
        <v>12</v>
      </c>
      <c r="C20" s="54"/>
      <c r="D20" t="s">
        <v>14</v>
      </c>
      <c r="E20" s="1">
        <f t="shared" si="0"/>
        <v>44</v>
      </c>
      <c r="F20" s="224"/>
      <c r="H20" s="255" t="s">
        <v>34</v>
      </c>
      <c r="I20" s="256"/>
      <c r="J20" s="256"/>
      <c r="K20" s="256"/>
      <c r="L20" s="257"/>
      <c r="N20" s="235" t="s">
        <v>35</v>
      </c>
      <c r="O20" s="236"/>
      <c r="P20" s="22">
        <f>IF(Q20&lt;2,SUM(C16,F13,F21,F23,F29),"INVALID")</f>
        <v>0</v>
      </c>
      <c r="Q20" s="36">
        <f>SUM(IF(C16="?",1,0),IF(F13="?",1,0),IF(F21="?",1,0),IF(F23="?",1,0),IF(F29="?",1,0))</f>
        <v>0</v>
      </c>
      <c r="R20" s="17"/>
    </row>
    <row r="21" spans="1:21">
      <c r="A21" s="2" t="s">
        <v>14</v>
      </c>
      <c r="B21" s="1">
        <f t="shared" si="1"/>
        <v>13</v>
      </c>
      <c r="C21" s="54"/>
      <c r="D21" t="s">
        <v>14</v>
      </c>
      <c r="E21" s="1">
        <f t="shared" si="0"/>
        <v>45</v>
      </c>
      <c r="F21" s="224"/>
      <c r="H21" s="23" t="s">
        <v>24</v>
      </c>
      <c r="I21" s="239" t="s">
        <v>25</v>
      </c>
      <c r="J21" s="239"/>
      <c r="K21" s="239" t="s">
        <v>17</v>
      </c>
      <c r="L21" s="240"/>
      <c r="N21" s="235" t="s">
        <v>36</v>
      </c>
      <c r="O21" s="236"/>
      <c r="P21" s="41">
        <f>IF(AND(Q16&lt;2,Q17&lt;2,Q18&lt;2,Q19&lt;2,Q20&lt;2),SUM(P16:P20),"INVALID")</f>
        <v>0</v>
      </c>
      <c r="Q21" s="38">
        <f>SUM(Q16:Q20)</f>
        <v>0</v>
      </c>
    </row>
    <row r="22" spans="1:21" ht="15.75" thickBot="1">
      <c r="A22" s="2" t="s">
        <v>14</v>
      </c>
      <c r="B22" s="1">
        <f t="shared" si="1"/>
        <v>14</v>
      </c>
      <c r="C22" s="54"/>
      <c r="D22" t="s">
        <v>14</v>
      </c>
      <c r="E22" s="1">
        <f t="shared" si="0"/>
        <v>46</v>
      </c>
      <c r="F22" s="224"/>
      <c r="H22" s="28">
        <f>SUM(L25:L32)</f>
        <v>0</v>
      </c>
      <c r="I22" s="260" t="str">
        <f>IF(H22&gt;10,"&gt;99",IF(H22&lt;7,"≤98","99"))</f>
        <v>≤98</v>
      </c>
      <c r="J22" s="260"/>
      <c r="K22" s="260" t="str">
        <f>IF(H22&gt;10,"Inconsistent",IF(H22&lt;7,"Acceptable","Questionable"))</f>
        <v>Acceptable</v>
      </c>
      <c r="L22" s="261"/>
      <c r="N22" s="237" t="s">
        <v>37</v>
      </c>
      <c r="O22" s="238"/>
      <c r="P22" s="42">
        <f>IF(P12="INVALID","INVALID",IF(P15="INVALID","INVALID",IF(P21="INVALID","INVALID",SUM(P12,P15,P21))))</f>
        <v>0</v>
      </c>
      <c r="Q22" s="39">
        <f>SUM(Q12,Q15,Q21)</f>
        <v>0</v>
      </c>
      <c r="R22" s="34"/>
    </row>
    <row r="23" spans="1:21" ht="16.5" thickTop="1" thickBot="1">
      <c r="A23" s="2" t="s">
        <v>14</v>
      </c>
      <c r="B23" s="1">
        <f t="shared" si="1"/>
        <v>15</v>
      </c>
      <c r="C23" s="54"/>
      <c r="D23" t="s">
        <v>14</v>
      </c>
      <c r="E23" s="1">
        <f t="shared" si="0"/>
        <v>47</v>
      </c>
      <c r="F23" s="224"/>
      <c r="H23" s="2"/>
      <c r="I23" s="1"/>
      <c r="L23" s="29"/>
      <c r="O23" s="35"/>
      <c r="P23" s="35"/>
      <c r="Q23" s="35"/>
      <c r="R23" s="35"/>
    </row>
    <row r="24" spans="1:21" ht="15.75" thickTop="1">
      <c r="A24" s="2" t="s">
        <v>14</v>
      </c>
      <c r="B24" s="1">
        <f t="shared" si="1"/>
        <v>16</v>
      </c>
      <c r="C24" s="54"/>
      <c r="D24" t="s">
        <v>14</v>
      </c>
      <c r="E24" s="1">
        <f t="shared" si="0"/>
        <v>48</v>
      </c>
      <c r="F24" s="224"/>
      <c r="H24" s="23" t="s">
        <v>38</v>
      </c>
      <c r="I24" s="21" t="s">
        <v>39</v>
      </c>
      <c r="J24" s="21" t="s">
        <v>38</v>
      </c>
      <c r="K24" s="21" t="s">
        <v>39</v>
      </c>
      <c r="L24" s="24" t="s">
        <v>40</v>
      </c>
      <c r="N24" s="241" t="s">
        <v>41</v>
      </c>
      <c r="O24" s="242"/>
      <c r="P24" s="242"/>
      <c r="Q24" s="242"/>
      <c r="R24" s="242"/>
      <c r="S24" s="242"/>
      <c r="T24" s="242"/>
      <c r="U24" s="243"/>
    </row>
    <row r="25" spans="1:21" ht="15" customHeight="1">
      <c r="A25" s="2" t="s">
        <v>14</v>
      </c>
      <c r="B25" s="1">
        <f t="shared" si="1"/>
        <v>17</v>
      </c>
      <c r="C25" s="54"/>
      <c r="D25" t="s">
        <v>14</v>
      </c>
      <c r="E25" s="1">
        <f t="shared" si="0"/>
        <v>49</v>
      </c>
      <c r="F25" s="224"/>
      <c r="H25" s="30">
        <v>3</v>
      </c>
      <c r="I25" s="22">
        <f>IF(C11="?",1,C11)</f>
        <v>0</v>
      </c>
      <c r="J25" s="19">
        <v>19</v>
      </c>
      <c r="K25" s="22">
        <f>IF(C27="?",1,C27)</f>
        <v>0</v>
      </c>
      <c r="L25" s="36">
        <f t="shared" ref="L25:L32" si="2">ABS(I25-K25)</f>
        <v>0</v>
      </c>
      <c r="N25" s="246" t="s">
        <v>18</v>
      </c>
      <c r="O25" s="239"/>
      <c r="P25" s="40" t="s">
        <v>11</v>
      </c>
      <c r="Q25" s="225" t="s">
        <v>42</v>
      </c>
      <c r="R25" s="225" t="s">
        <v>43</v>
      </c>
      <c r="S25" s="263" t="s">
        <v>44</v>
      </c>
      <c r="T25" s="263"/>
      <c r="U25" s="264"/>
    </row>
    <row r="26" spans="1:21">
      <c r="A26" s="2" t="s">
        <v>14</v>
      </c>
      <c r="B26" s="1">
        <f t="shared" si="1"/>
        <v>18</v>
      </c>
      <c r="C26" s="54"/>
      <c r="D26" t="s">
        <v>14</v>
      </c>
      <c r="E26" s="1">
        <f t="shared" si="0"/>
        <v>50</v>
      </c>
      <c r="F26" s="224"/>
      <c r="H26" s="30">
        <v>4</v>
      </c>
      <c r="I26" s="22">
        <f>IF(C12="?",1,C12)</f>
        <v>0</v>
      </c>
      <c r="J26" s="19">
        <v>20</v>
      </c>
      <c r="K26" s="22">
        <f>IF(C28="?",1,C28)</f>
        <v>0</v>
      </c>
      <c r="L26" s="36">
        <f t="shared" si="2"/>
        <v>0</v>
      </c>
      <c r="N26" s="235" t="s">
        <v>20</v>
      </c>
      <c r="O26" s="236"/>
      <c r="P26" s="22">
        <f t="shared" ref="P26:P38" si="3">P10</f>
        <v>0</v>
      </c>
      <c r="Q26" s="226"/>
      <c r="R26" s="226"/>
      <c r="S26" s="227"/>
      <c r="T26" s="226" t="s">
        <v>45</v>
      </c>
      <c r="U26" s="228"/>
    </row>
    <row r="27" spans="1:21">
      <c r="A27" s="2" t="s">
        <v>14</v>
      </c>
      <c r="B27" s="1">
        <f t="shared" si="1"/>
        <v>19</v>
      </c>
      <c r="C27" s="54"/>
      <c r="D27" t="s">
        <v>14</v>
      </c>
      <c r="E27" s="1">
        <f t="shared" si="0"/>
        <v>51</v>
      </c>
      <c r="F27" s="224"/>
      <c r="H27" s="30">
        <v>5</v>
      </c>
      <c r="I27" s="22">
        <f>IF(C13="?",1,C13)</f>
        <v>0</v>
      </c>
      <c r="J27" s="19">
        <v>33</v>
      </c>
      <c r="K27" s="22">
        <f>IF(F9="?",1,F9)</f>
        <v>0</v>
      </c>
      <c r="L27" s="36">
        <f t="shared" si="2"/>
        <v>0</v>
      </c>
      <c r="N27" s="235" t="s">
        <v>21</v>
      </c>
      <c r="O27" s="236"/>
      <c r="P27" s="22">
        <f t="shared" si="3"/>
        <v>0</v>
      </c>
      <c r="Q27" s="226"/>
      <c r="R27" s="226"/>
      <c r="S27" s="227"/>
      <c r="T27" s="226" t="s">
        <v>45</v>
      </c>
      <c r="U27" s="228"/>
    </row>
    <row r="28" spans="1:21">
      <c r="A28" s="2" t="s">
        <v>14</v>
      </c>
      <c r="B28" s="1">
        <f t="shared" si="1"/>
        <v>20</v>
      </c>
      <c r="C28" s="54"/>
      <c r="D28" t="s">
        <v>14</v>
      </c>
      <c r="E28" s="1">
        <f t="shared" si="0"/>
        <v>52</v>
      </c>
      <c r="F28" s="224"/>
      <c r="H28" s="30">
        <v>6</v>
      </c>
      <c r="I28" s="22">
        <f>IF(C14="?",1,C14)</f>
        <v>0</v>
      </c>
      <c r="J28" s="19">
        <v>14</v>
      </c>
      <c r="K28" s="22">
        <f>IF(C22="?",1,C22)</f>
        <v>0</v>
      </c>
      <c r="L28" s="36">
        <f t="shared" si="2"/>
        <v>0</v>
      </c>
      <c r="N28" s="235" t="s">
        <v>23</v>
      </c>
      <c r="O28" s="236"/>
      <c r="P28" s="41">
        <f t="shared" si="3"/>
        <v>0</v>
      </c>
      <c r="Q28" s="229"/>
      <c r="R28" s="229"/>
      <c r="S28" s="230"/>
      <c r="T28" s="229" t="s">
        <v>45</v>
      </c>
      <c r="U28" s="231"/>
    </row>
    <row r="29" spans="1:21" ht="15.75" customHeight="1">
      <c r="A29" s="2" t="s">
        <v>14</v>
      </c>
      <c r="B29" s="1">
        <f t="shared" si="1"/>
        <v>21</v>
      </c>
      <c r="C29" s="54"/>
      <c r="D29" t="s">
        <v>14</v>
      </c>
      <c r="E29" s="1">
        <f t="shared" si="0"/>
        <v>53</v>
      </c>
      <c r="F29" s="224"/>
      <c r="H29" s="30">
        <v>12</v>
      </c>
      <c r="I29" s="22">
        <f>IF(C20="?",1,C20)</f>
        <v>0</v>
      </c>
      <c r="J29" s="19">
        <v>32</v>
      </c>
      <c r="K29" s="22">
        <f>IF(C40="?",1,C40)</f>
        <v>0</v>
      </c>
      <c r="L29" s="36">
        <f t="shared" si="2"/>
        <v>0</v>
      </c>
      <c r="N29" s="235" t="s">
        <v>26</v>
      </c>
      <c r="O29" s="236"/>
      <c r="P29" s="22">
        <f t="shared" si="3"/>
        <v>0</v>
      </c>
      <c r="Q29" s="226"/>
      <c r="R29" s="226"/>
      <c r="S29" s="227"/>
      <c r="T29" s="226" t="s">
        <v>45</v>
      </c>
      <c r="U29" s="228"/>
    </row>
    <row r="30" spans="1:21">
      <c r="A30" s="2" t="s">
        <v>14</v>
      </c>
      <c r="B30" s="1">
        <f t="shared" si="1"/>
        <v>22</v>
      </c>
      <c r="C30" s="54"/>
      <c r="D30" t="s">
        <v>14</v>
      </c>
      <c r="E30" s="1">
        <f t="shared" si="0"/>
        <v>54</v>
      </c>
      <c r="F30" s="224"/>
      <c r="H30" s="30">
        <v>16</v>
      </c>
      <c r="I30" s="22">
        <f>IF(C24="?",1,C24)</f>
        <v>0</v>
      </c>
      <c r="J30" s="19">
        <v>39</v>
      </c>
      <c r="K30" s="22">
        <f>IF(F15="?",1,F15)</f>
        <v>0</v>
      </c>
      <c r="L30" s="36">
        <f t="shared" si="2"/>
        <v>0</v>
      </c>
      <c r="N30" s="235" t="s">
        <v>27</v>
      </c>
      <c r="O30" s="236"/>
      <c r="P30" s="22">
        <f t="shared" si="3"/>
        <v>0</v>
      </c>
      <c r="Q30" s="226"/>
      <c r="R30" s="226"/>
      <c r="S30" s="227"/>
      <c r="T30" s="226" t="s">
        <v>45</v>
      </c>
      <c r="U30" s="228"/>
    </row>
    <row r="31" spans="1:21">
      <c r="A31" s="2" t="s">
        <v>14</v>
      </c>
      <c r="B31" s="1">
        <f t="shared" si="1"/>
        <v>23</v>
      </c>
      <c r="C31" s="54"/>
      <c r="D31" t="s">
        <v>14</v>
      </c>
      <c r="E31" s="1">
        <f t="shared" si="0"/>
        <v>55</v>
      </c>
      <c r="F31" s="224"/>
      <c r="H31" s="30">
        <v>22</v>
      </c>
      <c r="I31" s="22">
        <f>IF(C30="?",1,C30)</f>
        <v>0</v>
      </c>
      <c r="J31" s="19">
        <v>56</v>
      </c>
      <c r="K31" s="22">
        <f>IF(F32="?",1,F32)</f>
        <v>0</v>
      </c>
      <c r="L31" s="36">
        <f t="shared" si="2"/>
        <v>0</v>
      </c>
      <c r="N31" s="235" t="s">
        <v>28</v>
      </c>
      <c r="O31" s="236"/>
      <c r="P31" s="41">
        <f t="shared" si="3"/>
        <v>0</v>
      </c>
      <c r="Q31" s="229"/>
      <c r="R31" s="229"/>
      <c r="S31" s="230"/>
      <c r="T31" s="229" t="s">
        <v>45</v>
      </c>
      <c r="U31" s="231"/>
    </row>
    <row r="32" spans="1:21" ht="15.75" thickBot="1">
      <c r="A32" s="2" t="s">
        <v>14</v>
      </c>
      <c r="B32" s="1">
        <f t="shared" si="1"/>
        <v>24</v>
      </c>
      <c r="C32" s="54"/>
      <c r="D32" t="s">
        <v>14</v>
      </c>
      <c r="E32" s="1">
        <f t="shared" si="0"/>
        <v>56</v>
      </c>
      <c r="F32" s="224"/>
      <c r="H32" s="31">
        <v>60</v>
      </c>
      <c r="I32" s="26">
        <f>IF(F36="?",1,F36)</f>
        <v>0</v>
      </c>
      <c r="J32" s="32">
        <v>63</v>
      </c>
      <c r="K32" s="26">
        <f>IF(F39="?",1,F39)</f>
        <v>0</v>
      </c>
      <c r="L32" s="27">
        <f t="shared" si="2"/>
        <v>0</v>
      </c>
      <c r="N32" s="235" t="s">
        <v>30</v>
      </c>
      <c r="O32" s="236"/>
      <c r="P32" s="22">
        <f t="shared" si="3"/>
        <v>0</v>
      </c>
      <c r="Q32" s="226"/>
      <c r="R32" s="226"/>
      <c r="S32" s="227"/>
      <c r="T32" s="226" t="s">
        <v>45</v>
      </c>
      <c r="U32" s="228"/>
    </row>
    <row r="33" spans="1:21" ht="15.75" thickTop="1">
      <c r="A33" s="2" t="s">
        <v>14</v>
      </c>
      <c r="B33" s="1">
        <f t="shared" si="1"/>
        <v>25</v>
      </c>
      <c r="C33" s="54"/>
      <c r="D33" t="s">
        <v>14</v>
      </c>
      <c r="E33" s="1">
        <f t="shared" si="0"/>
        <v>57</v>
      </c>
      <c r="F33" s="224"/>
      <c r="I33" s="1"/>
      <c r="L33" s="1"/>
      <c r="N33" s="235" t="s">
        <v>31</v>
      </c>
      <c r="O33" s="236"/>
      <c r="P33" s="22">
        <f t="shared" si="3"/>
        <v>0</v>
      </c>
      <c r="Q33" s="226"/>
      <c r="R33" s="226"/>
      <c r="S33" s="227"/>
      <c r="T33" s="226" t="s">
        <v>45</v>
      </c>
      <c r="U33" s="228"/>
    </row>
    <row r="34" spans="1:21">
      <c r="A34" s="2" t="s">
        <v>14</v>
      </c>
      <c r="B34" s="1">
        <v>26</v>
      </c>
      <c r="C34" s="54"/>
      <c r="D34" t="s">
        <v>14</v>
      </c>
      <c r="E34" s="1">
        <f t="shared" si="0"/>
        <v>58</v>
      </c>
      <c r="F34" s="224"/>
      <c r="H34" s="262" t="s">
        <v>49</v>
      </c>
      <c r="I34" s="262"/>
      <c r="J34" s="262"/>
      <c r="K34" s="262"/>
      <c r="L34" s="262"/>
      <c r="N34" s="235" t="s">
        <v>32</v>
      </c>
      <c r="O34" s="236"/>
      <c r="P34" s="22">
        <f t="shared" si="3"/>
        <v>0</v>
      </c>
      <c r="Q34" s="226"/>
      <c r="R34" s="226"/>
      <c r="S34" s="227"/>
      <c r="T34" s="226" t="s">
        <v>45</v>
      </c>
      <c r="U34" s="228"/>
    </row>
    <row r="35" spans="1:21">
      <c r="A35" s="2" t="s">
        <v>14</v>
      </c>
      <c r="B35" s="1">
        <v>27</v>
      </c>
      <c r="C35" s="54"/>
      <c r="D35" t="s">
        <v>14</v>
      </c>
      <c r="E35" s="1">
        <f t="shared" si="0"/>
        <v>59</v>
      </c>
      <c r="F35" s="224"/>
      <c r="H35" s="262"/>
      <c r="I35" s="262"/>
      <c r="J35" s="262"/>
      <c r="K35" s="262"/>
      <c r="L35" s="262"/>
      <c r="N35" s="235" t="s">
        <v>33</v>
      </c>
      <c r="O35" s="236"/>
      <c r="P35" s="22">
        <f t="shared" si="3"/>
        <v>0</v>
      </c>
      <c r="Q35" s="226"/>
      <c r="R35" s="226"/>
      <c r="S35" s="227"/>
      <c r="T35" s="226" t="s">
        <v>45</v>
      </c>
      <c r="U35" s="228"/>
    </row>
    <row r="36" spans="1:21">
      <c r="A36" s="2" t="s">
        <v>14</v>
      </c>
      <c r="B36" s="1">
        <v>28</v>
      </c>
      <c r="C36" s="54"/>
      <c r="D36" t="s">
        <v>14</v>
      </c>
      <c r="E36" s="1">
        <f t="shared" si="0"/>
        <v>60</v>
      </c>
      <c r="F36" s="224"/>
      <c r="H36" s="262"/>
      <c r="I36" s="262"/>
      <c r="J36" s="262"/>
      <c r="K36" s="262"/>
      <c r="L36" s="262"/>
      <c r="N36" s="235" t="s">
        <v>35</v>
      </c>
      <c r="O36" s="236"/>
      <c r="P36" s="22">
        <f t="shared" si="3"/>
        <v>0</v>
      </c>
      <c r="Q36" s="226"/>
      <c r="R36" s="226"/>
      <c r="S36" s="227"/>
      <c r="T36" s="226" t="s">
        <v>45</v>
      </c>
      <c r="U36" s="228"/>
    </row>
    <row r="37" spans="1:21">
      <c r="A37" s="2" t="s">
        <v>14</v>
      </c>
      <c r="B37" s="1">
        <f t="shared" si="1"/>
        <v>29</v>
      </c>
      <c r="C37" s="54"/>
      <c r="D37" t="s">
        <v>14</v>
      </c>
      <c r="E37" s="1">
        <f t="shared" si="0"/>
        <v>61</v>
      </c>
      <c r="F37" s="224"/>
      <c r="H37" s="262"/>
      <c r="I37" s="262"/>
      <c r="J37" s="262"/>
      <c r="K37" s="262"/>
      <c r="L37" s="262"/>
      <c r="N37" s="235" t="s">
        <v>36</v>
      </c>
      <c r="O37" s="236"/>
      <c r="P37" s="41">
        <f t="shared" si="3"/>
        <v>0</v>
      </c>
      <c r="Q37" s="229"/>
      <c r="R37" s="229"/>
      <c r="S37" s="230"/>
      <c r="T37" s="229" t="s">
        <v>45</v>
      </c>
      <c r="U37" s="231"/>
    </row>
    <row r="38" spans="1:21" ht="15.75" thickBot="1">
      <c r="A38" s="2" t="s">
        <v>14</v>
      </c>
      <c r="B38" s="1">
        <f t="shared" si="1"/>
        <v>30</v>
      </c>
      <c r="C38" s="54"/>
      <c r="D38" t="s">
        <v>14</v>
      </c>
      <c r="E38" s="1">
        <f t="shared" si="0"/>
        <v>62</v>
      </c>
      <c r="F38" s="224"/>
      <c r="I38" s="1"/>
      <c r="L38" s="1"/>
      <c r="N38" s="237" t="s">
        <v>37</v>
      </c>
      <c r="O38" s="238"/>
      <c r="P38" s="42">
        <f t="shared" si="3"/>
        <v>0</v>
      </c>
      <c r="Q38" s="232"/>
      <c r="R38" s="232"/>
      <c r="S38" s="233"/>
      <c r="T38" s="232" t="s">
        <v>45</v>
      </c>
      <c r="U38" s="234"/>
    </row>
    <row r="39" spans="1:21" ht="15.75" thickTop="1">
      <c r="A39" s="2" t="s">
        <v>14</v>
      </c>
      <c r="B39" s="1">
        <f t="shared" si="1"/>
        <v>31</v>
      </c>
      <c r="C39" s="54"/>
      <c r="D39" t="s">
        <v>14</v>
      </c>
      <c r="E39" s="1">
        <f t="shared" si="0"/>
        <v>63</v>
      </c>
      <c r="F39" s="224"/>
    </row>
    <row r="40" spans="1:21" ht="15.75" thickBot="1">
      <c r="A40" s="6" t="s">
        <v>14</v>
      </c>
      <c r="B40" s="7">
        <f t="shared" si="1"/>
        <v>32</v>
      </c>
      <c r="C40" s="223"/>
      <c r="D40" s="8"/>
      <c r="E40" s="7"/>
      <c r="F40" s="16"/>
    </row>
    <row r="41" spans="1:21" ht="15.75" thickTop="1"/>
  </sheetData>
  <sheetProtection algorithmName="SHA-512" hashValue="/m65PYWPSAB2zC3DOweH7Fj3nsOYFKV7TnhwMKgH3k9UHkrNkiiaCsrSqmrXu4PBNu3TU5HQvd3zJpwTvBFEJw==" saltValue="XgZyTJ3J9kmtjwy6eTGfMQ==" spinCount="100000" sheet="1" objects="1" scenarios="1"/>
  <mergeCells count="58">
    <mergeCell ref="N38:O38"/>
    <mergeCell ref="N33:O33"/>
    <mergeCell ref="N34:O34"/>
    <mergeCell ref="N35:O35"/>
    <mergeCell ref="N36:O36"/>
    <mergeCell ref="N37:O37"/>
    <mergeCell ref="N28:O28"/>
    <mergeCell ref="N29:O29"/>
    <mergeCell ref="N30:O30"/>
    <mergeCell ref="N31:O31"/>
    <mergeCell ref="N32:O32"/>
    <mergeCell ref="N24:U24"/>
    <mergeCell ref="N25:O25"/>
    <mergeCell ref="S25:U25"/>
    <mergeCell ref="N26:O26"/>
    <mergeCell ref="N27:O27"/>
    <mergeCell ref="N9:O9"/>
    <mergeCell ref="H8:L8"/>
    <mergeCell ref="I9:J9"/>
    <mergeCell ref="K9:L9"/>
    <mergeCell ref="I10:J10"/>
    <mergeCell ref="K10:L10"/>
    <mergeCell ref="N8:Q8"/>
    <mergeCell ref="N10:O10"/>
    <mergeCell ref="N11:O11"/>
    <mergeCell ref="H16:L16"/>
    <mergeCell ref="N12:O12"/>
    <mergeCell ref="H12:L12"/>
    <mergeCell ref="I13:J13"/>
    <mergeCell ref="K13:L13"/>
    <mergeCell ref="K21:L21"/>
    <mergeCell ref="N17:O17"/>
    <mergeCell ref="I17:J17"/>
    <mergeCell ref="K17:L17"/>
    <mergeCell ref="N13:O13"/>
    <mergeCell ref="I18:J18"/>
    <mergeCell ref="K18:L18"/>
    <mergeCell ref="N14:O14"/>
    <mergeCell ref="N15:O15"/>
    <mergeCell ref="I14:J14"/>
    <mergeCell ref="K14:L14"/>
    <mergeCell ref="N16:O16"/>
    <mergeCell ref="H34:L37"/>
    <mergeCell ref="K5:L5"/>
    <mergeCell ref="A1:Q1"/>
    <mergeCell ref="A3:G3"/>
    <mergeCell ref="K3:L3"/>
    <mergeCell ref="A4:G4"/>
    <mergeCell ref="K4:L4"/>
    <mergeCell ref="N22:O22"/>
    <mergeCell ref="I22:J22"/>
    <mergeCell ref="K22:L22"/>
    <mergeCell ref="N18:O18"/>
    <mergeCell ref="N19:O19"/>
    <mergeCell ref="N20:O20"/>
    <mergeCell ref="N21:O21"/>
    <mergeCell ref="H20:L20"/>
    <mergeCell ref="I21:J21"/>
  </mergeCells>
  <conditionalFormatting sqref="H14:I14 K14">
    <cfRule type="expression" dxfId="31" priority="12">
      <formula>$H$14=7</formula>
    </cfRule>
    <cfRule type="expression" dxfId="30" priority="13">
      <formula>$H$14&gt;7</formula>
    </cfRule>
  </conditionalFormatting>
  <conditionalFormatting sqref="H18:I18 K18">
    <cfRule type="expression" dxfId="29" priority="11">
      <formula>$H$18&gt;0</formula>
    </cfRule>
  </conditionalFormatting>
  <conditionalFormatting sqref="H10:L10">
    <cfRule type="expression" dxfId="28" priority="8">
      <formula>$H$10&gt;12</formula>
    </cfRule>
  </conditionalFormatting>
  <conditionalFormatting sqref="H22:L22">
    <cfRule type="expression" dxfId="27" priority="9">
      <formula>$H$22&gt;10</formula>
    </cfRule>
    <cfRule type="expression" dxfId="26" priority="10">
      <formula>$H$22&gt;6</formula>
    </cfRule>
  </conditionalFormatting>
  <conditionalFormatting sqref="O23:R23">
    <cfRule type="expression" dxfId="25" priority="14">
      <formula>"""Clinically Significant Levels of Autistic Traits"""</formula>
    </cfRule>
    <cfRule type="cellIs" dxfId="24" priority="15" operator="equal">
      <formula>"""Clinically Significant Levels of Autistic Traits"""</formula>
    </cfRule>
  </conditionalFormatting>
  <conditionalFormatting sqref="P10:P22">
    <cfRule type="containsText" dxfId="23" priority="2" operator="containsText" text="INVALID">
      <formula>NOT(ISERROR(SEARCH("INVALID",P10)))</formula>
    </cfRule>
  </conditionalFormatting>
  <conditionalFormatting sqref="P26:P38">
    <cfRule type="cellIs" dxfId="22" priority="1" operator="equal">
      <formula>"INVALID"</formula>
    </cfRule>
  </conditionalFormatting>
  <conditionalFormatting sqref="Q10:Q11 Q13:Q14 Q16:Q20">
    <cfRule type="cellIs" dxfId="21" priority="7" operator="greaterThan">
      <formula>1</formula>
    </cfRule>
  </conditionalFormatting>
  <conditionalFormatting sqref="Q12">
    <cfRule type="expression" dxfId="20" priority="6">
      <formula>$P$12="INVALID"</formula>
    </cfRule>
  </conditionalFormatting>
  <conditionalFormatting sqref="Q15">
    <cfRule type="expression" dxfId="19" priority="5">
      <formula>$P$15="INVALID"</formula>
    </cfRule>
  </conditionalFormatting>
  <conditionalFormatting sqref="Q21">
    <cfRule type="expression" dxfId="18" priority="4">
      <formula>$P$21="INVALID"</formula>
    </cfRule>
  </conditionalFormatting>
  <conditionalFormatting sqref="Q22">
    <cfRule type="expression" dxfId="17" priority="3">
      <formula>$P$22="INVALID"</formula>
    </cfRule>
  </conditionalFormatting>
  <dataValidations count="7">
    <dataValidation type="list" allowBlank="1" showInputMessage="1" showErrorMessage="1" error="Enter 1 (Never), 2 (Sometimes), 3 (Often), or ? (Missing)" sqref="C9:C40" xr:uid="{00000000-0002-0000-0100-000000000000}">
      <formula1>"1,2,3,?"</formula1>
    </dataValidation>
    <dataValidation type="list" allowBlank="1" showInputMessage="1" showErrorMessage="1" error="Enter 1 (Never), 2 (Sometimes), 3 (Often), or ? (Missing)_x000a_" sqref="F9:F39" xr:uid="{00000000-0002-0000-0100-000001000000}">
      <formula1>"1,2,3,?"</formula1>
    </dataValidation>
    <dataValidation type="whole" allowBlank="1" showInputMessage="1" showErrorMessage="1" error="No entries beyond Item 63." sqref="F40" xr:uid="{00000000-0002-0000-0100-000002000000}">
      <formula1>0</formula1>
      <formula2>0</formula2>
    </dataValidation>
    <dataValidation type="whole" allowBlank="1" showInputMessage="1" showErrorMessage="1" error="Move to next column for Item 33 on the next page." sqref="C41" xr:uid="{00000000-0002-0000-0100-000003000000}">
      <formula1>0</formula1>
      <formula2>0</formula2>
    </dataValidation>
    <dataValidation type="list" allowBlank="1" showInputMessage="1" showErrorMessage="1" sqref="S6" xr:uid="{00000000-0002-0000-0100-000004000000}">
      <formula1>"1,2,3,?"</formula1>
    </dataValidation>
    <dataValidation type="list" allowBlank="1" showInputMessage="1" showErrorMessage="1" sqref="K5:L5" xr:uid="{00000000-0002-0000-0100-000005000000}">
      <formula1>"Select:,Boys,Girls"</formula1>
    </dataValidation>
    <dataValidation type="list" allowBlank="1" showInputMessage="1" showErrorMessage="1" sqref="K4:L4" xr:uid="{00000000-0002-0000-0100-000006000000}">
      <formula1>"Select:,5-7,8-10,11-13,14-18"</formula1>
    </dataValidation>
  </dataValidations>
  <pageMargins left="0.7" right="0.7" top="0.75" bottom="0.75" header="0.3" footer="0.3"/>
  <pageSetup scale="8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9"/>
  <sheetViews>
    <sheetView workbookViewId="0">
      <selection activeCell="I14" sqref="I14:J14"/>
    </sheetView>
  </sheetViews>
  <sheetFormatPr defaultRowHeight="15"/>
  <cols>
    <col min="1" max="1" width="5.28515625" customWidth="1"/>
    <col min="2" max="2" width="2.85546875" style="1" customWidth="1"/>
    <col min="3" max="3" width="10.7109375" customWidth="1"/>
    <col min="4" max="4" width="5.140625" customWidth="1"/>
    <col min="5" max="5" width="3.140625" style="1" customWidth="1"/>
    <col min="6" max="6" width="10.85546875" customWidth="1"/>
    <col min="8" max="8" width="8.5703125" customWidth="1"/>
    <col min="9" max="9" width="6.7109375" customWidth="1"/>
    <col min="10" max="10" width="9.5703125" customWidth="1"/>
    <col min="11" max="11" width="9" customWidth="1"/>
    <col min="12" max="12" width="10.5703125" customWidth="1"/>
    <col min="13" max="13" width="7.140625" customWidth="1"/>
    <col min="15" max="15" width="9.140625" customWidth="1"/>
    <col min="16" max="16" width="10.5703125" customWidth="1"/>
    <col min="18" max="18" width="9" customWidth="1"/>
    <col min="19" max="19" width="3.85546875" customWidth="1"/>
    <col min="20" max="20" width="2" customWidth="1"/>
    <col min="21" max="21" width="3.85546875" customWidth="1"/>
  </cols>
  <sheetData>
    <row r="1" spans="1:18" ht="18.75">
      <c r="A1" s="245" t="s">
        <v>50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</row>
    <row r="2" spans="1:18" ht="19.5" thickBot="1">
      <c r="H2" s="43"/>
      <c r="I2" s="43"/>
      <c r="J2" s="43"/>
      <c r="K2" s="43"/>
      <c r="L2" s="43"/>
      <c r="M2" s="43"/>
      <c r="N2" s="43"/>
      <c r="O2" s="43"/>
    </row>
    <row r="3" spans="1:18" ht="15.75" thickTop="1">
      <c r="A3" s="247" t="s">
        <v>1</v>
      </c>
      <c r="B3" s="248"/>
      <c r="C3" s="248"/>
      <c r="D3" s="248"/>
      <c r="E3" s="248"/>
      <c r="F3" s="248"/>
      <c r="G3" s="249"/>
      <c r="H3" s="11"/>
      <c r="I3" s="11"/>
      <c r="J3" s="11"/>
      <c r="K3" s="253"/>
      <c r="L3" s="253"/>
    </row>
    <row r="4" spans="1:18">
      <c r="A4" s="250" t="s">
        <v>2</v>
      </c>
      <c r="B4" s="251"/>
      <c r="C4" s="251"/>
      <c r="D4" s="251"/>
      <c r="E4" s="251"/>
      <c r="F4" s="251"/>
      <c r="G4" s="252"/>
      <c r="H4" s="11"/>
      <c r="I4" s="11"/>
      <c r="J4" s="44" t="s">
        <v>3</v>
      </c>
      <c r="K4" s="266" t="s">
        <v>51</v>
      </c>
      <c r="L4" s="266"/>
    </row>
    <row r="5" spans="1:18">
      <c r="A5" s="2"/>
      <c r="B5" s="11" t="s">
        <v>5</v>
      </c>
      <c r="C5" s="11"/>
      <c r="E5"/>
      <c r="F5" s="11" t="s">
        <v>6</v>
      </c>
      <c r="G5" s="14"/>
      <c r="J5" s="44" t="s">
        <v>7</v>
      </c>
      <c r="K5" s="265" t="s">
        <v>8</v>
      </c>
      <c r="L5" s="265"/>
    </row>
    <row r="6" spans="1:18" ht="15.75" thickBot="1">
      <c r="A6" s="15"/>
      <c r="B6" s="12" t="s">
        <v>9</v>
      </c>
      <c r="C6" s="12"/>
      <c r="D6" s="8"/>
      <c r="E6" s="8"/>
      <c r="F6" s="12" t="s">
        <v>10</v>
      </c>
      <c r="G6" s="16"/>
    </row>
    <row r="7" spans="1:18" ht="16.5" thickTop="1" thickBot="1">
      <c r="B7" s="11"/>
      <c r="C7" s="13"/>
      <c r="D7" s="13"/>
      <c r="E7" s="13"/>
      <c r="F7" s="13"/>
      <c r="G7" s="13"/>
      <c r="H7" s="13"/>
      <c r="I7" s="13"/>
      <c r="J7" s="13"/>
    </row>
    <row r="8" spans="1:18" ht="15.75" thickTop="1">
      <c r="A8" s="3"/>
      <c r="B8" s="4"/>
      <c r="C8" s="9" t="s">
        <v>11</v>
      </c>
      <c r="D8" s="5"/>
      <c r="E8" s="4"/>
      <c r="F8" s="10" t="s">
        <v>11</v>
      </c>
      <c r="G8" s="11"/>
      <c r="H8" s="255" t="s">
        <v>12</v>
      </c>
      <c r="I8" s="256"/>
      <c r="J8" s="256"/>
      <c r="K8" s="256"/>
      <c r="L8" s="257"/>
      <c r="M8" s="17"/>
      <c r="N8" s="255" t="s">
        <v>48</v>
      </c>
      <c r="O8" s="256"/>
      <c r="P8" s="256"/>
      <c r="Q8" s="257"/>
      <c r="R8" s="11"/>
    </row>
    <row r="9" spans="1:18">
      <c r="A9" s="2" t="s">
        <v>14</v>
      </c>
      <c r="B9" s="1">
        <v>1</v>
      </c>
      <c r="C9" s="54"/>
      <c r="D9" t="s">
        <v>14</v>
      </c>
      <c r="E9" s="1">
        <v>31</v>
      </c>
      <c r="F9" s="224"/>
      <c r="H9" s="23" t="s">
        <v>15</v>
      </c>
      <c r="I9" s="239" t="s">
        <v>16</v>
      </c>
      <c r="J9" s="239"/>
      <c r="K9" s="239" t="s">
        <v>17</v>
      </c>
      <c r="L9" s="240"/>
      <c r="N9" s="246" t="s">
        <v>18</v>
      </c>
      <c r="O9" s="239"/>
      <c r="P9" s="40" t="s">
        <v>11</v>
      </c>
      <c r="Q9" s="37" t="s">
        <v>19</v>
      </c>
    </row>
    <row r="10" spans="1:18" ht="15.75" thickBot="1">
      <c r="A10" s="2" t="s">
        <v>14</v>
      </c>
      <c r="B10" s="1">
        <f>B9+1</f>
        <v>2</v>
      </c>
      <c r="C10" s="54"/>
      <c r="D10" t="s">
        <v>14</v>
      </c>
      <c r="E10" s="1">
        <f t="shared" ref="E10:E33" si="0">E9+1</f>
        <v>32</v>
      </c>
      <c r="F10" s="224"/>
      <c r="H10" s="25">
        <f>SUM(IF(C9="?",1,0),IF(C10="?",1,0),IF(C11="?",1,0),IF(C12="?",1,0),IF(C13="?",1,0),IF(C14="?",1,0),IF(C15="?",1,0),IF(C16="?",1,0),IF(C17="?",1,0),IF(C18="?",1,0),IF(C19="?",1,0),IF(C20="?",1,0),IF(C21="?",1,0),IF(C22="?",1,0),IF(C23="?",1,0),IF(C24="?",1,0),IF(C25="?",1,0),IF(C26="?",1,0),IF(C27="?",1,0),IF(C28="?",1,0),IF(C29="?",1,0),IF(C30="?",1,0),IF(C31="?",1,0),IF(C32="?",1,0),IF(C33="?",1,0),IF(C34="?",1,0),IF(C35="?",1,0),IF(C36="?",1,0),IF(C37="?",1,0),IF(C38="?",1,0),IF(F9="?",1,0),IF(F10="?",1,0),IF(F11="?",1,0),IF(F12="?",1,0),IF(F13="?",1,0),IF(F14="?",1,0),IF(F15="?",1,0),IF(F16="?",1,0),IF(F17="?",1,0),IF(F18="?",1,0),IF(F19="?",1,0),IF(F20="?",1,0),IF(F21="?",1,0),IF(F22="?",1,0),IF(F23="?",1,0),IF(F24="?",1,0),IF(F25="?",1,0),IF(F26="?",1,0),IF(F27="?",1,0),IF(F28="?",1,0),IF(F29="?",1,0),IF(F30="?",1,0),IF(F31="?",1,0),IF(F32="?",1,0),IF(F33="?",1,0))</f>
        <v>0</v>
      </c>
      <c r="I10" s="258">
        <v>10</v>
      </c>
      <c r="J10" s="258"/>
      <c r="K10" s="258" t="str">
        <f>IF(H10&gt;I10,"Invalid","Acceptable")</f>
        <v>Acceptable</v>
      </c>
      <c r="L10" s="259"/>
      <c r="N10" s="235" t="s">
        <v>20</v>
      </c>
      <c r="O10" s="236"/>
      <c r="P10" s="22">
        <f>IF(Q10&lt;2,SUM(C9,C18,C24,C32,C38,F17,F26,F27),"INVALID")</f>
        <v>0</v>
      </c>
      <c r="Q10" s="36">
        <f>SUM(IF(C9="?",1,0),IF(C18="?",1,0),IF(C24="?",1,0),IF(C32="?",1,0),IF(C38="?",1,0),IF(F17="?",1,0),IF(F26="?",1,0),IF(F27="?",1,0))</f>
        <v>0</v>
      </c>
      <c r="R10" s="17"/>
    </row>
    <row r="11" spans="1:18" ht="16.5" thickTop="1" thickBot="1">
      <c r="A11" s="2" t="s">
        <v>14</v>
      </c>
      <c r="B11" s="1">
        <f>B10+1</f>
        <v>3</v>
      </c>
      <c r="C11" s="54"/>
      <c r="D11" t="s">
        <v>14</v>
      </c>
      <c r="E11" s="1">
        <f t="shared" si="0"/>
        <v>33</v>
      </c>
      <c r="F11" s="224"/>
      <c r="N11" s="235" t="s">
        <v>21</v>
      </c>
      <c r="O11" s="236"/>
      <c r="P11" s="22">
        <f>IF(Q11&lt;2,SUM(C12,C21,C28,C34,F28),"INVALID")</f>
        <v>0</v>
      </c>
      <c r="Q11" s="36">
        <f>SUM(IF(C12="?",1,0),IF(C21="?",1,0),IF(C28="?",1,0),IF(C34="?",1,0),IF(F28="?",1,0))</f>
        <v>0</v>
      </c>
      <c r="R11" s="33"/>
    </row>
    <row r="12" spans="1:18" ht="15.75" thickTop="1">
      <c r="A12" s="2" t="s">
        <v>14</v>
      </c>
      <c r="B12" s="1">
        <f t="shared" ref="B12:B38" si="1">B11+1</f>
        <v>4</v>
      </c>
      <c r="C12" s="54"/>
      <c r="D12" t="s">
        <v>14</v>
      </c>
      <c r="E12" s="1">
        <f t="shared" si="0"/>
        <v>34</v>
      </c>
      <c r="F12" s="224"/>
      <c r="H12" s="255" t="s">
        <v>22</v>
      </c>
      <c r="I12" s="256"/>
      <c r="J12" s="256"/>
      <c r="K12" s="256"/>
      <c r="L12" s="257"/>
      <c r="N12" s="235" t="s">
        <v>23</v>
      </c>
      <c r="O12" s="236"/>
      <c r="P12" s="41">
        <f>IF(AND(Q10&lt;2,Q11&lt;2),SUM(P10:P11),"INVALID")</f>
        <v>0</v>
      </c>
      <c r="Q12" s="38">
        <f>SUM(Q10:Q11)</f>
        <v>0</v>
      </c>
    </row>
    <row r="13" spans="1:18">
      <c r="A13" s="2" t="s">
        <v>14</v>
      </c>
      <c r="B13" s="1">
        <f t="shared" si="1"/>
        <v>5</v>
      </c>
      <c r="C13" s="54"/>
      <c r="D13" t="s">
        <v>14</v>
      </c>
      <c r="E13" s="1">
        <f t="shared" si="0"/>
        <v>35</v>
      </c>
      <c r="F13" s="224"/>
      <c r="H13" s="23" t="s">
        <v>24</v>
      </c>
      <c r="I13" s="239" t="s">
        <v>25</v>
      </c>
      <c r="J13" s="239"/>
      <c r="K13" s="239" t="s">
        <v>17</v>
      </c>
      <c r="L13" s="240"/>
      <c r="N13" s="235" t="s">
        <v>26</v>
      </c>
      <c r="O13" s="236"/>
      <c r="P13" s="22">
        <f>IF(Q13&lt;2,SUM(C10,C19,C25,F9,F18,F23,F29,F31),"INVALID")</f>
        <v>0</v>
      </c>
      <c r="Q13" s="36">
        <f>SUM(IF(C10="?",1,0),IF(C19="?",1,0),IF(C25="?",1,0),IF(F9="?",1,0),IF(F18="?",1,0),IF(F23="?",1,0),IF(F29="?",1,0),IF(F31="?",1,0))</f>
        <v>0</v>
      </c>
      <c r="R13" s="18"/>
    </row>
    <row r="14" spans="1:18" ht="15.75" thickBot="1">
      <c r="A14" s="2" t="s">
        <v>14</v>
      </c>
      <c r="B14" s="1">
        <f t="shared" si="1"/>
        <v>6</v>
      </c>
      <c r="C14" s="54"/>
      <c r="D14" t="s">
        <v>14</v>
      </c>
      <c r="E14" s="1">
        <f t="shared" si="0"/>
        <v>36</v>
      </c>
      <c r="F14" s="224"/>
      <c r="H14" s="25">
        <f>SUM(IF(C24="?",0,TRUNC(C24/3)),IF(C27="?",0,TRUNC(C27/3)),IF(C28="?",0,TRUNC(C28/3)),IF(C32="?",0,TRUNC(C32/3)),IF(C38="?",0,TRUNC(C38/3)),IF(F21="?",0,TRUNC(F21/3)),IF(F28="?",0,TRUNC(F28/3)),IF(F29="?",0,TRUNC(F29/3)))</f>
        <v>0</v>
      </c>
      <c r="I14" s="258" t="str">
        <f>IF(H14&gt;7,"&gt;99",IF(H14=7,"99","≤98"))</f>
        <v>≤98</v>
      </c>
      <c r="J14" s="258"/>
      <c r="K14" s="258" t="str">
        <f>IF(H14&gt;4,"Highly Elevated",IF(H14=4,"Elevated","Acceptable"))</f>
        <v>Acceptable</v>
      </c>
      <c r="L14" s="259"/>
      <c r="N14" s="235" t="s">
        <v>27</v>
      </c>
      <c r="O14" s="236"/>
      <c r="P14" s="22">
        <f>IF(Q14&lt;2,SUM(C14,C22,C30,C35,F12,F21),"INVALID")</f>
        <v>0</v>
      </c>
      <c r="Q14" s="36">
        <f>SUM(IF(C14="?",1,0),IF(C22="?",1,0),IF(C30="?",1,0),IF(C35="?",1,0),IF(F12="?",1,0),IF(F21="?",1,0))</f>
        <v>0</v>
      </c>
    </row>
    <row r="15" spans="1:18" ht="16.5" thickTop="1" thickBot="1">
      <c r="A15" s="2" t="s">
        <v>14</v>
      </c>
      <c r="B15" s="1">
        <f t="shared" si="1"/>
        <v>7</v>
      </c>
      <c r="C15" s="54"/>
      <c r="D15" t="s">
        <v>14</v>
      </c>
      <c r="E15" s="1">
        <f t="shared" si="0"/>
        <v>37</v>
      </c>
      <c r="F15" s="224"/>
      <c r="I15" s="1"/>
      <c r="L15" s="1"/>
      <c r="N15" s="235" t="s">
        <v>28</v>
      </c>
      <c r="O15" s="236"/>
      <c r="P15" s="41">
        <f>IF(AND(Q13&lt;2,Q14&lt;2),SUM(P13:P14),"INVALID")</f>
        <v>0</v>
      </c>
      <c r="Q15" s="38">
        <f>SUM(Q13:Q14)</f>
        <v>0</v>
      </c>
      <c r="R15" s="33"/>
    </row>
    <row r="16" spans="1:18" ht="15.75" thickTop="1">
      <c r="A16" s="2" t="s">
        <v>14</v>
      </c>
      <c r="B16" s="1">
        <f t="shared" si="1"/>
        <v>8</v>
      </c>
      <c r="C16" s="54"/>
      <c r="D16" t="s">
        <v>14</v>
      </c>
      <c r="E16" s="1">
        <f t="shared" si="0"/>
        <v>38</v>
      </c>
      <c r="F16" s="224"/>
      <c r="H16" s="255" t="s">
        <v>29</v>
      </c>
      <c r="I16" s="256"/>
      <c r="J16" s="256"/>
      <c r="K16" s="256"/>
      <c r="L16" s="257"/>
      <c r="N16" s="235" t="s">
        <v>52</v>
      </c>
      <c r="O16" s="236"/>
      <c r="P16" s="22">
        <f>IF(Q16&lt;2,SUM(C31,C33,F11,F16,F20,F22,F33),"INVALID")</f>
        <v>0</v>
      </c>
      <c r="Q16" s="36">
        <f>SUM(IF(C31="?",1,0),IF(C33="?",1,0),IF(F11="?",1,0),IF(F16="?",1,0),IF(F20="?",1,0),IF(F22="?",1,0),IF(F33="?",1,0))</f>
        <v>0</v>
      </c>
    </row>
    <row r="17" spans="1:21">
      <c r="A17" s="2" t="s">
        <v>14</v>
      </c>
      <c r="B17" s="1">
        <f t="shared" si="1"/>
        <v>9</v>
      </c>
      <c r="C17" s="54"/>
      <c r="D17" t="s">
        <v>14</v>
      </c>
      <c r="E17" s="1">
        <f t="shared" si="0"/>
        <v>39</v>
      </c>
      <c r="F17" s="224"/>
      <c r="H17" s="23" t="s">
        <v>24</v>
      </c>
      <c r="I17" s="239" t="s">
        <v>25</v>
      </c>
      <c r="J17" s="239"/>
      <c r="K17" s="239" t="s">
        <v>17</v>
      </c>
      <c r="L17" s="240"/>
      <c r="N17" s="235" t="s">
        <v>31</v>
      </c>
      <c r="O17" s="236"/>
      <c r="P17" s="22">
        <f>IF(Q17&lt;2,SUM(C11,C20,C27,C36,C37,F10,F19,F24),"INVALID")</f>
        <v>0</v>
      </c>
      <c r="Q17" s="36">
        <f>SUM(IF(C11="?",1,0),IF(C20="?",1,0),IF(C27="?",1,0),IF(C36="?",1,0),IF(C37="?",1,0),IF(F10="?",1,0),IF(F19="?",1,0),IF(F24="?",1,0))</f>
        <v>0</v>
      </c>
      <c r="R17" s="18"/>
    </row>
    <row r="18" spans="1:21" ht="15.75" thickBot="1">
      <c r="A18" s="2" t="s">
        <v>14</v>
      </c>
      <c r="B18" s="1">
        <f t="shared" si="1"/>
        <v>10</v>
      </c>
      <c r="C18" s="54"/>
      <c r="D18" t="s">
        <v>14</v>
      </c>
      <c r="E18" s="1">
        <f t="shared" si="0"/>
        <v>40</v>
      </c>
      <c r="F18" s="224"/>
      <c r="H18" s="25">
        <f>SUM(IF(C26="?",0,ROUND(C26/3,0)),IF(F14="?",0,ROUND(F14/3,0)),IF(F32="?",0,ROUND(F32/3,0)))</f>
        <v>0</v>
      </c>
      <c r="I18" s="258" t="str">
        <f>IF(H18=0,"99","&gt;99")</f>
        <v>99</v>
      </c>
      <c r="J18" s="258"/>
      <c r="K18" s="258" t="str">
        <f>IF(H18=0,"Acceptable","Questionable")</f>
        <v>Acceptable</v>
      </c>
      <c r="L18" s="259"/>
      <c r="N18" s="235" t="s">
        <v>32</v>
      </c>
      <c r="O18" s="236"/>
      <c r="P18" s="22">
        <f>IF(Q18&lt;2,SUM(C13,C15,C16,C17,C23,C29,F13,F15,F25,F30),"INVALID")</f>
        <v>0</v>
      </c>
      <c r="Q18" s="36">
        <f>SUM(IF(C13="?",1,0),IF(C15="?",1,0),IF(C16="?",1,0),IF(C17="?",1,0),IF(C23="?",1,0),IF(C29="?",1,0),IF(F13="?",1,0),IF(F15="?",1,0),IF(F25="?",1,0),IF(F30="?",1,0))</f>
        <v>0</v>
      </c>
    </row>
    <row r="19" spans="1:21" ht="16.5" thickTop="1" thickBot="1">
      <c r="A19" s="2" t="s">
        <v>14</v>
      </c>
      <c r="B19" s="1">
        <f t="shared" si="1"/>
        <v>11</v>
      </c>
      <c r="C19" s="54"/>
      <c r="D19" t="s">
        <v>14</v>
      </c>
      <c r="E19" s="1">
        <f t="shared" si="0"/>
        <v>41</v>
      </c>
      <c r="F19" s="224"/>
      <c r="I19" s="1"/>
      <c r="L19" s="1"/>
      <c r="N19" s="235" t="s">
        <v>36</v>
      </c>
      <c r="O19" s="236"/>
      <c r="P19" s="41">
        <f>IF(AND(Q16&lt;2,Q17&lt;2,Q18&lt;2),SUM(P16:P18),"INVALID")</f>
        <v>0</v>
      </c>
      <c r="Q19" s="38">
        <f>SUM(Q14:Q16)</f>
        <v>0</v>
      </c>
    </row>
    <row r="20" spans="1:21" ht="16.5" thickTop="1" thickBot="1">
      <c r="A20" s="2" t="s">
        <v>14</v>
      </c>
      <c r="B20" s="1">
        <f t="shared" si="1"/>
        <v>12</v>
      </c>
      <c r="C20" s="54"/>
      <c r="D20" t="s">
        <v>14</v>
      </c>
      <c r="E20" s="1">
        <f t="shared" si="0"/>
        <v>42</v>
      </c>
      <c r="F20" s="224"/>
      <c r="H20" s="255" t="s">
        <v>34</v>
      </c>
      <c r="I20" s="256"/>
      <c r="J20" s="256"/>
      <c r="K20" s="256"/>
      <c r="L20" s="257"/>
      <c r="N20" s="237" t="s">
        <v>37</v>
      </c>
      <c r="O20" s="238"/>
      <c r="P20" s="42">
        <f>IF(P12="INVALID","INVALID",IF(P15="INVALID","INVALID",IF(P19="INVALID","INVALID",SUM(P12,P15,P19))))</f>
        <v>0</v>
      </c>
      <c r="Q20" s="39">
        <f>SUM(Q12,Q15,Q19)</f>
        <v>0</v>
      </c>
      <c r="R20" s="17"/>
    </row>
    <row r="21" spans="1:21" ht="16.5" thickTop="1" thickBot="1">
      <c r="A21" s="2" t="s">
        <v>14</v>
      </c>
      <c r="B21" s="1">
        <f t="shared" si="1"/>
        <v>13</v>
      </c>
      <c r="C21" s="54"/>
      <c r="D21" t="s">
        <v>14</v>
      </c>
      <c r="E21" s="1">
        <f t="shared" si="0"/>
        <v>43</v>
      </c>
      <c r="F21" s="224"/>
      <c r="H21" s="23" t="s">
        <v>24</v>
      </c>
      <c r="I21" s="239" t="s">
        <v>25</v>
      </c>
      <c r="J21" s="239"/>
      <c r="K21" s="239" t="s">
        <v>17</v>
      </c>
      <c r="L21" s="240"/>
      <c r="P21" s="20"/>
    </row>
    <row r="22" spans="1:21" ht="15.75" thickTop="1">
      <c r="A22" s="2" t="s">
        <v>14</v>
      </c>
      <c r="B22" s="1">
        <f t="shared" si="1"/>
        <v>14</v>
      </c>
      <c r="C22" s="54"/>
      <c r="D22" t="s">
        <v>14</v>
      </c>
      <c r="E22" s="1">
        <f t="shared" si="0"/>
        <v>44</v>
      </c>
      <c r="F22" s="224"/>
      <c r="H22" s="28">
        <f>SUM(L25:L32)</f>
        <v>0</v>
      </c>
      <c r="I22" s="260" t="str">
        <f>IF(H22&gt;10,"&gt;99",IF(H22&lt;7,"≤98","99"))</f>
        <v>≤98</v>
      </c>
      <c r="J22" s="260"/>
      <c r="K22" s="260" t="str">
        <f>IF(H22&gt;10,"Inconsistent",IF(H22&lt;6,"Acceptable","Questionable"))</f>
        <v>Acceptable</v>
      </c>
      <c r="L22" s="261"/>
      <c r="N22" s="241" t="s">
        <v>41</v>
      </c>
      <c r="O22" s="242"/>
      <c r="P22" s="242"/>
      <c r="Q22" s="242"/>
      <c r="R22" s="242"/>
      <c r="S22" s="242"/>
      <c r="T22" s="242"/>
      <c r="U22" s="243"/>
    </row>
    <row r="23" spans="1:21">
      <c r="A23" s="2" t="s">
        <v>14</v>
      </c>
      <c r="B23" s="1">
        <f t="shared" si="1"/>
        <v>15</v>
      </c>
      <c r="C23" s="54"/>
      <c r="D23" t="s">
        <v>14</v>
      </c>
      <c r="E23" s="1">
        <f t="shared" si="0"/>
        <v>45</v>
      </c>
      <c r="F23" s="224"/>
      <c r="H23" s="2"/>
      <c r="I23" s="1"/>
      <c r="L23" s="29"/>
      <c r="N23" s="246" t="s">
        <v>18</v>
      </c>
      <c r="O23" s="239"/>
      <c r="P23" s="40" t="s">
        <v>11</v>
      </c>
      <c r="Q23" s="21" t="s">
        <v>42</v>
      </c>
      <c r="R23" s="21" t="s">
        <v>43</v>
      </c>
      <c r="S23" s="239" t="s">
        <v>44</v>
      </c>
      <c r="T23" s="239"/>
      <c r="U23" s="240"/>
    </row>
    <row r="24" spans="1:21">
      <c r="A24" s="2" t="s">
        <v>14</v>
      </c>
      <c r="B24" s="1">
        <f t="shared" si="1"/>
        <v>16</v>
      </c>
      <c r="C24" s="54"/>
      <c r="D24" t="s">
        <v>14</v>
      </c>
      <c r="E24" s="1">
        <f t="shared" si="0"/>
        <v>46</v>
      </c>
      <c r="F24" s="224"/>
      <c r="H24" s="23" t="s">
        <v>38</v>
      </c>
      <c r="I24" s="21" t="s">
        <v>39</v>
      </c>
      <c r="J24" s="21" t="s">
        <v>38</v>
      </c>
      <c r="K24" s="21" t="s">
        <v>39</v>
      </c>
      <c r="L24" s="24" t="s">
        <v>40</v>
      </c>
      <c r="N24" s="235" t="s">
        <v>20</v>
      </c>
      <c r="O24" s="236"/>
      <c r="P24" s="22">
        <f t="shared" ref="P24:P34" si="2">P10</f>
        <v>0</v>
      </c>
      <c r="Q24" s="22" t="str">
        <f>'Calc - Self'!D7</f>
        <v/>
      </c>
      <c r="R24" s="22" t="str">
        <f>'Calc - Self'!E7</f>
        <v/>
      </c>
      <c r="S24" s="45" t="e">
        <f>'Calc - Self'!F7</f>
        <v>#VALUE!</v>
      </c>
      <c r="T24" s="22" t="s">
        <v>45</v>
      </c>
      <c r="U24" s="46" t="e">
        <f>'Calc - Self'!G7</f>
        <v>#VALUE!</v>
      </c>
    </row>
    <row r="25" spans="1:21" ht="15" customHeight="1">
      <c r="A25" s="2" t="s">
        <v>14</v>
      </c>
      <c r="B25" s="1">
        <f t="shared" si="1"/>
        <v>17</v>
      </c>
      <c r="C25" s="54"/>
      <c r="D25" t="s">
        <v>14</v>
      </c>
      <c r="E25" s="1">
        <f t="shared" si="0"/>
        <v>47</v>
      </c>
      <c r="F25" s="224"/>
      <c r="H25" s="30">
        <v>1</v>
      </c>
      <c r="I25" s="22">
        <f>IF(C9="?",1,C9)</f>
        <v>0</v>
      </c>
      <c r="J25" s="19">
        <v>12</v>
      </c>
      <c r="K25" s="22">
        <f>IF(C20="?",1,C20)</f>
        <v>0</v>
      </c>
      <c r="L25" s="36">
        <f t="shared" ref="L25:L32" si="3">ABS(I25-K25)</f>
        <v>0</v>
      </c>
      <c r="N25" s="235" t="s">
        <v>21</v>
      </c>
      <c r="O25" s="236"/>
      <c r="P25" s="22">
        <f t="shared" si="2"/>
        <v>0</v>
      </c>
      <c r="Q25" s="22" t="str">
        <f>'Calc - Self'!D8</f>
        <v/>
      </c>
      <c r="R25" s="22" t="str">
        <f>'Calc - Self'!E8</f>
        <v/>
      </c>
      <c r="S25" s="45" t="e">
        <f>'Calc - Self'!F8</f>
        <v>#VALUE!</v>
      </c>
      <c r="T25" s="22" t="s">
        <v>45</v>
      </c>
      <c r="U25" s="46" t="e">
        <f>'Calc - Self'!G8</f>
        <v>#VALUE!</v>
      </c>
    </row>
    <row r="26" spans="1:21">
      <c r="A26" s="2" t="s">
        <v>14</v>
      </c>
      <c r="B26" s="1">
        <f t="shared" si="1"/>
        <v>18</v>
      </c>
      <c r="C26" s="54"/>
      <c r="D26" t="s">
        <v>14</v>
      </c>
      <c r="E26" s="1">
        <f t="shared" si="0"/>
        <v>48</v>
      </c>
      <c r="F26" s="224"/>
      <c r="H26" s="30">
        <v>6</v>
      </c>
      <c r="I26" s="22">
        <f>IF(C14="?",1,C14)</f>
        <v>0</v>
      </c>
      <c r="J26" s="19">
        <v>14</v>
      </c>
      <c r="K26" s="22">
        <f>IF(C22="?",1,C22)</f>
        <v>0</v>
      </c>
      <c r="L26" s="36">
        <f t="shared" si="3"/>
        <v>0</v>
      </c>
      <c r="N26" s="235" t="s">
        <v>23</v>
      </c>
      <c r="O26" s="236"/>
      <c r="P26" s="41">
        <f t="shared" si="2"/>
        <v>0</v>
      </c>
      <c r="Q26" s="41" t="str">
        <f>'Calc - Self'!D9</f>
        <v/>
      </c>
      <c r="R26" s="41" t="str">
        <f>'Calc - Self'!E9</f>
        <v/>
      </c>
      <c r="S26" s="47" t="e">
        <f>'Calc - Self'!F9</f>
        <v>#VALUE!</v>
      </c>
      <c r="T26" s="41" t="s">
        <v>45</v>
      </c>
      <c r="U26" s="48" t="e">
        <f>'Calc - Self'!G9</f>
        <v>#VALUE!</v>
      </c>
    </row>
    <row r="27" spans="1:21">
      <c r="A27" s="2" t="s">
        <v>14</v>
      </c>
      <c r="B27" s="1">
        <f t="shared" si="1"/>
        <v>19</v>
      </c>
      <c r="C27" s="54"/>
      <c r="D27" t="s">
        <v>14</v>
      </c>
      <c r="E27" s="1">
        <f t="shared" si="0"/>
        <v>49</v>
      </c>
      <c r="F27" s="224"/>
      <c r="H27" s="30">
        <v>22</v>
      </c>
      <c r="I27" s="22">
        <f>IF(C30="?",1,C30)</f>
        <v>0</v>
      </c>
      <c r="J27" s="19">
        <v>27</v>
      </c>
      <c r="K27" s="22">
        <f>IF(C35="?",1,C35)</f>
        <v>0</v>
      </c>
      <c r="L27" s="36">
        <f t="shared" si="3"/>
        <v>0</v>
      </c>
      <c r="N27" s="235" t="s">
        <v>26</v>
      </c>
      <c r="O27" s="236"/>
      <c r="P27" s="22">
        <f t="shared" si="2"/>
        <v>0</v>
      </c>
      <c r="Q27" s="22" t="str">
        <f>'Calc - Self'!D10</f>
        <v/>
      </c>
      <c r="R27" s="22" t="str">
        <f>'Calc - Self'!E10</f>
        <v/>
      </c>
      <c r="S27" s="45" t="e">
        <f>'Calc - Self'!F10</f>
        <v>#VALUE!</v>
      </c>
      <c r="T27" s="22" t="s">
        <v>45</v>
      </c>
      <c r="U27" s="46" t="e">
        <f>'Calc - Self'!G10</f>
        <v>#VALUE!</v>
      </c>
    </row>
    <row r="28" spans="1:21">
      <c r="A28" s="2" t="s">
        <v>14</v>
      </c>
      <c r="B28" s="1">
        <f t="shared" si="1"/>
        <v>20</v>
      </c>
      <c r="C28" s="54"/>
      <c r="D28" t="s">
        <v>14</v>
      </c>
      <c r="E28" s="1">
        <f t="shared" si="0"/>
        <v>50</v>
      </c>
      <c r="F28" s="224"/>
      <c r="H28" s="30">
        <v>23</v>
      </c>
      <c r="I28" s="22">
        <f>IF(C31="?",1,C31)</f>
        <v>0</v>
      </c>
      <c r="J28" s="19">
        <v>52</v>
      </c>
      <c r="K28" s="22">
        <f>IF(F30="?",1,F30)</f>
        <v>0</v>
      </c>
      <c r="L28" s="36">
        <f t="shared" si="3"/>
        <v>0</v>
      </c>
      <c r="N28" s="235" t="s">
        <v>27</v>
      </c>
      <c r="O28" s="236"/>
      <c r="P28" s="22">
        <f t="shared" si="2"/>
        <v>0</v>
      </c>
      <c r="Q28" s="22" t="str">
        <f>'Calc - Self'!D11</f>
        <v/>
      </c>
      <c r="R28" s="22" t="str">
        <f>'Calc - Self'!E11</f>
        <v/>
      </c>
      <c r="S28" s="45" t="e">
        <f>'Calc - Self'!F11</f>
        <v>#VALUE!</v>
      </c>
      <c r="T28" s="22" t="s">
        <v>45</v>
      </c>
      <c r="U28" s="46" t="e">
        <f>'Calc - Self'!G11</f>
        <v>#VALUE!</v>
      </c>
    </row>
    <row r="29" spans="1:21" ht="15.75" customHeight="1">
      <c r="A29" s="2" t="s">
        <v>14</v>
      </c>
      <c r="B29" s="1">
        <f t="shared" si="1"/>
        <v>21</v>
      </c>
      <c r="C29" s="54"/>
      <c r="D29" t="s">
        <v>14</v>
      </c>
      <c r="E29" s="1">
        <f t="shared" si="0"/>
        <v>51</v>
      </c>
      <c r="F29" s="224"/>
      <c r="H29" s="30">
        <v>28</v>
      </c>
      <c r="I29" s="22">
        <f>IF(C36="?",1,C36)</f>
        <v>0</v>
      </c>
      <c r="J29" s="19">
        <v>41</v>
      </c>
      <c r="K29" s="22">
        <f>IF(F19="?",1,F19)</f>
        <v>0</v>
      </c>
      <c r="L29" s="36">
        <f t="shared" si="3"/>
        <v>0</v>
      </c>
      <c r="N29" s="235" t="s">
        <v>28</v>
      </c>
      <c r="O29" s="236"/>
      <c r="P29" s="41">
        <f t="shared" si="2"/>
        <v>0</v>
      </c>
      <c r="Q29" s="41" t="str">
        <f>'Calc - Self'!D12</f>
        <v/>
      </c>
      <c r="R29" s="41" t="str">
        <f>'Calc - Self'!E12</f>
        <v/>
      </c>
      <c r="S29" s="47" t="e">
        <f>'Calc - Self'!F12</f>
        <v>#VALUE!</v>
      </c>
      <c r="T29" s="41" t="s">
        <v>45</v>
      </c>
      <c r="U29" s="48" t="e">
        <f>'Calc - Self'!G12</f>
        <v>#VALUE!</v>
      </c>
    </row>
    <row r="30" spans="1:21">
      <c r="A30" s="2" t="s">
        <v>14</v>
      </c>
      <c r="B30" s="1">
        <f t="shared" si="1"/>
        <v>22</v>
      </c>
      <c r="C30" s="54"/>
      <c r="D30" t="s">
        <v>14</v>
      </c>
      <c r="E30" s="1">
        <f t="shared" si="0"/>
        <v>52</v>
      </c>
      <c r="F30" s="224"/>
      <c r="H30" s="30">
        <v>33</v>
      </c>
      <c r="I30" s="22">
        <f>IF(F11="?",1,F11)</f>
        <v>0</v>
      </c>
      <c r="J30" s="19">
        <v>42</v>
      </c>
      <c r="K30" s="22">
        <f>IF(F20="?",1,F20)</f>
        <v>0</v>
      </c>
      <c r="L30" s="36">
        <f t="shared" si="3"/>
        <v>0</v>
      </c>
      <c r="N30" s="235" t="s">
        <v>52</v>
      </c>
      <c r="O30" s="236"/>
      <c r="P30" s="22">
        <f t="shared" si="2"/>
        <v>0</v>
      </c>
      <c r="Q30" s="22" t="str">
        <f>'Calc - Self'!D13</f>
        <v/>
      </c>
      <c r="R30" s="22" t="str">
        <f>'Calc - Self'!E13</f>
        <v/>
      </c>
      <c r="S30" s="45" t="e">
        <f>'Calc - Self'!F13</f>
        <v>#VALUE!</v>
      </c>
      <c r="T30" s="22" t="s">
        <v>45</v>
      </c>
      <c r="U30" s="46" t="e">
        <f>'Calc - Self'!G13</f>
        <v>#VALUE!</v>
      </c>
    </row>
    <row r="31" spans="1:21">
      <c r="A31" s="2" t="s">
        <v>14</v>
      </c>
      <c r="B31" s="1">
        <f t="shared" si="1"/>
        <v>23</v>
      </c>
      <c r="C31" s="54"/>
      <c r="D31" t="s">
        <v>14</v>
      </c>
      <c r="E31" s="1">
        <f t="shared" si="0"/>
        <v>53</v>
      </c>
      <c r="F31" s="224"/>
      <c r="H31" s="30">
        <v>44</v>
      </c>
      <c r="I31" s="22">
        <f>IF(F22="?",1,F22)</f>
        <v>0</v>
      </c>
      <c r="J31" s="19">
        <v>55</v>
      </c>
      <c r="K31" s="22">
        <f>IF(F33="?",1,F33)</f>
        <v>0</v>
      </c>
      <c r="L31" s="36">
        <f t="shared" si="3"/>
        <v>0</v>
      </c>
      <c r="N31" s="235" t="s">
        <v>31</v>
      </c>
      <c r="O31" s="236"/>
      <c r="P31" s="22">
        <f t="shared" si="2"/>
        <v>0</v>
      </c>
      <c r="Q31" s="22" t="str">
        <f>'Calc - Self'!D14</f>
        <v/>
      </c>
      <c r="R31" s="22" t="str">
        <f>'Calc - Self'!E14</f>
        <v/>
      </c>
      <c r="S31" s="45" t="e">
        <f>'Calc - Self'!F14</f>
        <v>#VALUE!</v>
      </c>
      <c r="T31" s="22" t="s">
        <v>45</v>
      </c>
      <c r="U31" s="46" t="e">
        <f>'Calc - Self'!G14</f>
        <v>#VALUE!</v>
      </c>
    </row>
    <row r="32" spans="1:21" ht="15.75" thickBot="1">
      <c r="A32" s="2" t="s">
        <v>14</v>
      </c>
      <c r="B32" s="1">
        <f t="shared" si="1"/>
        <v>24</v>
      </c>
      <c r="C32" s="54"/>
      <c r="D32" t="s">
        <v>14</v>
      </c>
      <c r="E32" s="1">
        <f t="shared" si="0"/>
        <v>54</v>
      </c>
      <c r="F32" s="224"/>
      <c r="H32" s="31">
        <v>45</v>
      </c>
      <c r="I32" s="26">
        <f>IF(F23="?",1,F23)</f>
        <v>0</v>
      </c>
      <c r="J32" s="32">
        <v>53</v>
      </c>
      <c r="K32" s="26">
        <f>IF(F31="?",1,F31)</f>
        <v>0</v>
      </c>
      <c r="L32" s="27">
        <f t="shared" si="3"/>
        <v>0</v>
      </c>
      <c r="N32" s="235" t="s">
        <v>32</v>
      </c>
      <c r="O32" s="236"/>
      <c r="P32" s="22">
        <f t="shared" si="2"/>
        <v>0</v>
      </c>
      <c r="Q32" s="22" t="str">
        <f>'Calc - Self'!D15</f>
        <v/>
      </c>
      <c r="R32" s="22" t="str">
        <f>'Calc - Self'!E15</f>
        <v/>
      </c>
      <c r="S32" s="45" t="e">
        <f>'Calc - Self'!F15</f>
        <v>#VALUE!</v>
      </c>
      <c r="T32" s="22" t="s">
        <v>45</v>
      </c>
      <c r="U32" s="46" t="e">
        <f>'Calc - Self'!G15</f>
        <v>#VALUE!</v>
      </c>
    </row>
    <row r="33" spans="1:21" ht="15.75" thickTop="1">
      <c r="A33" s="2" t="s">
        <v>14</v>
      </c>
      <c r="B33" s="1">
        <f t="shared" si="1"/>
        <v>25</v>
      </c>
      <c r="C33" s="54"/>
      <c r="D33" t="s">
        <v>14</v>
      </c>
      <c r="E33" s="1">
        <f t="shared" si="0"/>
        <v>55</v>
      </c>
      <c r="F33" s="224"/>
      <c r="I33" s="1"/>
      <c r="L33" s="1"/>
      <c r="N33" s="235" t="s">
        <v>36</v>
      </c>
      <c r="O33" s="236"/>
      <c r="P33" s="41">
        <f t="shared" si="2"/>
        <v>0</v>
      </c>
      <c r="Q33" s="41" t="str">
        <f>'Calc - Self'!D16</f>
        <v/>
      </c>
      <c r="R33" s="41" t="str">
        <f>'Calc - Self'!E16</f>
        <v/>
      </c>
      <c r="S33" s="47" t="e">
        <f>'Calc - Self'!F16</f>
        <v>#VALUE!</v>
      </c>
      <c r="T33" s="41" t="s">
        <v>45</v>
      </c>
      <c r="U33" s="48" t="e">
        <f>'Calc - Self'!G16</f>
        <v>#VALUE!</v>
      </c>
    </row>
    <row r="34" spans="1:21" ht="15.75" thickBot="1">
      <c r="A34" s="2" t="s">
        <v>14</v>
      </c>
      <c r="B34" s="1">
        <v>26</v>
      </c>
      <c r="C34" s="54"/>
      <c r="F34" s="14"/>
      <c r="I34" s="1"/>
      <c r="L34" s="1"/>
      <c r="N34" s="237" t="s">
        <v>37</v>
      </c>
      <c r="O34" s="238"/>
      <c r="P34" s="42">
        <f t="shared" si="2"/>
        <v>0</v>
      </c>
      <c r="Q34" s="42" t="str">
        <f>'Calc - Self'!D17</f>
        <v/>
      </c>
      <c r="R34" s="42" t="str">
        <f>'Calc - Self'!E17</f>
        <v/>
      </c>
      <c r="S34" s="49" t="e">
        <f>'Calc - Self'!F17</f>
        <v>#VALUE!</v>
      </c>
      <c r="T34" s="42" t="s">
        <v>45</v>
      </c>
      <c r="U34" s="50" t="e">
        <f>'Calc - Self'!G17</f>
        <v>#VALUE!</v>
      </c>
    </row>
    <row r="35" spans="1:21" ht="15.75" thickTop="1">
      <c r="A35" s="2" t="s">
        <v>14</v>
      </c>
      <c r="B35" s="1">
        <v>27</v>
      </c>
      <c r="C35" s="54"/>
      <c r="F35" s="14"/>
      <c r="I35" s="1"/>
      <c r="L35" s="1"/>
    </row>
    <row r="36" spans="1:21">
      <c r="A36" s="2" t="s">
        <v>14</v>
      </c>
      <c r="B36" s="1">
        <v>28</v>
      </c>
      <c r="C36" s="54"/>
      <c r="F36" s="14"/>
      <c r="I36" s="1"/>
      <c r="L36" s="1"/>
    </row>
    <row r="37" spans="1:21">
      <c r="A37" s="2" t="s">
        <v>14</v>
      </c>
      <c r="B37" s="1">
        <f t="shared" si="1"/>
        <v>29</v>
      </c>
      <c r="C37" s="54"/>
      <c r="F37" s="14"/>
      <c r="I37" s="1"/>
      <c r="L37" s="1"/>
    </row>
    <row r="38" spans="1:21" ht="15.75" thickBot="1">
      <c r="A38" s="6" t="s">
        <v>14</v>
      </c>
      <c r="B38" s="7">
        <f t="shared" si="1"/>
        <v>30</v>
      </c>
      <c r="C38" s="223"/>
      <c r="D38" s="8"/>
      <c r="E38" s="7"/>
      <c r="F38" s="16"/>
      <c r="I38" s="1"/>
      <c r="L38" s="1"/>
    </row>
    <row r="39" spans="1:21" ht="15.75" thickTop="1">
      <c r="A39" s="5"/>
      <c r="B39" s="4"/>
      <c r="C39" s="5"/>
      <c r="D39" s="5"/>
      <c r="E39" s="4"/>
      <c r="F39" s="5"/>
    </row>
  </sheetData>
  <sheetProtection algorithmName="SHA-512" hashValue="lMl6N38asqLpkAx5dJ0g/MXyHpvhh/KmdGeZWvpK7r/IHWEnvMCM0bJKn1WKBRmhrPp3zZ+rmBaxwtp5ksP9Jw==" saltValue="cQ2sLk732R4RkhsjA+90Jw==" spinCount="100000" sheet="1" objects="1" scenarios="1"/>
  <mergeCells count="53">
    <mergeCell ref="N9:O9"/>
    <mergeCell ref="H8:L8"/>
    <mergeCell ref="I9:J9"/>
    <mergeCell ref="K9:L9"/>
    <mergeCell ref="N8:Q8"/>
    <mergeCell ref="N10:O10"/>
    <mergeCell ref="N11:O11"/>
    <mergeCell ref="H16:L16"/>
    <mergeCell ref="N12:O12"/>
    <mergeCell ref="H12:L12"/>
    <mergeCell ref="I13:J13"/>
    <mergeCell ref="K13:L13"/>
    <mergeCell ref="K10:L10"/>
    <mergeCell ref="I10:J10"/>
    <mergeCell ref="N17:O17"/>
    <mergeCell ref="I17:J17"/>
    <mergeCell ref="K17:L17"/>
    <mergeCell ref="N13:O13"/>
    <mergeCell ref="I18:J18"/>
    <mergeCell ref="K18:L18"/>
    <mergeCell ref="N14:O14"/>
    <mergeCell ref="N15:O15"/>
    <mergeCell ref="I14:J14"/>
    <mergeCell ref="K14:L14"/>
    <mergeCell ref="N16:O16"/>
    <mergeCell ref="I22:J22"/>
    <mergeCell ref="K22:L22"/>
    <mergeCell ref="N18:O18"/>
    <mergeCell ref="N19:O19"/>
    <mergeCell ref="N20:O20"/>
    <mergeCell ref="H20:L20"/>
    <mergeCell ref="I21:J21"/>
    <mergeCell ref="K21:L21"/>
    <mergeCell ref="N22:U22"/>
    <mergeCell ref="K5:L5"/>
    <mergeCell ref="A1:Q1"/>
    <mergeCell ref="A3:G3"/>
    <mergeCell ref="K3:L3"/>
    <mergeCell ref="A4:G4"/>
    <mergeCell ref="K4:L4"/>
    <mergeCell ref="N23:O23"/>
    <mergeCell ref="S23:U23"/>
    <mergeCell ref="N24:O24"/>
    <mergeCell ref="N25:O25"/>
    <mergeCell ref="N26:O26"/>
    <mergeCell ref="N32:O32"/>
    <mergeCell ref="N33:O33"/>
    <mergeCell ref="N34:O34"/>
    <mergeCell ref="N27:O27"/>
    <mergeCell ref="N28:O28"/>
    <mergeCell ref="N29:O29"/>
    <mergeCell ref="N30:O30"/>
    <mergeCell ref="N31:O31"/>
  </mergeCells>
  <conditionalFormatting sqref="H10:I10 K10">
    <cfRule type="expression" dxfId="16" priority="7">
      <formula>$H$10&gt;10</formula>
    </cfRule>
  </conditionalFormatting>
  <conditionalFormatting sqref="H14:I14 K14">
    <cfRule type="expression" dxfId="15" priority="20">
      <formula>$H$14=7</formula>
    </cfRule>
    <cfRule type="expression" dxfId="14" priority="21">
      <formula>$H$14&gt;7</formula>
    </cfRule>
  </conditionalFormatting>
  <conditionalFormatting sqref="H18:I18">
    <cfRule type="expression" dxfId="13" priority="6">
      <formula>$H$18&gt;0</formula>
    </cfRule>
  </conditionalFormatting>
  <conditionalFormatting sqref="H22:L22">
    <cfRule type="expression" dxfId="12" priority="17">
      <formula>$H$22&gt;10</formula>
    </cfRule>
    <cfRule type="expression" dxfId="11" priority="18">
      <formula>$H$22&gt;6</formula>
    </cfRule>
  </conditionalFormatting>
  <conditionalFormatting sqref="K18">
    <cfRule type="expression" dxfId="10" priority="19">
      <formula>$H$18&gt;0</formula>
    </cfRule>
  </conditionalFormatting>
  <conditionalFormatting sqref="P10:P20">
    <cfRule type="containsText" dxfId="9" priority="5" operator="containsText" text="INVALID">
      <formula>NOT(ISERROR(SEARCH("INVALID",P10)))</formula>
    </cfRule>
  </conditionalFormatting>
  <conditionalFormatting sqref="P24:P34">
    <cfRule type="cellIs" dxfId="8" priority="1" operator="equal">
      <formula>"INVALID"</formula>
    </cfRule>
  </conditionalFormatting>
  <conditionalFormatting sqref="Q10:Q11 Q13:Q14">
    <cfRule type="cellIs" dxfId="7" priority="16" operator="greaterThan">
      <formula>1</formula>
    </cfRule>
  </conditionalFormatting>
  <conditionalFormatting sqref="Q12">
    <cfRule type="expression" dxfId="6" priority="15">
      <formula>$P$12="INVALID"</formula>
    </cfRule>
  </conditionalFormatting>
  <conditionalFormatting sqref="Q15">
    <cfRule type="expression" dxfId="5" priority="4">
      <formula>$P$15="INVALID"</formula>
    </cfRule>
  </conditionalFormatting>
  <conditionalFormatting sqref="Q16:Q18">
    <cfRule type="cellIs" dxfId="4" priority="10" operator="greaterThan">
      <formula>1</formula>
    </cfRule>
  </conditionalFormatting>
  <conditionalFormatting sqref="Q19">
    <cfRule type="expression" dxfId="3" priority="3">
      <formula>$P$19="INVALID"</formula>
    </cfRule>
    <cfRule type="expression" dxfId="2" priority="9">
      <formula>$P$21="INVALID"</formula>
    </cfRule>
  </conditionalFormatting>
  <conditionalFormatting sqref="Q20">
    <cfRule type="expression" dxfId="1" priority="2">
      <formula>$P$20="INVALID"</formula>
    </cfRule>
    <cfRule type="expression" dxfId="0" priority="8">
      <formula>$P$22="INVALID"</formula>
    </cfRule>
  </conditionalFormatting>
  <dataValidations count="6">
    <dataValidation type="list" allowBlank="1" showInputMessage="1" showErrorMessage="1" error="Enter 1 (Never), 2 (Sometimes), 3 (Often), or ? (Missing)" sqref="C9:C38" xr:uid="{00000000-0002-0000-0200-000000000000}">
      <formula1>"1,2,3,?"</formula1>
    </dataValidation>
    <dataValidation type="list" allowBlank="1" showInputMessage="1" showErrorMessage="1" error="Enter 1 (Never), 2 (Sometimes), 3 (Often), or ? (Missing)_x000a_" sqref="F9:F33" xr:uid="{00000000-0002-0000-0200-000001000000}">
      <formula1>"1,2,3,?"</formula1>
    </dataValidation>
    <dataValidation type="whole" allowBlank="1" showInputMessage="1" showErrorMessage="1" error="Move to next column for Item 33 on the next page." sqref="C39" xr:uid="{00000000-0002-0000-0200-000002000000}">
      <formula1>0</formula1>
      <formula2>0</formula2>
    </dataValidation>
    <dataValidation allowBlank="1" showInputMessage="1" showErrorMessage="1" error="No entries beyond Item 55." sqref="F34" xr:uid="{00000000-0002-0000-0200-000003000000}"/>
    <dataValidation type="list" allowBlank="1" showInputMessage="1" showErrorMessage="1" sqref="K5:L5" xr:uid="{00000000-0002-0000-0200-000004000000}">
      <formula1>"Select:,Boys,Girls"</formula1>
    </dataValidation>
    <dataValidation type="list" allowBlank="1" showInputMessage="1" showErrorMessage="1" sqref="K4:L4" xr:uid="{00000000-0002-0000-0200-000005000000}">
      <formula1>"Select:,11-13,14-18"</formula1>
    </dataValidation>
  </dataValidations>
  <pageMargins left="0.7" right="0.7" top="0.75" bottom="0.75" header="0.3" footer="0.3"/>
  <pageSetup scale="8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G293"/>
  <sheetViews>
    <sheetView zoomScaleNormal="100" workbookViewId="0">
      <selection activeCell="J10" sqref="J10"/>
    </sheetView>
  </sheetViews>
  <sheetFormatPr defaultRowHeight="15"/>
  <cols>
    <col min="1" max="1" width="4" style="55" customWidth="1"/>
    <col min="2" max="2" width="11.42578125" style="55" customWidth="1"/>
    <col min="3" max="16384" width="9.140625" style="55"/>
  </cols>
  <sheetData>
    <row r="3" spans="1:59" ht="15.75" thickBot="1">
      <c r="B3" s="58" t="s">
        <v>3</v>
      </c>
      <c r="C3" s="59" t="str">
        <f>IF(Parent!K4="Select:","",Parent!K4)</f>
        <v>5-7</v>
      </c>
    </row>
    <row r="4" spans="1:59" ht="15.75" thickTop="1">
      <c r="B4" s="60" t="s">
        <v>53</v>
      </c>
      <c r="C4" s="59" t="str">
        <f>IF(Parent!K5="Select:","",Parent!K5)</f>
        <v>Boys</v>
      </c>
      <c r="D4" s="282" t="s">
        <v>54</v>
      </c>
      <c r="E4" s="282"/>
      <c r="F4" s="61">
        <f>IF(C4="Girls",4,0)</f>
        <v>0</v>
      </c>
      <c r="I4" s="62"/>
      <c r="J4" s="278" t="s">
        <v>55</v>
      </c>
      <c r="K4" s="273"/>
      <c r="L4" s="273"/>
      <c r="M4" s="273"/>
      <c r="N4" s="273"/>
      <c r="O4" s="273"/>
      <c r="P4" s="273"/>
      <c r="Q4" s="274"/>
      <c r="R4" s="278" t="s">
        <v>56</v>
      </c>
      <c r="S4" s="273"/>
      <c r="T4" s="273"/>
      <c r="U4" s="273"/>
      <c r="V4" s="273"/>
      <c r="W4" s="273"/>
      <c r="X4" s="273"/>
      <c r="Y4" s="274"/>
      <c r="Z4" s="278" t="s">
        <v>57</v>
      </c>
      <c r="AA4" s="273"/>
      <c r="AB4" s="273"/>
      <c r="AC4" s="273"/>
      <c r="AD4" s="273"/>
      <c r="AE4" s="273"/>
      <c r="AF4" s="273"/>
      <c r="AG4" s="274"/>
      <c r="AI4" s="63"/>
      <c r="AJ4" s="267" t="s">
        <v>58</v>
      </c>
      <c r="AK4" s="267"/>
      <c r="AL4" s="267"/>
      <c r="AM4" s="267"/>
      <c r="AN4" s="267"/>
      <c r="AO4" s="267"/>
      <c r="AP4" s="267"/>
      <c r="AQ4" s="267"/>
      <c r="AR4" s="271" t="s">
        <v>59</v>
      </c>
      <c r="AS4" s="267"/>
      <c r="AT4" s="267"/>
      <c r="AU4" s="267"/>
      <c r="AV4" s="267"/>
      <c r="AW4" s="267"/>
      <c r="AX4" s="267"/>
      <c r="AY4" s="268"/>
      <c r="AZ4" s="267" t="s">
        <v>60</v>
      </c>
      <c r="BA4" s="267"/>
      <c r="BB4" s="267"/>
      <c r="BC4" s="267"/>
      <c r="BD4" s="267"/>
      <c r="BE4" s="267"/>
      <c r="BF4" s="267"/>
      <c r="BG4" s="268"/>
    </row>
    <row r="5" spans="1:59" ht="15.75" thickBot="1">
      <c r="I5" s="64"/>
      <c r="J5" s="279" t="s">
        <v>8</v>
      </c>
      <c r="K5" s="269"/>
      <c r="L5" s="269"/>
      <c r="M5" s="269"/>
      <c r="N5" s="269" t="s">
        <v>61</v>
      </c>
      <c r="O5" s="269"/>
      <c r="P5" s="269"/>
      <c r="Q5" s="275"/>
      <c r="R5" s="279" t="s">
        <v>8</v>
      </c>
      <c r="S5" s="269"/>
      <c r="T5" s="269"/>
      <c r="U5" s="269"/>
      <c r="V5" s="269" t="s">
        <v>61</v>
      </c>
      <c r="W5" s="269"/>
      <c r="X5" s="269"/>
      <c r="Y5" s="275"/>
      <c r="Z5" s="279" t="s">
        <v>8</v>
      </c>
      <c r="AA5" s="269"/>
      <c r="AB5" s="269"/>
      <c r="AC5" s="269"/>
      <c r="AD5" s="269" t="s">
        <v>61</v>
      </c>
      <c r="AE5" s="269"/>
      <c r="AF5" s="269"/>
      <c r="AG5" s="275"/>
      <c r="AI5" s="65"/>
      <c r="AJ5" s="269" t="s">
        <v>8</v>
      </c>
      <c r="AK5" s="269"/>
      <c r="AL5" s="269"/>
      <c r="AM5" s="269"/>
      <c r="AN5" s="269" t="s">
        <v>61</v>
      </c>
      <c r="AO5" s="269"/>
      <c r="AP5" s="269"/>
      <c r="AQ5" s="269"/>
      <c r="AR5" s="272" t="s">
        <v>8</v>
      </c>
      <c r="AS5" s="269"/>
      <c r="AT5" s="269"/>
      <c r="AU5" s="269"/>
      <c r="AV5" s="269" t="s">
        <v>61</v>
      </c>
      <c r="AW5" s="269"/>
      <c r="AX5" s="269"/>
      <c r="AY5" s="270"/>
      <c r="AZ5" s="269" t="s">
        <v>8</v>
      </c>
      <c r="BA5" s="269"/>
      <c r="BB5" s="269"/>
      <c r="BC5" s="269"/>
      <c r="BD5" s="269" t="s">
        <v>61</v>
      </c>
      <c r="BE5" s="269"/>
      <c r="BF5" s="269"/>
      <c r="BG5" s="270"/>
    </row>
    <row r="6" spans="1:59" ht="15.75" thickTop="1">
      <c r="A6" s="60"/>
      <c r="B6" s="66" t="s">
        <v>62</v>
      </c>
      <c r="C6" s="67" t="s">
        <v>63</v>
      </c>
      <c r="D6" s="67" t="s">
        <v>64</v>
      </c>
      <c r="E6" s="67" t="s">
        <v>65</v>
      </c>
      <c r="F6" s="280" t="s">
        <v>44</v>
      </c>
      <c r="G6" s="281"/>
      <c r="H6" s="58"/>
      <c r="I6" s="68" t="s">
        <v>66</v>
      </c>
      <c r="J6" s="69" t="s">
        <v>4</v>
      </c>
      <c r="K6" s="70" t="s">
        <v>67</v>
      </c>
      <c r="L6" s="70" t="s">
        <v>68</v>
      </c>
      <c r="M6" s="70" t="s">
        <v>51</v>
      </c>
      <c r="N6" s="70" t="s">
        <v>4</v>
      </c>
      <c r="O6" s="70" t="s">
        <v>67</v>
      </c>
      <c r="P6" s="70" t="s">
        <v>68</v>
      </c>
      <c r="Q6" s="71" t="s">
        <v>51</v>
      </c>
      <c r="R6" s="69" t="s">
        <v>4</v>
      </c>
      <c r="S6" s="70" t="s">
        <v>67</v>
      </c>
      <c r="T6" s="70" t="s">
        <v>68</v>
      </c>
      <c r="U6" s="70" t="s">
        <v>51</v>
      </c>
      <c r="V6" s="70" t="s">
        <v>4</v>
      </c>
      <c r="W6" s="70" t="s">
        <v>67</v>
      </c>
      <c r="X6" s="70" t="s">
        <v>68</v>
      </c>
      <c r="Y6" s="71" t="s">
        <v>51</v>
      </c>
      <c r="Z6" s="69" t="s">
        <v>4</v>
      </c>
      <c r="AA6" s="70" t="s">
        <v>67</v>
      </c>
      <c r="AB6" s="70" t="s">
        <v>68</v>
      </c>
      <c r="AC6" s="70" t="s">
        <v>51</v>
      </c>
      <c r="AD6" s="70" t="s">
        <v>4</v>
      </c>
      <c r="AE6" s="70" t="s">
        <v>67</v>
      </c>
      <c r="AF6" s="70" t="s">
        <v>68</v>
      </c>
      <c r="AG6" s="71" t="s">
        <v>51</v>
      </c>
      <c r="AI6" s="72" t="s">
        <v>66</v>
      </c>
      <c r="AJ6" s="70" t="s">
        <v>4</v>
      </c>
      <c r="AK6" s="70" t="s">
        <v>67</v>
      </c>
      <c r="AL6" s="70" t="s">
        <v>68</v>
      </c>
      <c r="AM6" s="70" t="s">
        <v>51</v>
      </c>
      <c r="AN6" s="70" t="s">
        <v>4</v>
      </c>
      <c r="AO6" s="70" t="s">
        <v>67</v>
      </c>
      <c r="AP6" s="70" t="s">
        <v>68</v>
      </c>
      <c r="AQ6" s="70" t="s">
        <v>51</v>
      </c>
      <c r="AR6" s="73" t="s">
        <v>4</v>
      </c>
      <c r="AS6" s="70" t="s">
        <v>67</v>
      </c>
      <c r="AT6" s="70" t="s">
        <v>68</v>
      </c>
      <c r="AU6" s="70" t="s">
        <v>51</v>
      </c>
      <c r="AV6" s="70" t="s">
        <v>4</v>
      </c>
      <c r="AW6" s="70" t="s">
        <v>67</v>
      </c>
      <c r="AX6" s="70" t="s">
        <v>68</v>
      </c>
      <c r="AY6" s="74" t="s">
        <v>51</v>
      </c>
      <c r="AZ6" s="70" t="s">
        <v>4</v>
      </c>
      <c r="BA6" s="70" t="s">
        <v>67</v>
      </c>
      <c r="BB6" s="70" t="s">
        <v>68</v>
      </c>
      <c r="BC6" s="70" t="s">
        <v>51</v>
      </c>
      <c r="BD6" s="70" t="s">
        <v>4</v>
      </c>
      <c r="BE6" s="70" t="s">
        <v>67</v>
      </c>
      <c r="BF6" s="70" t="s">
        <v>68</v>
      </c>
      <c r="BG6" s="74" t="s">
        <v>51</v>
      </c>
    </row>
    <row r="7" spans="1:59">
      <c r="B7" s="75" t="s">
        <v>20</v>
      </c>
      <c r="C7" s="59">
        <f>Parent!P26</f>
        <v>0</v>
      </c>
      <c r="D7" s="59" t="str">
        <f>IFERROR(VLOOKUP(C7,I6:AG27,C25,FALSE),"")</f>
        <v/>
      </c>
      <c r="E7" s="59" t="str">
        <f>IFERROR(VLOOKUP(C7,AI6:BG27,C25,FALSE),"")</f>
        <v/>
      </c>
      <c r="F7" s="77" t="e">
        <f>D7-(VLOOKUP("CI",I28:AG28,C25,FALSE))</f>
        <v>#VALUE!</v>
      </c>
      <c r="G7" s="78" t="e">
        <f>D7+(VLOOKUP("CI",I28:AG28,C25,FALSE))</f>
        <v>#VALUE!</v>
      </c>
      <c r="H7" s="79"/>
      <c r="I7" s="80">
        <v>24</v>
      </c>
      <c r="J7" s="80">
        <v>79</v>
      </c>
      <c r="K7" s="61">
        <v>79</v>
      </c>
      <c r="L7" s="61">
        <v>87</v>
      </c>
      <c r="M7" s="61">
        <v>88</v>
      </c>
      <c r="N7" s="61">
        <v>87</v>
      </c>
      <c r="O7" s="61" t="s">
        <v>69</v>
      </c>
      <c r="P7" s="61" t="s">
        <v>69</v>
      </c>
      <c r="Q7" s="83" t="s">
        <v>69</v>
      </c>
      <c r="R7" s="81"/>
      <c r="S7" s="82"/>
      <c r="T7" s="82"/>
      <c r="U7" s="82"/>
      <c r="V7" s="82"/>
      <c r="W7" s="82"/>
      <c r="X7" s="82"/>
      <c r="Y7" s="84"/>
      <c r="Z7" s="80">
        <v>89</v>
      </c>
      <c r="AA7" s="61" t="s">
        <v>69</v>
      </c>
      <c r="AB7" s="61" t="s">
        <v>69</v>
      </c>
      <c r="AC7" s="61" t="s">
        <v>69</v>
      </c>
      <c r="AD7" s="61" t="s">
        <v>69</v>
      </c>
      <c r="AE7" s="61" t="s">
        <v>69</v>
      </c>
      <c r="AF7" s="61" t="s">
        <v>69</v>
      </c>
      <c r="AG7" s="83" t="s">
        <v>69</v>
      </c>
      <c r="AI7" s="85">
        <v>24</v>
      </c>
      <c r="AJ7" s="61" t="s">
        <v>70</v>
      </c>
      <c r="AK7" s="61" t="s">
        <v>70</v>
      </c>
      <c r="AL7" s="61" t="s">
        <v>70</v>
      </c>
      <c r="AM7" s="61" t="s">
        <v>70</v>
      </c>
      <c r="AN7" s="61" t="s">
        <v>70</v>
      </c>
      <c r="AO7" s="61" t="s">
        <v>70</v>
      </c>
      <c r="AP7" s="61" t="s">
        <v>70</v>
      </c>
      <c r="AQ7" s="61" t="s">
        <v>70</v>
      </c>
      <c r="AR7" s="87"/>
      <c r="AS7" s="86"/>
      <c r="AT7" s="86"/>
      <c r="AU7" s="86"/>
      <c r="AV7" s="86"/>
      <c r="AW7" s="86"/>
      <c r="AX7" s="86"/>
      <c r="AY7" s="88"/>
      <c r="AZ7" s="61" t="s">
        <v>70</v>
      </c>
      <c r="BA7" s="61" t="s">
        <v>70</v>
      </c>
      <c r="BB7" s="61" t="s">
        <v>70</v>
      </c>
      <c r="BC7" s="61" t="s">
        <v>70</v>
      </c>
      <c r="BD7" s="61" t="s">
        <v>70</v>
      </c>
      <c r="BE7" s="61" t="s">
        <v>70</v>
      </c>
      <c r="BF7" s="61" t="s">
        <v>70</v>
      </c>
      <c r="BG7" s="89" t="s">
        <v>70</v>
      </c>
    </row>
    <row r="8" spans="1:59">
      <c r="A8" s="56"/>
      <c r="B8" s="75" t="s">
        <v>71</v>
      </c>
      <c r="C8" s="59">
        <f>Parent!P27</f>
        <v>0</v>
      </c>
      <c r="D8" s="59" t="str">
        <f>IFERROR(VLOOKUP(C8,I6:AG27,C25+8,FALSE),"")</f>
        <v/>
      </c>
      <c r="E8" s="59" t="str">
        <f>IFERROR(VLOOKUP(C8,AI6:BG27,C25+8,FALSE),"")</f>
        <v/>
      </c>
      <c r="F8" s="77" t="e">
        <f>D8-(VLOOKUP("CI",I28:AG28,C25+8,FALSE))</f>
        <v>#VALUE!</v>
      </c>
      <c r="G8" s="78" t="e">
        <f>D8+(VLOOKUP("CI",I28:AG28,C25+8,FALSE))</f>
        <v>#VALUE!</v>
      </c>
      <c r="H8" s="79"/>
      <c r="I8" s="80">
        <v>23</v>
      </c>
      <c r="J8" s="80">
        <v>77</v>
      </c>
      <c r="K8" s="61">
        <v>77</v>
      </c>
      <c r="L8" s="61">
        <v>84</v>
      </c>
      <c r="M8" s="61">
        <v>85</v>
      </c>
      <c r="N8" s="61">
        <v>84</v>
      </c>
      <c r="O8" s="61">
        <v>89</v>
      </c>
      <c r="P8" s="61">
        <v>89</v>
      </c>
      <c r="Q8" s="83">
        <v>89</v>
      </c>
      <c r="R8" s="81"/>
      <c r="S8" s="82"/>
      <c r="T8" s="82"/>
      <c r="U8" s="82"/>
      <c r="V8" s="82"/>
      <c r="W8" s="82"/>
      <c r="X8" s="82"/>
      <c r="Y8" s="84"/>
      <c r="Z8" s="80">
        <v>86</v>
      </c>
      <c r="AA8" s="61">
        <v>88</v>
      </c>
      <c r="AB8" s="61">
        <v>88</v>
      </c>
      <c r="AC8" s="61">
        <v>88</v>
      </c>
      <c r="AD8" s="61">
        <v>90</v>
      </c>
      <c r="AE8" s="61">
        <v>90</v>
      </c>
      <c r="AF8" s="61" t="s">
        <v>69</v>
      </c>
      <c r="AG8" s="83" t="s">
        <v>69</v>
      </c>
      <c r="AI8" s="85">
        <v>23</v>
      </c>
      <c r="AJ8" s="61">
        <v>99</v>
      </c>
      <c r="AK8" s="61" t="s">
        <v>70</v>
      </c>
      <c r="AL8" s="61" t="s">
        <v>70</v>
      </c>
      <c r="AM8" s="61" t="s">
        <v>70</v>
      </c>
      <c r="AN8" s="61">
        <v>99</v>
      </c>
      <c r="AO8" s="61" t="s">
        <v>70</v>
      </c>
      <c r="AP8" s="61" t="s">
        <v>70</v>
      </c>
      <c r="AQ8" s="61" t="s">
        <v>70</v>
      </c>
      <c r="AR8" s="87"/>
      <c r="AS8" s="86"/>
      <c r="AT8" s="86"/>
      <c r="AU8" s="86"/>
      <c r="AV8" s="86"/>
      <c r="AW8" s="86"/>
      <c r="AX8" s="86"/>
      <c r="AY8" s="88"/>
      <c r="AZ8" s="61" t="s">
        <v>70</v>
      </c>
      <c r="BA8" s="61" t="s">
        <v>70</v>
      </c>
      <c r="BB8" s="61" t="s">
        <v>70</v>
      </c>
      <c r="BC8" s="61" t="s">
        <v>70</v>
      </c>
      <c r="BD8" s="61" t="s">
        <v>70</v>
      </c>
      <c r="BE8" s="61" t="s">
        <v>70</v>
      </c>
      <c r="BF8" s="61" t="s">
        <v>70</v>
      </c>
      <c r="BG8" s="89" t="s">
        <v>70</v>
      </c>
    </row>
    <row r="9" spans="1:59">
      <c r="A9" s="90"/>
      <c r="B9" s="91" t="s">
        <v>23</v>
      </c>
      <c r="C9" s="59">
        <f>Parent!P28</f>
        <v>0</v>
      </c>
      <c r="D9" s="59" t="str">
        <f>IFERROR(VLOOKUP(C9,I81:AG166,C25,FALSE),"")</f>
        <v/>
      </c>
      <c r="E9" s="59" t="str">
        <f>IFERROR(VLOOKUP(C9,AI81:BG166,C25,FALSE),"")</f>
        <v/>
      </c>
      <c r="F9" s="77" t="e">
        <f>D9-(VLOOKUP("CI",I167:AG167,C25,FALSE))</f>
        <v>#VALUE!</v>
      </c>
      <c r="G9" s="78" t="e">
        <f>D9+(VLOOKUP("CI",I167:AG167,C25,FALSE))</f>
        <v>#VALUE!</v>
      </c>
      <c r="H9" s="79"/>
      <c r="I9" s="80">
        <v>22</v>
      </c>
      <c r="J9" s="80">
        <v>75</v>
      </c>
      <c r="K9" s="61">
        <v>75</v>
      </c>
      <c r="L9" s="61">
        <v>81</v>
      </c>
      <c r="M9" s="61">
        <v>82</v>
      </c>
      <c r="N9" s="61">
        <v>81</v>
      </c>
      <c r="O9" s="61">
        <v>85</v>
      </c>
      <c r="P9" s="61">
        <v>85</v>
      </c>
      <c r="Q9" s="83">
        <v>85</v>
      </c>
      <c r="R9" s="81"/>
      <c r="S9" s="82"/>
      <c r="T9" s="82"/>
      <c r="U9" s="82"/>
      <c r="V9" s="82"/>
      <c r="W9" s="82"/>
      <c r="X9" s="82"/>
      <c r="Y9" s="84"/>
      <c r="Z9" s="80">
        <v>82</v>
      </c>
      <c r="AA9" s="61">
        <v>85</v>
      </c>
      <c r="AB9" s="61">
        <v>85</v>
      </c>
      <c r="AC9" s="61">
        <v>85</v>
      </c>
      <c r="AD9" s="61">
        <v>87</v>
      </c>
      <c r="AE9" s="61">
        <v>87</v>
      </c>
      <c r="AF9" s="61">
        <v>90</v>
      </c>
      <c r="AG9" s="83">
        <v>90</v>
      </c>
      <c r="AI9" s="85">
        <v>22</v>
      </c>
      <c r="AJ9" s="61">
        <v>99</v>
      </c>
      <c r="AK9" s="61">
        <v>99</v>
      </c>
      <c r="AL9" s="61" t="s">
        <v>70</v>
      </c>
      <c r="AM9" s="61">
        <v>99</v>
      </c>
      <c r="AN9" s="61">
        <v>99</v>
      </c>
      <c r="AO9" s="61" t="s">
        <v>70</v>
      </c>
      <c r="AP9" s="61">
        <v>99</v>
      </c>
      <c r="AQ9" s="61">
        <v>99</v>
      </c>
      <c r="AR9" s="87"/>
      <c r="AS9" s="86"/>
      <c r="AT9" s="86"/>
      <c r="AU9" s="86"/>
      <c r="AV9" s="86"/>
      <c r="AW9" s="86"/>
      <c r="AX9" s="86"/>
      <c r="AY9" s="88"/>
      <c r="AZ9" s="61" t="s">
        <v>70</v>
      </c>
      <c r="BA9" s="61" t="s">
        <v>70</v>
      </c>
      <c r="BB9" s="61" t="s">
        <v>70</v>
      </c>
      <c r="BC9" s="61" t="s">
        <v>70</v>
      </c>
      <c r="BD9" s="61" t="s">
        <v>70</v>
      </c>
      <c r="BE9" s="61">
        <v>99</v>
      </c>
      <c r="BF9" s="61" t="s">
        <v>70</v>
      </c>
      <c r="BG9" s="89" t="s">
        <v>70</v>
      </c>
    </row>
    <row r="10" spans="1:59">
      <c r="B10" s="75" t="s">
        <v>26</v>
      </c>
      <c r="C10" s="59">
        <f>Parent!P29</f>
        <v>0</v>
      </c>
      <c r="D10" s="59" t="str">
        <f>IFERROR(VLOOKUP(C10,I6:AG27,C25+16,FALSE),"")</f>
        <v/>
      </c>
      <c r="E10" s="59" t="str">
        <f>IFERROR(VLOOKUP(C10,AI6:BG27,C25+16,FALSE),"")</f>
        <v/>
      </c>
      <c r="F10" s="77" t="e">
        <f>D10-(VLOOKUP("CI",I28:AG28,C25+16,FALSE))</f>
        <v>#VALUE!</v>
      </c>
      <c r="G10" s="78" t="e">
        <f>D10+(VLOOKUP("CI",I28:AG28,C25+16,FALSE))</f>
        <v>#VALUE!</v>
      </c>
      <c r="H10" s="79"/>
      <c r="I10" s="80">
        <v>21</v>
      </c>
      <c r="J10" s="80">
        <v>72</v>
      </c>
      <c r="K10" s="61">
        <v>72</v>
      </c>
      <c r="L10" s="61">
        <v>78</v>
      </c>
      <c r="M10" s="61">
        <v>79</v>
      </c>
      <c r="N10" s="61">
        <v>78</v>
      </c>
      <c r="O10" s="61">
        <v>82</v>
      </c>
      <c r="P10" s="61">
        <v>82</v>
      </c>
      <c r="Q10" s="83">
        <v>82</v>
      </c>
      <c r="R10" s="81"/>
      <c r="S10" s="82"/>
      <c r="T10" s="82"/>
      <c r="U10" s="82"/>
      <c r="V10" s="82"/>
      <c r="W10" s="82"/>
      <c r="X10" s="82"/>
      <c r="Y10" s="84"/>
      <c r="Z10" s="80">
        <v>79</v>
      </c>
      <c r="AA10" s="61">
        <v>82</v>
      </c>
      <c r="AB10" s="61">
        <v>82</v>
      </c>
      <c r="AC10" s="61">
        <v>82</v>
      </c>
      <c r="AD10" s="61">
        <v>84</v>
      </c>
      <c r="AE10" s="61">
        <v>84</v>
      </c>
      <c r="AF10" s="61">
        <v>86</v>
      </c>
      <c r="AG10" s="83">
        <v>86</v>
      </c>
      <c r="AI10" s="85">
        <v>21</v>
      </c>
      <c r="AJ10" s="61">
        <v>99</v>
      </c>
      <c r="AK10" s="61">
        <v>96</v>
      </c>
      <c r="AL10" s="61">
        <v>98</v>
      </c>
      <c r="AM10" s="61">
        <v>99</v>
      </c>
      <c r="AN10" s="61">
        <v>99</v>
      </c>
      <c r="AO10" s="61" t="s">
        <v>70</v>
      </c>
      <c r="AP10" s="61">
        <v>99</v>
      </c>
      <c r="AQ10" s="61">
        <v>98</v>
      </c>
      <c r="AR10" s="87"/>
      <c r="AS10" s="86"/>
      <c r="AT10" s="86"/>
      <c r="AU10" s="86"/>
      <c r="AV10" s="86"/>
      <c r="AW10" s="86"/>
      <c r="AX10" s="86"/>
      <c r="AY10" s="88"/>
      <c r="AZ10" s="61">
        <v>99</v>
      </c>
      <c r="BA10" s="61">
        <v>99</v>
      </c>
      <c r="BB10" s="61" t="s">
        <v>70</v>
      </c>
      <c r="BC10" s="61" t="s">
        <v>70</v>
      </c>
      <c r="BD10" s="61">
        <v>99</v>
      </c>
      <c r="BE10" s="61">
        <v>99</v>
      </c>
      <c r="BF10" s="61" t="s">
        <v>70</v>
      </c>
      <c r="BG10" s="89">
        <v>99</v>
      </c>
    </row>
    <row r="11" spans="1:59">
      <c r="B11" s="75" t="s">
        <v>72</v>
      </c>
      <c r="C11" s="59">
        <f>Parent!P30</f>
        <v>0</v>
      </c>
      <c r="D11" s="59" t="str">
        <f>IFERROR(VLOOKUP(C11,I31:AG52,C25,FALSE),"")</f>
        <v/>
      </c>
      <c r="E11" s="59" t="str">
        <f>IFERROR(VLOOKUP(C11,AI31:BG52,C25,FALSE),"")</f>
        <v/>
      </c>
      <c r="F11" s="77" t="e">
        <f>D11-(VLOOKUP("CI",I53:AG53,C25,FALSE))</f>
        <v>#VALUE!</v>
      </c>
      <c r="G11" s="78" t="e">
        <f>D11+(VLOOKUP("CI",I53:AG53,C25,FALSE))</f>
        <v>#VALUE!</v>
      </c>
      <c r="H11" s="79"/>
      <c r="I11" s="80">
        <v>20</v>
      </c>
      <c r="J11" s="80">
        <v>69</v>
      </c>
      <c r="K11" s="61">
        <v>69</v>
      </c>
      <c r="L11" s="61">
        <v>75</v>
      </c>
      <c r="M11" s="61">
        <v>76</v>
      </c>
      <c r="N11" s="61">
        <v>74</v>
      </c>
      <c r="O11" s="61">
        <v>79</v>
      </c>
      <c r="P11" s="61">
        <v>79</v>
      </c>
      <c r="Q11" s="83">
        <v>79</v>
      </c>
      <c r="R11" s="81"/>
      <c r="S11" s="82"/>
      <c r="T11" s="82"/>
      <c r="U11" s="82"/>
      <c r="V11" s="82"/>
      <c r="W11" s="82"/>
      <c r="X11" s="82"/>
      <c r="Y11" s="84"/>
      <c r="Z11" s="80">
        <v>76</v>
      </c>
      <c r="AA11" s="61">
        <v>79</v>
      </c>
      <c r="AB11" s="61">
        <v>79</v>
      </c>
      <c r="AC11" s="61">
        <v>79</v>
      </c>
      <c r="AD11" s="61">
        <v>80</v>
      </c>
      <c r="AE11" s="61">
        <v>80</v>
      </c>
      <c r="AF11" s="61">
        <v>83</v>
      </c>
      <c r="AG11" s="83">
        <v>83</v>
      </c>
      <c r="AI11" s="85">
        <v>20</v>
      </c>
      <c r="AJ11" s="61">
        <v>96</v>
      </c>
      <c r="AK11" s="61">
        <v>94</v>
      </c>
      <c r="AL11" s="61">
        <v>97</v>
      </c>
      <c r="AM11" s="61">
        <v>99</v>
      </c>
      <c r="AN11" s="61">
        <v>99</v>
      </c>
      <c r="AO11" s="61">
        <v>99</v>
      </c>
      <c r="AP11" s="61">
        <v>99</v>
      </c>
      <c r="AQ11" s="61">
        <v>98</v>
      </c>
      <c r="AR11" s="87"/>
      <c r="AS11" s="86"/>
      <c r="AT11" s="86"/>
      <c r="AU11" s="86"/>
      <c r="AV11" s="86"/>
      <c r="AW11" s="86"/>
      <c r="AX11" s="86"/>
      <c r="AY11" s="88"/>
      <c r="AZ11" s="61">
        <v>99</v>
      </c>
      <c r="BA11" s="61">
        <v>99</v>
      </c>
      <c r="BB11" s="61">
        <v>99</v>
      </c>
      <c r="BC11" s="61">
        <v>99</v>
      </c>
      <c r="BD11" s="61">
        <v>99</v>
      </c>
      <c r="BE11" s="61">
        <v>99</v>
      </c>
      <c r="BF11" s="61">
        <v>99</v>
      </c>
      <c r="BG11" s="89">
        <v>99</v>
      </c>
    </row>
    <row r="12" spans="1:59">
      <c r="B12" s="75" t="s">
        <v>28</v>
      </c>
      <c r="C12" s="59">
        <f>Parent!P31</f>
        <v>0</v>
      </c>
      <c r="D12" s="59" t="str">
        <f>IFERROR(VLOOKUP(C12,I81:AG166,C25+8,FALSE),"")</f>
        <v/>
      </c>
      <c r="E12" s="59" t="str">
        <f>IFERROR(VLOOKUP(C12,AI81:BG166,C25+8,FALSE),"")</f>
        <v/>
      </c>
      <c r="F12" s="77" t="e">
        <f>D12-(VLOOKUP("CI",I167:AG167,C25+8,FALSE))</f>
        <v>#VALUE!</v>
      </c>
      <c r="G12" s="78" t="e">
        <f>D12+(VLOOKUP("CI",I167:AG167,C25+8,FALSE))</f>
        <v>#VALUE!</v>
      </c>
      <c r="H12" s="79"/>
      <c r="I12" s="80">
        <v>19</v>
      </c>
      <c r="J12" s="80">
        <v>66</v>
      </c>
      <c r="K12" s="61">
        <v>66</v>
      </c>
      <c r="L12" s="61">
        <v>72</v>
      </c>
      <c r="M12" s="61">
        <v>73</v>
      </c>
      <c r="N12" s="61">
        <v>71</v>
      </c>
      <c r="O12" s="61">
        <v>75</v>
      </c>
      <c r="P12" s="61">
        <v>75</v>
      </c>
      <c r="Q12" s="83">
        <v>76</v>
      </c>
      <c r="R12" s="81"/>
      <c r="S12" s="82"/>
      <c r="T12" s="82"/>
      <c r="U12" s="82"/>
      <c r="V12" s="82"/>
      <c r="W12" s="82"/>
      <c r="X12" s="82"/>
      <c r="Y12" s="84"/>
      <c r="Z12" s="80">
        <v>73</v>
      </c>
      <c r="AA12" s="61">
        <v>76</v>
      </c>
      <c r="AB12" s="61">
        <v>76</v>
      </c>
      <c r="AC12" s="61">
        <v>76</v>
      </c>
      <c r="AD12" s="61">
        <v>77</v>
      </c>
      <c r="AE12" s="61">
        <v>77</v>
      </c>
      <c r="AF12" s="61">
        <v>79</v>
      </c>
      <c r="AG12" s="83">
        <v>79</v>
      </c>
      <c r="AI12" s="85">
        <v>19</v>
      </c>
      <c r="AJ12" s="61">
        <v>94</v>
      </c>
      <c r="AK12" s="61">
        <v>93</v>
      </c>
      <c r="AL12" s="61">
        <v>97</v>
      </c>
      <c r="AM12" s="61">
        <v>97</v>
      </c>
      <c r="AN12" s="61">
        <v>97</v>
      </c>
      <c r="AO12" s="61">
        <v>97</v>
      </c>
      <c r="AP12" s="61">
        <v>98</v>
      </c>
      <c r="AQ12" s="61">
        <v>98</v>
      </c>
      <c r="AR12" s="87"/>
      <c r="AS12" s="86"/>
      <c r="AT12" s="86"/>
      <c r="AU12" s="86"/>
      <c r="AV12" s="86"/>
      <c r="AW12" s="86"/>
      <c r="AX12" s="86"/>
      <c r="AY12" s="88"/>
      <c r="AZ12" s="61">
        <v>98</v>
      </c>
      <c r="BA12" s="61">
        <v>98</v>
      </c>
      <c r="BB12" s="61">
        <v>98</v>
      </c>
      <c r="BC12" s="61">
        <v>98</v>
      </c>
      <c r="BD12" s="61">
        <v>98</v>
      </c>
      <c r="BE12" s="61">
        <v>97</v>
      </c>
      <c r="BF12" s="61">
        <v>99</v>
      </c>
      <c r="BG12" s="89">
        <v>98</v>
      </c>
    </row>
    <row r="13" spans="1:59">
      <c r="B13" s="75" t="s">
        <v>30</v>
      </c>
      <c r="C13" s="59">
        <f>Parent!P32</f>
        <v>0</v>
      </c>
      <c r="D13" s="59" t="str">
        <f>IFERROR(VLOOKUP(C13,I31:AG52,C25+8,FALSE),"")</f>
        <v/>
      </c>
      <c r="E13" s="59" t="str">
        <f>IFERROR(VLOOKUP(C13,AI31:BG52,C25+8,FALSE),"")</f>
        <v/>
      </c>
      <c r="F13" s="77" t="e">
        <f>D13-(VLOOKUP("CI",I53:AG53,C25+8,FALSE))</f>
        <v>#VALUE!</v>
      </c>
      <c r="G13" s="78" t="e">
        <f>D13+(VLOOKUP("CI",I53:AG53,C25+8,FALSE))</f>
        <v>#VALUE!</v>
      </c>
      <c r="H13" s="79"/>
      <c r="I13" s="80">
        <v>18</v>
      </c>
      <c r="J13" s="80">
        <v>63</v>
      </c>
      <c r="K13" s="61">
        <v>64</v>
      </c>
      <c r="L13" s="61">
        <v>69</v>
      </c>
      <c r="M13" s="61">
        <v>70</v>
      </c>
      <c r="N13" s="61">
        <v>68</v>
      </c>
      <c r="O13" s="61">
        <v>72</v>
      </c>
      <c r="P13" s="61">
        <v>72</v>
      </c>
      <c r="Q13" s="83">
        <v>73</v>
      </c>
      <c r="R13" s="81"/>
      <c r="S13" s="82"/>
      <c r="T13" s="82"/>
      <c r="U13" s="82"/>
      <c r="V13" s="82"/>
      <c r="W13" s="82"/>
      <c r="X13" s="82"/>
      <c r="Y13" s="84"/>
      <c r="Z13" s="80">
        <v>70</v>
      </c>
      <c r="AA13" s="61">
        <v>72</v>
      </c>
      <c r="AB13" s="61">
        <v>72</v>
      </c>
      <c r="AC13" s="61">
        <v>72</v>
      </c>
      <c r="AD13" s="61">
        <v>72</v>
      </c>
      <c r="AE13" s="61">
        <v>72</v>
      </c>
      <c r="AF13" s="61">
        <v>76</v>
      </c>
      <c r="AG13" s="83">
        <v>76</v>
      </c>
      <c r="AI13" s="85">
        <v>18</v>
      </c>
      <c r="AJ13" s="61">
        <v>90</v>
      </c>
      <c r="AK13" s="61">
        <v>91</v>
      </c>
      <c r="AL13" s="61">
        <v>97</v>
      </c>
      <c r="AM13" s="61">
        <v>94</v>
      </c>
      <c r="AN13" s="61">
        <v>95</v>
      </c>
      <c r="AO13" s="61">
        <v>95</v>
      </c>
      <c r="AP13" s="61">
        <v>97</v>
      </c>
      <c r="AQ13" s="61">
        <v>97</v>
      </c>
      <c r="AR13" s="87"/>
      <c r="AS13" s="86"/>
      <c r="AT13" s="86"/>
      <c r="AU13" s="86"/>
      <c r="AV13" s="86"/>
      <c r="AW13" s="86"/>
      <c r="AX13" s="86"/>
      <c r="AY13" s="88"/>
      <c r="AZ13" s="61">
        <v>95</v>
      </c>
      <c r="BA13" s="61">
        <v>97</v>
      </c>
      <c r="BB13" s="61">
        <v>96</v>
      </c>
      <c r="BC13" s="61">
        <v>96</v>
      </c>
      <c r="BD13" s="61">
        <v>97</v>
      </c>
      <c r="BE13" s="61">
        <v>97</v>
      </c>
      <c r="BF13" s="61">
        <v>99</v>
      </c>
      <c r="BG13" s="89">
        <v>98</v>
      </c>
    </row>
    <row r="14" spans="1:59">
      <c r="B14" s="75" t="s">
        <v>73</v>
      </c>
      <c r="C14" s="59">
        <f>Parent!P33</f>
        <v>0</v>
      </c>
      <c r="D14" s="59" t="str">
        <f>IFERROR(VLOOKUP(C14,I31:AG52,C25+16,FALSE),"")</f>
        <v/>
      </c>
      <c r="E14" s="59" t="str">
        <f>IFERROR(VLOOKUP(C14,AI31:BG52,C25+16,FALSE),"")</f>
        <v/>
      </c>
      <c r="F14" s="77" t="e">
        <f>D14-(VLOOKUP("CI",I53:AG53,C25+16,FALSE))</f>
        <v>#VALUE!</v>
      </c>
      <c r="G14" s="78" t="e">
        <f>D14+(VLOOKUP("CI",I53:AG53,C25+16,FALSE))</f>
        <v>#VALUE!</v>
      </c>
      <c r="H14" s="79"/>
      <c r="I14" s="80">
        <v>17</v>
      </c>
      <c r="J14" s="80">
        <v>61</v>
      </c>
      <c r="K14" s="61">
        <v>61</v>
      </c>
      <c r="L14" s="61">
        <v>66</v>
      </c>
      <c r="M14" s="61">
        <v>67</v>
      </c>
      <c r="N14" s="61">
        <v>65</v>
      </c>
      <c r="O14" s="61">
        <v>68</v>
      </c>
      <c r="P14" s="61">
        <v>68</v>
      </c>
      <c r="Q14" s="83">
        <v>69</v>
      </c>
      <c r="R14" s="81"/>
      <c r="S14" s="82"/>
      <c r="T14" s="82"/>
      <c r="U14" s="82"/>
      <c r="V14" s="82"/>
      <c r="W14" s="82"/>
      <c r="X14" s="82"/>
      <c r="Y14" s="84"/>
      <c r="Z14" s="80">
        <v>67</v>
      </c>
      <c r="AA14" s="61">
        <v>69</v>
      </c>
      <c r="AB14" s="61">
        <v>69</v>
      </c>
      <c r="AC14" s="61">
        <v>69</v>
      </c>
      <c r="AD14" s="61">
        <v>71</v>
      </c>
      <c r="AE14" s="61">
        <v>71</v>
      </c>
      <c r="AF14" s="61">
        <v>72</v>
      </c>
      <c r="AG14" s="83">
        <v>72</v>
      </c>
      <c r="AI14" s="85">
        <v>17</v>
      </c>
      <c r="AJ14" s="61">
        <v>88</v>
      </c>
      <c r="AK14" s="61">
        <v>88</v>
      </c>
      <c r="AL14" s="61">
        <v>94</v>
      </c>
      <c r="AM14" s="61">
        <v>94</v>
      </c>
      <c r="AN14" s="61">
        <v>94</v>
      </c>
      <c r="AO14" s="61">
        <v>95</v>
      </c>
      <c r="AP14" s="61">
        <v>95</v>
      </c>
      <c r="AQ14" s="61">
        <v>95</v>
      </c>
      <c r="AR14" s="87"/>
      <c r="AS14" s="86"/>
      <c r="AT14" s="86"/>
      <c r="AU14" s="86"/>
      <c r="AV14" s="86"/>
      <c r="AW14" s="86"/>
      <c r="AX14" s="86"/>
      <c r="AY14" s="88"/>
      <c r="AZ14" s="61">
        <v>93</v>
      </c>
      <c r="BA14" s="61">
        <v>97</v>
      </c>
      <c r="BB14" s="61">
        <v>95</v>
      </c>
      <c r="BC14" s="61">
        <v>95</v>
      </c>
      <c r="BD14" s="61">
        <v>97</v>
      </c>
      <c r="BE14" s="61">
        <v>96</v>
      </c>
      <c r="BF14" s="61">
        <v>99</v>
      </c>
      <c r="BG14" s="89">
        <v>97</v>
      </c>
    </row>
    <row r="15" spans="1:59">
      <c r="B15" s="75" t="s">
        <v>74</v>
      </c>
      <c r="C15" s="59">
        <f>Parent!P34</f>
        <v>0</v>
      </c>
      <c r="D15" s="59" t="str">
        <f>IFERROR(VLOOKUP(C15,I56:AG77,C25,FALSE),"")</f>
        <v/>
      </c>
      <c r="E15" s="59" t="str">
        <f>IFERROR(VLOOKUP(C15,AI56:BG77,C25,FALSE),"")</f>
        <v/>
      </c>
      <c r="F15" s="77" t="e">
        <f>D15-(VLOOKUP("CI",I78:AG78,C25,FALSE))</f>
        <v>#VALUE!</v>
      </c>
      <c r="G15" s="78" t="e">
        <f>D15+(VLOOKUP("CI",I78:AG78,C25,FALSE))</f>
        <v>#VALUE!</v>
      </c>
      <c r="H15" s="79"/>
      <c r="I15" s="80">
        <v>16</v>
      </c>
      <c r="J15" s="80">
        <v>58</v>
      </c>
      <c r="K15" s="61">
        <v>59</v>
      </c>
      <c r="L15" s="61">
        <v>63</v>
      </c>
      <c r="M15" s="61">
        <v>64</v>
      </c>
      <c r="N15" s="61">
        <v>62</v>
      </c>
      <c r="O15" s="61">
        <v>65</v>
      </c>
      <c r="P15" s="61">
        <v>65</v>
      </c>
      <c r="Q15" s="83">
        <v>66</v>
      </c>
      <c r="R15" s="81"/>
      <c r="S15" s="82"/>
      <c r="T15" s="82"/>
      <c r="U15" s="82"/>
      <c r="V15" s="82"/>
      <c r="W15" s="82"/>
      <c r="X15" s="82"/>
      <c r="Y15" s="84"/>
      <c r="Z15" s="80">
        <v>64</v>
      </c>
      <c r="AA15" s="61">
        <v>66</v>
      </c>
      <c r="AB15" s="61">
        <v>66</v>
      </c>
      <c r="AC15" s="61">
        <v>66</v>
      </c>
      <c r="AD15" s="61">
        <v>67</v>
      </c>
      <c r="AE15" s="61">
        <v>67</v>
      </c>
      <c r="AF15" s="61">
        <v>68</v>
      </c>
      <c r="AG15" s="83">
        <v>68</v>
      </c>
      <c r="AI15" s="85">
        <v>16</v>
      </c>
      <c r="AJ15" s="61">
        <v>85</v>
      </c>
      <c r="AK15" s="61">
        <v>84</v>
      </c>
      <c r="AL15" s="61">
        <v>93</v>
      </c>
      <c r="AM15" s="61">
        <v>92</v>
      </c>
      <c r="AN15" s="61">
        <v>90</v>
      </c>
      <c r="AO15" s="61">
        <v>93</v>
      </c>
      <c r="AP15" s="61">
        <v>94</v>
      </c>
      <c r="AQ15" s="61">
        <v>93</v>
      </c>
      <c r="AR15" s="87"/>
      <c r="AS15" s="86"/>
      <c r="AT15" s="86"/>
      <c r="AU15" s="86"/>
      <c r="AV15" s="86"/>
      <c r="AW15" s="86"/>
      <c r="AX15" s="86"/>
      <c r="AY15" s="88"/>
      <c r="AZ15" s="61">
        <v>91</v>
      </c>
      <c r="BA15" s="61">
        <v>94</v>
      </c>
      <c r="BB15" s="61">
        <v>93</v>
      </c>
      <c r="BC15" s="61">
        <v>94</v>
      </c>
      <c r="BD15" s="61">
        <v>97</v>
      </c>
      <c r="BE15" s="61">
        <v>95</v>
      </c>
      <c r="BF15" s="61">
        <v>97</v>
      </c>
      <c r="BG15" s="89">
        <v>94</v>
      </c>
    </row>
    <row r="16" spans="1:59">
      <c r="B16" s="75" t="s">
        <v>75</v>
      </c>
      <c r="C16" s="59">
        <f>Parent!P35</f>
        <v>0</v>
      </c>
      <c r="D16" s="59" t="str">
        <f>IFERROR(VLOOKUP(C16,I56:AG77,C25+8,FALSE),"")</f>
        <v/>
      </c>
      <c r="E16" s="59" t="str">
        <f>IFERROR(VLOOKUP(C16,AI56:BG77,C25+8,FALSE),"")</f>
        <v/>
      </c>
      <c r="F16" s="77" t="e">
        <f>D16-(VLOOKUP("CI",I78:AG78,C25+8,FALSE))</f>
        <v>#VALUE!</v>
      </c>
      <c r="G16" s="78" t="e">
        <f>D16+(VLOOKUP("CI",I78:AG78,C25+8,FALSE))</f>
        <v>#VALUE!</v>
      </c>
      <c r="H16" s="79"/>
      <c r="I16" s="80">
        <v>15</v>
      </c>
      <c r="J16" s="80">
        <v>55</v>
      </c>
      <c r="K16" s="61">
        <v>56</v>
      </c>
      <c r="L16" s="61">
        <v>60</v>
      </c>
      <c r="M16" s="61">
        <v>61</v>
      </c>
      <c r="N16" s="61">
        <v>59</v>
      </c>
      <c r="O16" s="61">
        <v>61</v>
      </c>
      <c r="P16" s="61">
        <v>62</v>
      </c>
      <c r="Q16" s="83">
        <v>63</v>
      </c>
      <c r="R16" s="81"/>
      <c r="S16" s="82"/>
      <c r="T16" s="82"/>
      <c r="U16" s="82"/>
      <c r="V16" s="82"/>
      <c r="W16" s="82"/>
      <c r="X16" s="82"/>
      <c r="Y16" s="84"/>
      <c r="Z16" s="80">
        <v>61</v>
      </c>
      <c r="AA16" s="61">
        <v>62</v>
      </c>
      <c r="AB16" s="61">
        <v>62</v>
      </c>
      <c r="AC16" s="61">
        <v>63</v>
      </c>
      <c r="AD16" s="61">
        <v>62</v>
      </c>
      <c r="AE16" s="61">
        <v>62</v>
      </c>
      <c r="AF16" s="61">
        <v>65</v>
      </c>
      <c r="AG16" s="83">
        <v>65</v>
      </c>
      <c r="AI16" s="85">
        <v>15</v>
      </c>
      <c r="AJ16" s="61">
        <v>77</v>
      </c>
      <c r="AK16" s="61">
        <v>79</v>
      </c>
      <c r="AL16" s="61">
        <v>87</v>
      </c>
      <c r="AM16" s="61">
        <v>87</v>
      </c>
      <c r="AN16" s="61">
        <v>86</v>
      </c>
      <c r="AO16" s="61">
        <v>90</v>
      </c>
      <c r="AP16" s="61">
        <v>89</v>
      </c>
      <c r="AQ16" s="61">
        <v>91</v>
      </c>
      <c r="AR16" s="87"/>
      <c r="AS16" s="86"/>
      <c r="AT16" s="86"/>
      <c r="AU16" s="86"/>
      <c r="AV16" s="86"/>
      <c r="AW16" s="86"/>
      <c r="AX16" s="86"/>
      <c r="AY16" s="88"/>
      <c r="AZ16" s="61">
        <v>87</v>
      </c>
      <c r="BA16" s="61">
        <v>90</v>
      </c>
      <c r="BB16" s="61">
        <v>88</v>
      </c>
      <c r="BC16" s="61">
        <v>91</v>
      </c>
      <c r="BD16" s="61">
        <v>95</v>
      </c>
      <c r="BE16" s="61">
        <v>90</v>
      </c>
      <c r="BF16" s="61">
        <v>92</v>
      </c>
      <c r="BG16" s="89">
        <v>91</v>
      </c>
    </row>
    <row r="17" spans="2:59">
      <c r="B17" s="75" t="s">
        <v>76</v>
      </c>
      <c r="C17" s="59">
        <f>Parent!P36</f>
        <v>0</v>
      </c>
      <c r="D17" s="59" t="str">
        <f>IFERROR(VLOOKUP(C17,I56:AG77,C25+16,FALSE),"")</f>
        <v/>
      </c>
      <c r="E17" s="59" t="str">
        <f>IFERROR(VLOOKUP(C17,AI56:BG77,C25+16,FALSE),"")</f>
        <v/>
      </c>
      <c r="F17" s="77" t="e">
        <f>D17-(VLOOKUP("CI",I78:AG78,C25+16,FALSE))</f>
        <v>#VALUE!</v>
      </c>
      <c r="G17" s="78" t="e">
        <f>D17+(VLOOKUP("CI",I78:AG78,C25+16,FALSE))</f>
        <v>#VALUE!</v>
      </c>
      <c r="H17" s="79"/>
      <c r="I17" s="80">
        <v>14</v>
      </c>
      <c r="J17" s="80">
        <v>52</v>
      </c>
      <c r="K17" s="61">
        <v>53</v>
      </c>
      <c r="L17" s="61">
        <v>57</v>
      </c>
      <c r="M17" s="61">
        <v>58</v>
      </c>
      <c r="N17" s="61">
        <v>55</v>
      </c>
      <c r="O17" s="61">
        <v>58</v>
      </c>
      <c r="P17" s="61">
        <v>58</v>
      </c>
      <c r="Q17" s="83">
        <v>60</v>
      </c>
      <c r="R17" s="81"/>
      <c r="S17" s="82"/>
      <c r="T17" s="82"/>
      <c r="U17" s="82"/>
      <c r="V17" s="82"/>
      <c r="W17" s="82"/>
      <c r="X17" s="82"/>
      <c r="Y17" s="84"/>
      <c r="Z17" s="80">
        <v>58</v>
      </c>
      <c r="AA17" s="61">
        <v>59</v>
      </c>
      <c r="AB17" s="61">
        <v>59</v>
      </c>
      <c r="AC17" s="61">
        <v>60</v>
      </c>
      <c r="AD17" s="61">
        <v>61</v>
      </c>
      <c r="AE17" s="61">
        <v>61</v>
      </c>
      <c r="AF17" s="61">
        <v>61</v>
      </c>
      <c r="AG17" s="83">
        <v>61</v>
      </c>
      <c r="AI17" s="85">
        <v>14</v>
      </c>
      <c r="AJ17" s="61">
        <v>67</v>
      </c>
      <c r="AK17" s="61">
        <v>71</v>
      </c>
      <c r="AL17" s="61">
        <v>81</v>
      </c>
      <c r="AM17" s="61">
        <v>83</v>
      </c>
      <c r="AN17" s="61">
        <v>77</v>
      </c>
      <c r="AO17" s="61">
        <v>86</v>
      </c>
      <c r="AP17" s="61">
        <v>85</v>
      </c>
      <c r="AQ17" s="61">
        <v>86</v>
      </c>
      <c r="AR17" s="87"/>
      <c r="AS17" s="86"/>
      <c r="AT17" s="86"/>
      <c r="AU17" s="86"/>
      <c r="AV17" s="86"/>
      <c r="AW17" s="86"/>
      <c r="AX17" s="86"/>
      <c r="AY17" s="88"/>
      <c r="AZ17" s="61">
        <v>85</v>
      </c>
      <c r="BA17" s="61">
        <v>85</v>
      </c>
      <c r="BB17" s="61">
        <v>82</v>
      </c>
      <c r="BC17" s="61">
        <v>86</v>
      </c>
      <c r="BD17" s="61">
        <v>91</v>
      </c>
      <c r="BE17" s="61">
        <v>84</v>
      </c>
      <c r="BF17" s="61">
        <v>88</v>
      </c>
      <c r="BG17" s="89">
        <v>88</v>
      </c>
    </row>
    <row r="18" spans="2:59">
      <c r="B18" s="75" t="s">
        <v>36</v>
      </c>
      <c r="C18" s="59">
        <f>Parent!P37</f>
        <v>0</v>
      </c>
      <c r="D18" s="59" t="str">
        <f>IFERROR(VLOOKUP(C18,I81:AG166,C25+16,FALSE),"")</f>
        <v/>
      </c>
      <c r="E18" s="59" t="str">
        <f>IFERROR(VLOOKUP(C18,AI81:BG166,C25+16,FALSE),"")</f>
        <v/>
      </c>
      <c r="F18" s="77" t="e">
        <f>D18-(VLOOKUP("CI",I167:AG167,C25+16,FALSE))</f>
        <v>#VALUE!</v>
      </c>
      <c r="G18" s="78" t="e">
        <f>D18+(VLOOKUP("CI",I167:AG167,C25+16,FALSE))</f>
        <v>#VALUE!</v>
      </c>
      <c r="H18" s="79"/>
      <c r="I18" s="80">
        <v>13</v>
      </c>
      <c r="J18" s="80">
        <v>50</v>
      </c>
      <c r="K18" s="61">
        <v>51</v>
      </c>
      <c r="L18" s="61">
        <v>54</v>
      </c>
      <c r="M18" s="61">
        <v>55</v>
      </c>
      <c r="N18" s="61">
        <v>52</v>
      </c>
      <c r="O18" s="61">
        <v>54</v>
      </c>
      <c r="P18" s="61">
        <v>55</v>
      </c>
      <c r="Q18" s="83">
        <v>57</v>
      </c>
      <c r="R18" s="81"/>
      <c r="S18" s="82"/>
      <c r="T18" s="82"/>
      <c r="U18" s="82"/>
      <c r="V18" s="82"/>
      <c r="W18" s="82"/>
      <c r="X18" s="82"/>
      <c r="Y18" s="84"/>
      <c r="Z18" s="80">
        <v>55</v>
      </c>
      <c r="AA18" s="61">
        <v>56</v>
      </c>
      <c r="AB18" s="61">
        <v>56</v>
      </c>
      <c r="AC18" s="61">
        <v>57</v>
      </c>
      <c r="AD18" s="61">
        <v>56</v>
      </c>
      <c r="AE18" s="61">
        <v>56</v>
      </c>
      <c r="AF18" s="61">
        <v>58</v>
      </c>
      <c r="AG18" s="83">
        <v>58</v>
      </c>
      <c r="AI18" s="85">
        <v>13</v>
      </c>
      <c r="AJ18" s="61">
        <v>55</v>
      </c>
      <c r="AK18" s="61">
        <v>63</v>
      </c>
      <c r="AL18" s="61">
        <v>71</v>
      </c>
      <c r="AM18" s="61">
        <v>78</v>
      </c>
      <c r="AN18" s="61">
        <v>69</v>
      </c>
      <c r="AO18" s="61">
        <v>76</v>
      </c>
      <c r="AP18" s="61">
        <v>79</v>
      </c>
      <c r="AQ18" s="61">
        <v>83</v>
      </c>
      <c r="AR18" s="87"/>
      <c r="AS18" s="86"/>
      <c r="AT18" s="86"/>
      <c r="AU18" s="86"/>
      <c r="AV18" s="86"/>
      <c r="AW18" s="86"/>
      <c r="AX18" s="86"/>
      <c r="AY18" s="88"/>
      <c r="AZ18" s="61">
        <v>77</v>
      </c>
      <c r="BA18" s="61">
        <v>77</v>
      </c>
      <c r="BB18" s="61">
        <v>78</v>
      </c>
      <c r="BC18" s="61">
        <v>79</v>
      </c>
      <c r="BD18" s="61">
        <v>81</v>
      </c>
      <c r="BE18" s="61">
        <v>78</v>
      </c>
      <c r="BF18" s="61">
        <v>82</v>
      </c>
      <c r="BG18" s="89">
        <v>83</v>
      </c>
    </row>
    <row r="19" spans="2:59" ht="15.75" thickBot="1">
      <c r="B19" s="92" t="s">
        <v>37</v>
      </c>
      <c r="C19" s="93">
        <f>Parent!P38</f>
        <v>0</v>
      </c>
      <c r="D19" s="93" t="str">
        <f>IFERROR(VLOOKUP(C19,I170:Q291,C25,FALSE),"")</f>
        <v/>
      </c>
      <c r="E19" s="93" t="str">
        <f>IFERROR(VLOOKUP(C19,AI170:AQ291,C25,FALSE),"")</f>
        <v/>
      </c>
      <c r="F19" s="95" t="e">
        <f>D19-(VLOOKUP("CI",I292:Q292,C25,FALSE))</f>
        <v>#VALUE!</v>
      </c>
      <c r="G19" s="96" t="e">
        <f>D19+(VLOOKUP("CI",I292:Q292,C25,FALSE))</f>
        <v>#VALUE!</v>
      </c>
      <c r="H19" s="79"/>
      <c r="I19" s="80">
        <v>12</v>
      </c>
      <c r="J19" s="80">
        <v>47</v>
      </c>
      <c r="K19" s="61">
        <v>48</v>
      </c>
      <c r="L19" s="61">
        <v>51</v>
      </c>
      <c r="M19" s="61">
        <v>52</v>
      </c>
      <c r="N19" s="61">
        <v>49</v>
      </c>
      <c r="O19" s="61">
        <v>51</v>
      </c>
      <c r="P19" s="61">
        <v>51</v>
      </c>
      <c r="Q19" s="83">
        <v>54</v>
      </c>
      <c r="R19" s="80">
        <v>78</v>
      </c>
      <c r="S19" s="61">
        <v>78</v>
      </c>
      <c r="T19" s="61">
        <v>78</v>
      </c>
      <c r="U19" s="61">
        <v>78</v>
      </c>
      <c r="V19" s="61">
        <v>79</v>
      </c>
      <c r="W19" s="61">
        <v>79</v>
      </c>
      <c r="X19" s="61">
        <v>80</v>
      </c>
      <c r="Y19" s="83">
        <v>80</v>
      </c>
      <c r="Z19" s="80">
        <v>52</v>
      </c>
      <c r="AA19" s="61">
        <v>52</v>
      </c>
      <c r="AB19" s="61">
        <v>53</v>
      </c>
      <c r="AC19" s="61">
        <v>54</v>
      </c>
      <c r="AD19" s="61">
        <v>53</v>
      </c>
      <c r="AE19" s="61">
        <v>53</v>
      </c>
      <c r="AF19" s="61">
        <v>54</v>
      </c>
      <c r="AG19" s="83">
        <v>54</v>
      </c>
      <c r="AI19" s="85">
        <v>12</v>
      </c>
      <c r="AJ19" s="61">
        <v>45</v>
      </c>
      <c r="AK19" s="61">
        <v>53</v>
      </c>
      <c r="AL19" s="61">
        <v>61</v>
      </c>
      <c r="AM19" s="61">
        <v>74</v>
      </c>
      <c r="AN19" s="61">
        <v>58</v>
      </c>
      <c r="AO19" s="61">
        <v>69</v>
      </c>
      <c r="AP19" s="61">
        <v>69</v>
      </c>
      <c r="AQ19" s="61">
        <v>78</v>
      </c>
      <c r="AR19" s="122" t="s">
        <v>70</v>
      </c>
      <c r="AS19" s="61" t="s">
        <v>70</v>
      </c>
      <c r="AT19" s="61" t="s">
        <v>70</v>
      </c>
      <c r="AU19" s="61" t="s">
        <v>70</v>
      </c>
      <c r="AV19" s="61" t="s">
        <v>70</v>
      </c>
      <c r="AW19" s="61" t="s">
        <v>70</v>
      </c>
      <c r="AX19" s="61" t="s">
        <v>70</v>
      </c>
      <c r="AY19" s="89" t="s">
        <v>70</v>
      </c>
      <c r="AZ19" s="61">
        <v>68</v>
      </c>
      <c r="BA19" s="61">
        <v>69</v>
      </c>
      <c r="BB19" s="61">
        <v>76</v>
      </c>
      <c r="BC19" s="61">
        <v>73</v>
      </c>
      <c r="BD19" s="61">
        <v>75</v>
      </c>
      <c r="BE19" s="61">
        <v>71</v>
      </c>
      <c r="BF19" s="61">
        <v>73</v>
      </c>
      <c r="BG19" s="89">
        <v>78</v>
      </c>
    </row>
    <row r="20" spans="2:59" ht="15.75" thickTop="1">
      <c r="I20" s="80">
        <v>11</v>
      </c>
      <c r="J20" s="80">
        <v>44</v>
      </c>
      <c r="K20" s="61">
        <v>45</v>
      </c>
      <c r="L20" s="61">
        <v>48</v>
      </c>
      <c r="M20" s="61">
        <v>49</v>
      </c>
      <c r="N20" s="61">
        <v>46</v>
      </c>
      <c r="O20" s="61">
        <v>48</v>
      </c>
      <c r="P20" s="61">
        <v>48</v>
      </c>
      <c r="Q20" s="83">
        <v>51</v>
      </c>
      <c r="R20" s="80">
        <v>74</v>
      </c>
      <c r="S20" s="61">
        <v>74</v>
      </c>
      <c r="T20" s="61">
        <v>74</v>
      </c>
      <c r="U20" s="61">
        <v>74</v>
      </c>
      <c r="V20" s="61">
        <v>74</v>
      </c>
      <c r="W20" s="61">
        <v>74</v>
      </c>
      <c r="X20" s="61">
        <v>75</v>
      </c>
      <c r="Y20" s="83">
        <v>75</v>
      </c>
      <c r="Z20" s="80">
        <v>49</v>
      </c>
      <c r="AA20" s="61">
        <v>49</v>
      </c>
      <c r="AB20" s="61">
        <v>50</v>
      </c>
      <c r="AC20" s="61">
        <v>50</v>
      </c>
      <c r="AD20" s="61">
        <v>49</v>
      </c>
      <c r="AE20" s="61">
        <v>49</v>
      </c>
      <c r="AF20" s="61">
        <v>50</v>
      </c>
      <c r="AG20" s="83">
        <v>51</v>
      </c>
      <c r="AI20" s="85">
        <v>11</v>
      </c>
      <c r="AJ20" s="61">
        <v>34</v>
      </c>
      <c r="AK20" s="61">
        <v>43</v>
      </c>
      <c r="AL20" s="61">
        <v>57</v>
      </c>
      <c r="AM20" s="61">
        <v>64</v>
      </c>
      <c r="AN20" s="61">
        <v>44</v>
      </c>
      <c r="AO20" s="61">
        <v>54</v>
      </c>
      <c r="AP20" s="61">
        <v>55</v>
      </c>
      <c r="AQ20" s="61">
        <v>70</v>
      </c>
      <c r="AR20" s="122">
        <v>98</v>
      </c>
      <c r="AS20" s="61">
        <v>97</v>
      </c>
      <c r="AT20" s="61">
        <v>99</v>
      </c>
      <c r="AU20" s="61">
        <v>99</v>
      </c>
      <c r="AV20" s="61" t="s">
        <v>70</v>
      </c>
      <c r="AW20" s="61">
        <v>99</v>
      </c>
      <c r="AX20" s="61">
        <v>99</v>
      </c>
      <c r="AY20" s="89">
        <v>99</v>
      </c>
      <c r="AZ20" s="61">
        <v>60</v>
      </c>
      <c r="BA20" s="61">
        <v>62</v>
      </c>
      <c r="BB20" s="61">
        <v>65</v>
      </c>
      <c r="BC20" s="61">
        <v>69</v>
      </c>
      <c r="BD20" s="61">
        <v>60</v>
      </c>
      <c r="BE20" s="61">
        <v>62</v>
      </c>
      <c r="BF20" s="61">
        <v>64</v>
      </c>
      <c r="BG20" s="89">
        <v>68</v>
      </c>
    </row>
    <row r="21" spans="2:59">
      <c r="B21" s="58"/>
      <c r="C21" s="70" t="s">
        <v>4</v>
      </c>
      <c r="D21" s="70" t="s">
        <v>67</v>
      </c>
      <c r="E21" s="70" t="s">
        <v>68</v>
      </c>
      <c r="F21" s="70" t="s">
        <v>51</v>
      </c>
      <c r="I21" s="80">
        <v>10</v>
      </c>
      <c r="J21" s="80">
        <v>41</v>
      </c>
      <c r="K21" s="61">
        <v>43</v>
      </c>
      <c r="L21" s="61">
        <v>45</v>
      </c>
      <c r="M21" s="61">
        <v>46</v>
      </c>
      <c r="N21" s="61">
        <v>43</v>
      </c>
      <c r="O21" s="61">
        <v>44</v>
      </c>
      <c r="P21" s="61">
        <v>45</v>
      </c>
      <c r="Q21" s="83">
        <v>47</v>
      </c>
      <c r="R21" s="80">
        <v>68</v>
      </c>
      <c r="S21" s="61">
        <v>68</v>
      </c>
      <c r="T21" s="61">
        <v>69</v>
      </c>
      <c r="U21" s="61">
        <v>69</v>
      </c>
      <c r="V21" s="61">
        <v>69</v>
      </c>
      <c r="W21" s="61">
        <v>69</v>
      </c>
      <c r="X21" s="61">
        <v>70</v>
      </c>
      <c r="Y21" s="83">
        <v>70</v>
      </c>
      <c r="Z21" s="80">
        <v>45</v>
      </c>
      <c r="AA21" s="61">
        <v>46</v>
      </c>
      <c r="AB21" s="61">
        <v>47</v>
      </c>
      <c r="AC21" s="61">
        <v>47</v>
      </c>
      <c r="AD21" s="61">
        <v>46</v>
      </c>
      <c r="AE21" s="61">
        <v>46</v>
      </c>
      <c r="AF21" s="61">
        <v>47</v>
      </c>
      <c r="AG21" s="83">
        <v>47</v>
      </c>
      <c r="AI21" s="85">
        <v>10</v>
      </c>
      <c r="AJ21" s="61">
        <v>27</v>
      </c>
      <c r="AK21" s="61">
        <v>35</v>
      </c>
      <c r="AL21" s="61">
        <v>45</v>
      </c>
      <c r="AM21" s="61">
        <v>56</v>
      </c>
      <c r="AN21" s="61">
        <v>33</v>
      </c>
      <c r="AO21" s="61">
        <v>39</v>
      </c>
      <c r="AP21" s="61">
        <v>39</v>
      </c>
      <c r="AQ21" s="61">
        <v>58</v>
      </c>
      <c r="AR21" s="122">
        <v>96</v>
      </c>
      <c r="AS21" s="61">
        <v>97</v>
      </c>
      <c r="AT21" s="61">
        <v>97</v>
      </c>
      <c r="AU21" s="61">
        <v>97</v>
      </c>
      <c r="AV21" s="61">
        <v>99</v>
      </c>
      <c r="AW21" s="61">
        <v>97</v>
      </c>
      <c r="AX21" s="61">
        <v>98</v>
      </c>
      <c r="AY21" s="89">
        <v>96</v>
      </c>
      <c r="AZ21" s="61">
        <v>47</v>
      </c>
      <c r="BA21" s="61">
        <v>51</v>
      </c>
      <c r="BB21" s="61">
        <v>54</v>
      </c>
      <c r="BC21" s="61">
        <v>58</v>
      </c>
      <c r="BD21" s="61">
        <v>49</v>
      </c>
      <c r="BE21" s="61">
        <v>51</v>
      </c>
      <c r="BF21" s="61">
        <v>52</v>
      </c>
      <c r="BG21" s="89">
        <v>58</v>
      </c>
    </row>
    <row r="22" spans="2:59">
      <c r="B22" s="97" t="s">
        <v>8</v>
      </c>
      <c r="C22" s="61">
        <v>2</v>
      </c>
      <c r="D22" s="61">
        <v>3</v>
      </c>
      <c r="E22" s="61">
        <v>4</v>
      </c>
      <c r="F22" s="61">
        <v>5</v>
      </c>
      <c r="I22" s="80">
        <v>9</v>
      </c>
      <c r="J22" s="80">
        <v>38</v>
      </c>
      <c r="K22" s="61">
        <v>40</v>
      </c>
      <c r="L22" s="61">
        <v>42</v>
      </c>
      <c r="M22" s="61">
        <v>43</v>
      </c>
      <c r="N22" s="61">
        <v>40</v>
      </c>
      <c r="O22" s="61">
        <v>41</v>
      </c>
      <c r="P22" s="61">
        <v>41</v>
      </c>
      <c r="Q22" s="83">
        <v>44</v>
      </c>
      <c r="R22" s="80">
        <v>63</v>
      </c>
      <c r="S22" s="61">
        <v>63</v>
      </c>
      <c r="T22" s="61">
        <v>63</v>
      </c>
      <c r="U22" s="61">
        <v>63</v>
      </c>
      <c r="V22" s="61">
        <v>64</v>
      </c>
      <c r="W22" s="61">
        <v>64</v>
      </c>
      <c r="X22" s="61">
        <v>65</v>
      </c>
      <c r="Y22" s="83">
        <v>65</v>
      </c>
      <c r="Z22" s="80">
        <v>42</v>
      </c>
      <c r="AA22" s="61">
        <v>43</v>
      </c>
      <c r="AB22" s="61">
        <v>44</v>
      </c>
      <c r="AC22" s="61">
        <v>44</v>
      </c>
      <c r="AD22" s="61">
        <v>43</v>
      </c>
      <c r="AE22" s="61">
        <v>43</v>
      </c>
      <c r="AF22" s="61">
        <v>43</v>
      </c>
      <c r="AG22" s="83">
        <v>44</v>
      </c>
      <c r="AI22" s="85">
        <v>9</v>
      </c>
      <c r="AJ22" s="61">
        <v>19</v>
      </c>
      <c r="AK22" s="61">
        <v>24</v>
      </c>
      <c r="AL22" s="61">
        <v>35</v>
      </c>
      <c r="AM22" s="61">
        <v>42</v>
      </c>
      <c r="AN22" s="61">
        <v>20</v>
      </c>
      <c r="AO22" s="61">
        <v>24</v>
      </c>
      <c r="AP22" s="61">
        <v>30</v>
      </c>
      <c r="AQ22" s="61">
        <v>48</v>
      </c>
      <c r="AR22" s="122">
        <v>95</v>
      </c>
      <c r="AS22" s="61">
        <v>90</v>
      </c>
      <c r="AT22" s="61">
        <v>94</v>
      </c>
      <c r="AU22" s="61">
        <v>93</v>
      </c>
      <c r="AV22" s="61">
        <v>96</v>
      </c>
      <c r="AW22" s="61">
        <v>91</v>
      </c>
      <c r="AX22" s="61">
        <v>96</v>
      </c>
      <c r="AY22" s="89">
        <v>93</v>
      </c>
      <c r="AZ22" s="61">
        <v>34</v>
      </c>
      <c r="BA22" s="61">
        <v>36</v>
      </c>
      <c r="BB22" s="61">
        <v>42</v>
      </c>
      <c r="BC22" s="61">
        <v>48</v>
      </c>
      <c r="BD22" s="61">
        <v>36</v>
      </c>
      <c r="BE22" s="61">
        <v>37</v>
      </c>
      <c r="BF22" s="61">
        <v>39</v>
      </c>
      <c r="BG22" s="89">
        <v>43</v>
      </c>
    </row>
    <row r="23" spans="2:59">
      <c r="B23" s="97" t="s">
        <v>61</v>
      </c>
      <c r="C23" s="61">
        <v>6</v>
      </c>
      <c r="D23" s="61">
        <v>7</v>
      </c>
      <c r="E23" s="61">
        <v>8</v>
      </c>
      <c r="F23" s="61">
        <v>9</v>
      </c>
      <c r="I23" s="80">
        <v>8</v>
      </c>
      <c r="J23" s="80">
        <v>36</v>
      </c>
      <c r="K23" s="61">
        <v>38</v>
      </c>
      <c r="L23" s="61">
        <v>39</v>
      </c>
      <c r="M23" s="61">
        <v>40</v>
      </c>
      <c r="N23" s="61">
        <v>36</v>
      </c>
      <c r="O23" s="61">
        <v>37</v>
      </c>
      <c r="P23" s="61">
        <v>38</v>
      </c>
      <c r="Q23" s="83">
        <v>41</v>
      </c>
      <c r="R23" s="80">
        <v>58</v>
      </c>
      <c r="S23" s="61">
        <v>58</v>
      </c>
      <c r="T23" s="61">
        <v>59</v>
      </c>
      <c r="U23" s="61">
        <v>59</v>
      </c>
      <c r="V23" s="61">
        <v>59</v>
      </c>
      <c r="W23" s="61">
        <v>59</v>
      </c>
      <c r="X23" s="61">
        <v>60</v>
      </c>
      <c r="Y23" s="83">
        <v>60</v>
      </c>
      <c r="Z23" s="80">
        <v>39</v>
      </c>
      <c r="AA23" s="61">
        <v>39</v>
      </c>
      <c r="AB23" s="61">
        <v>41</v>
      </c>
      <c r="AC23" s="61">
        <v>41</v>
      </c>
      <c r="AD23" s="61">
        <v>39</v>
      </c>
      <c r="AE23" s="61">
        <v>39</v>
      </c>
      <c r="AF23" s="61">
        <v>40</v>
      </c>
      <c r="AG23" s="83">
        <v>40</v>
      </c>
      <c r="AI23" s="85">
        <v>8</v>
      </c>
      <c r="AJ23" s="61">
        <v>10</v>
      </c>
      <c r="AK23" s="61">
        <v>12</v>
      </c>
      <c r="AL23" s="61">
        <v>14</v>
      </c>
      <c r="AM23" s="61">
        <v>23</v>
      </c>
      <c r="AN23" s="61">
        <v>12</v>
      </c>
      <c r="AO23" s="61">
        <v>12</v>
      </c>
      <c r="AP23" s="61">
        <v>15</v>
      </c>
      <c r="AQ23" s="61">
        <v>28</v>
      </c>
      <c r="AR23" s="122">
        <v>90</v>
      </c>
      <c r="AS23" s="61">
        <v>87</v>
      </c>
      <c r="AT23" s="61">
        <v>87</v>
      </c>
      <c r="AU23" s="61">
        <v>84</v>
      </c>
      <c r="AV23" s="61">
        <v>91</v>
      </c>
      <c r="AW23" s="61">
        <v>89</v>
      </c>
      <c r="AX23" s="61">
        <v>87</v>
      </c>
      <c r="AY23" s="89">
        <v>89</v>
      </c>
      <c r="AZ23" s="61">
        <v>21</v>
      </c>
      <c r="BA23" s="61">
        <v>20</v>
      </c>
      <c r="BB23" s="61">
        <v>31</v>
      </c>
      <c r="BC23" s="61">
        <v>31</v>
      </c>
      <c r="BD23" s="61">
        <v>22</v>
      </c>
      <c r="BE23" s="61">
        <v>20</v>
      </c>
      <c r="BF23" s="61">
        <v>26</v>
      </c>
      <c r="BG23" s="89">
        <v>26</v>
      </c>
    </row>
    <row r="24" spans="2:59">
      <c r="B24" s="99"/>
      <c r="C24" s="61"/>
      <c r="I24" s="80">
        <v>7</v>
      </c>
      <c r="J24" s="81"/>
      <c r="K24" s="82"/>
      <c r="L24" s="82"/>
      <c r="M24" s="82"/>
      <c r="N24" s="82"/>
      <c r="O24" s="82"/>
      <c r="P24" s="82"/>
      <c r="Q24" s="84"/>
      <c r="R24" s="80">
        <v>53</v>
      </c>
      <c r="S24" s="61">
        <v>54</v>
      </c>
      <c r="T24" s="61">
        <v>54</v>
      </c>
      <c r="U24" s="61">
        <v>54</v>
      </c>
      <c r="V24" s="61">
        <v>54</v>
      </c>
      <c r="W24" s="61">
        <v>54</v>
      </c>
      <c r="X24" s="61">
        <v>54</v>
      </c>
      <c r="Y24" s="83">
        <v>55</v>
      </c>
      <c r="Z24" s="81"/>
      <c r="AA24" s="82"/>
      <c r="AB24" s="82"/>
      <c r="AC24" s="82"/>
      <c r="AD24" s="82"/>
      <c r="AE24" s="82"/>
      <c r="AF24" s="82"/>
      <c r="AG24" s="84"/>
      <c r="AI24" s="85">
        <v>7</v>
      </c>
      <c r="AJ24" s="86"/>
      <c r="AK24" s="86"/>
      <c r="AL24" s="86"/>
      <c r="AM24" s="86"/>
      <c r="AN24" s="86"/>
      <c r="AO24" s="86"/>
      <c r="AP24" s="86"/>
      <c r="AQ24" s="86"/>
      <c r="AR24" s="122">
        <v>71</v>
      </c>
      <c r="AS24" s="61">
        <v>75</v>
      </c>
      <c r="AT24" s="61">
        <v>71</v>
      </c>
      <c r="AU24" s="61">
        <v>70</v>
      </c>
      <c r="AV24" s="61">
        <v>78</v>
      </c>
      <c r="AW24" s="61">
        <v>72</v>
      </c>
      <c r="AX24" s="61">
        <v>74</v>
      </c>
      <c r="AY24" s="89">
        <v>79</v>
      </c>
      <c r="AZ24" s="86"/>
      <c r="BA24" s="86"/>
      <c r="BB24" s="86"/>
      <c r="BC24" s="86"/>
      <c r="BD24" s="86"/>
      <c r="BE24" s="86"/>
      <c r="BF24" s="86"/>
      <c r="BG24" s="88"/>
    </row>
    <row r="25" spans="2:59">
      <c r="B25" s="97" t="s">
        <v>77</v>
      </c>
      <c r="C25" s="61">
        <f>IFERROR(INDEX(B21:F23,MATCH(C4,B21:B23,0),MATCH(C3,B21:F21,0)),"")</f>
        <v>2</v>
      </c>
      <c r="I25" s="80">
        <v>6</v>
      </c>
      <c r="J25" s="81"/>
      <c r="K25" s="82"/>
      <c r="L25" s="82"/>
      <c r="M25" s="82"/>
      <c r="N25" s="82"/>
      <c r="O25" s="82"/>
      <c r="P25" s="82"/>
      <c r="Q25" s="84"/>
      <c r="R25" s="80">
        <v>48</v>
      </c>
      <c r="S25" s="61">
        <v>49</v>
      </c>
      <c r="T25" s="61">
        <v>49</v>
      </c>
      <c r="U25" s="61">
        <v>49</v>
      </c>
      <c r="V25" s="61">
        <v>49</v>
      </c>
      <c r="W25" s="61">
        <v>49</v>
      </c>
      <c r="X25" s="61">
        <v>49</v>
      </c>
      <c r="Y25" s="83">
        <v>50</v>
      </c>
      <c r="Z25" s="81"/>
      <c r="AA25" s="82"/>
      <c r="AB25" s="82"/>
      <c r="AC25" s="82"/>
      <c r="AD25" s="82"/>
      <c r="AE25" s="82"/>
      <c r="AF25" s="82"/>
      <c r="AG25" s="84"/>
      <c r="AI25" s="85">
        <v>6</v>
      </c>
      <c r="AJ25" s="86"/>
      <c r="AK25" s="86"/>
      <c r="AL25" s="86"/>
      <c r="AM25" s="86"/>
      <c r="AN25" s="86"/>
      <c r="AO25" s="86"/>
      <c r="AP25" s="86"/>
      <c r="AQ25" s="86"/>
      <c r="AR25" s="122">
        <v>50</v>
      </c>
      <c r="AS25" s="61">
        <v>60</v>
      </c>
      <c r="AT25" s="61">
        <v>61</v>
      </c>
      <c r="AU25" s="61">
        <v>57</v>
      </c>
      <c r="AV25" s="61">
        <v>62</v>
      </c>
      <c r="AW25" s="61">
        <v>61</v>
      </c>
      <c r="AX25" s="61">
        <v>58</v>
      </c>
      <c r="AY25" s="89">
        <v>64</v>
      </c>
      <c r="AZ25" s="86"/>
      <c r="BA25" s="86"/>
      <c r="BB25" s="86"/>
      <c r="BC25" s="86"/>
      <c r="BD25" s="86"/>
      <c r="BE25" s="86"/>
      <c r="BF25" s="86"/>
      <c r="BG25" s="88"/>
    </row>
    <row r="26" spans="2:59">
      <c r="I26" s="80">
        <v>5</v>
      </c>
      <c r="J26" s="81"/>
      <c r="K26" s="82"/>
      <c r="L26" s="82"/>
      <c r="M26" s="82"/>
      <c r="N26" s="82"/>
      <c r="O26" s="82"/>
      <c r="P26" s="82"/>
      <c r="Q26" s="84"/>
      <c r="R26" s="80">
        <v>43</v>
      </c>
      <c r="S26" s="61">
        <v>44</v>
      </c>
      <c r="T26" s="61">
        <v>44</v>
      </c>
      <c r="U26" s="61">
        <v>44</v>
      </c>
      <c r="V26" s="61">
        <v>44</v>
      </c>
      <c r="W26" s="61">
        <v>44</v>
      </c>
      <c r="X26" s="61">
        <v>44</v>
      </c>
      <c r="Y26" s="83">
        <v>45</v>
      </c>
      <c r="Z26" s="81"/>
      <c r="AA26" s="82"/>
      <c r="AB26" s="82"/>
      <c r="AC26" s="82"/>
      <c r="AD26" s="82"/>
      <c r="AE26" s="82"/>
      <c r="AF26" s="82"/>
      <c r="AG26" s="84"/>
      <c r="AI26" s="85">
        <v>5</v>
      </c>
      <c r="AJ26" s="86"/>
      <c r="AK26" s="86"/>
      <c r="AL26" s="86"/>
      <c r="AM26" s="86"/>
      <c r="AN26" s="86"/>
      <c r="AO26" s="86"/>
      <c r="AP26" s="86"/>
      <c r="AQ26" s="86"/>
      <c r="AR26" s="122">
        <v>37</v>
      </c>
      <c r="AS26" s="61">
        <v>45</v>
      </c>
      <c r="AT26" s="61">
        <v>46</v>
      </c>
      <c r="AU26" s="61">
        <v>46</v>
      </c>
      <c r="AV26" s="61">
        <v>48</v>
      </c>
      <c r="AW26" s="61">
        <v>47</v>
      </c>
      <c r="AX26" s="61">
        <v>45</v>
      </c>
      <c r="AY26" s="89">
        <v>50</v>
      </c>
      <c r="AZ26" s="86"/>
      <c r="BA26" s="86"/>
      <c r="BB26" s="86"/>
      <c r="BC26" s="86"/>
      <c r="BD26" s="86"/>
      <c r="BE26" s="86"/>
      <c r="BF26" s="86"/>
      <c r="BG26" s="88"/>
    </row>
    <row r="27" spans="2:59" ht="15.75" thickBot="1">
      <c r="B27" s="97"/>
      <c r="I27" s="127">
        <v>4</v>
      </c>
      <c r="J27" s="126"/>
      <c r="K27" s="124"/>
      <c r="L27" s="124"/>
      <c r="M27" s="124"/>
      <c r="N27" s="124"/>
      <c r="O27" s="124"/>
      <c r="P27" s="124"/>
      <c r="Q27" s="133"/>
      <c r="R27" s="127">
        <v>38</v>
      </c>
      <c r="S27" s="125">
        <v>39</v>
      </c>
      <c r="T27" s="125">
        <v>39</v>
      </c>
      <c r="U27" s="125">
        <v>39</v>
      </c>
      <c r="V27" s="125">
        <v>39</v>
      </c>
      <c r="W27" s="125">
        <v>39</v>
      </c>
      <c r="X27" s="125">
        <v>39</v>
      </c>
      <c r="Y27" s="141">
        <v>40</v>
      </c>
      <c r="Z27" s="126"/>
      <c r="AA27" s="124"/>
      <c r="AB27" s="124"/>
      <c r="AC27" s="124"/>
      <c r="AD27" s="124"/>
      <c r="AE27" s="124"/>
      <c r="AF27" s="124"/>
      <c r="AG27" s="133"/>
      <c r="AI27" s="102">
        <v>4</v>
      </c>
      <c r="AJ27" s="103"/>
      <c r="AK27" s="103"/>
      <c r="AL27" s="103"/>
      <c r="AM27" s="103"/>
      <c r="AN27" s="103"/>
      <c r="AO27" s="103"/>
      <c r="AP27" s="103"/>
      <c r="AQ27" s="103"/>
      <c r="AR27" s="142">
        <v>23</v>
      </c>
      <c r="AS27" s="105">
        <v>25</v>
      </c>
      <c r="AT27" s="105">
        <v>22</v>
      </c>
      <c r="AU27" s="105">
        <v>28</v>
      </c>
      <c r="AV27" s="105">
        <v>26</v>
      </c>
      <c r="AW27" s="105">
        <v>28</v>
      </c>
      <c r="AX27" s="105">
        <v>26</v>
      </c>
      <c r="AY27" s="106">
        <v>29</v>
      </c>
      <c r="AZ27" s="103"/>
      <c r="BA27" s="103"/>
      <c r="BB27" s="103"/>
      <c r="BC27" s="103"/>
      <c r="BD27" s="103"/>
      <c r="BE27" s="103"/>
      <c r="BF27" s="103"/>
      <c r="BG27" s="107"/>
    </row>
    <row r="28" spans="2:59" ht="16.5" thickTop="1" thickBot="1">
      <c r="I28" s="81" t="s">
        <v>78</v>
      </c>
      <c r="J28" s="82">
        <v>6</v>
      </c>
      <c r="K28" s="82">
        <v>6</v>
      </c>
      <c r="L28" s="82">
        <v>6</v>
      </c>
      <c r="M28" s="82">
        <v>6</v>
      </c>
      <c r="N28" s="82">
        <v>7</v>
      </c>
      <c r="O28" s="82">
        <v>7</v>
      </c>
      <c r="P28" s="82">
        <v>7</v>
      </c>
      <c r="Q28" s="82">
        <v>6</v>
      </c>
      <c r="R28" s="81">
        <v>7</v>
      </c>
      <c r="S28" s="82">
        <v>7</v>
      </c>
      <c r="T28" s="82">
        <v>8</v>
      </c>
      <c r="U28" s="82">
        <v>7</v>
      </c>
      <c r="V28" s="82">
        <v>9</v>
      </c>
      <c r="W28" s="82">
        <v>7</v>
      </c>
      <c r="X28" s="82">
        <v>8</v>
      </c>
      <c r="Y28" s="84">
        <v>8</v>
      </c>
      <c r="Z28" s="82">
        <v>6</v>
      </c>
      <c r="AA28" s="82">
        <v>7</v>
      </c>
      <c r="AB28" s="82">
        <v>6</v>
      </c>
      <c r="AC28" s="82">
        <v>6</v>
      </c>
      <c r="AD28" s="82">
        <v>7</v>
      </c>
      <c r="AE28" s="82">
        <v>7</v>
      </c>
      <c r="AF28" s="82">
        <v>7</v>
      </c>
      <c r="AG28" s="84">
        <v>7</v>
      </c>
    </row>
    <row r="29" spans="2:59" ht="15.75" thickTop="1">
      <c r="I29" s="112"/>
      <c r="J29" s="273" t="s">
        <v>79</v>
      </c>
      <c r="K29" s="273"/>
      <c r="L29" s="273"/>
      <c r="M29" s="273"/>
      <c r="N29" s="273"/>
      <c r="O29" s="273"/>
      <c r="P29" s="273"/>
      <c r="Q29" s="273"/>
      <c r="R29" s="278" t="s">
        <v>80</v>
      </c>
      <c r="S29" s="273"/>
      <c r="T29" s="273"/>
      <c r="U29" s="273"/>
      <c r="V29" s="273"/>
      <c r="W29" s="273"/>
      <c r="X29" s="273"/>
      <c r="Y29" s="274"/>
      <c r="Z29" s="273" t="s">
        <v>81</v>
      </c>
      <c r="AA29" s="273"/>
      <c r="AB29" s="273"/>
      <c r="AC29" s="273"/>
      <c r="AD29" s="273"/>
      <c r="AE29" s="273"/>
      <c r="AF29" s="273"/>
      <c r="AG29" s="274"/>
      <c r="AI29" s="63"/>
      <c r="AJ29" s="267" t="s">
        <v>82</v>
      </c>
      <c r="AK29" s="267"/>
      <c r="AL29" s="267"/>
      <c r="AM29" s="267"/>
      <c r="AN29" s="267"/>
      <c r="AO29" s="267"/>
      <c r="AP29" s="267"/>
      <c r="AQ29" s="267"/>
      <c r="AR29" s="271" t="s">
        <v>83</v>
      </c>
      <c r="AS29" s="267"/>
      <c r="AT29" s="267"/>
      <c r="AU29" s="267"/>
      <c r="AV29" s="267"/>
      <c r="AW29" s="267"/>
      <c r="AX29" s="267"/>
      <c r="AY29" s="268"/>
      <c r="AZ29" s="267" t="s">
        <v>84</v>
      </c>
      <c r="BA29" s="267"/>
      <c r="BB29" s="267"/>
      <c r="BC29" s="267"/>
      <c r="BD29" s="267"/>
      <c r="BE29" s="267"/>
      <c r="BF29" s="267"/>
      <c r="BG29" s="268"/>
    </row>
    <row r="30" spans="2:59">
      <c r="I30" s="113"/>
      <c r="J30" s="269" t="s">
        <v>8</v>
      </c>
      <c r="K30" s="269"/>
      <c r="L30" s="269"/>
      <c r="M30" s="269"/>
      <c r="N30" s="269" t="s">
        <v>61</v>
      </c>
      <c r="O30" s="269"/>
      <c r="P30" s="269"/>
      <c r="Q30" s="269"/>
      <c r="R30" s="279" t="s">
        <v>8</v>
      </c>
      <c r="S30" s="269"/>
      <c r="T30" s="269"/>
      <c r="U30" s="269"/>
      <c r="V30" s="269" t="s">
        <v>61</v>
      </c>
      <c r="W30" s="269"/>
      <c r="X30" s="269"/>
      <c r="Y30" s="275"/>
      <c r="Z30" s="269" t="s">
        <v>8</v>
      </c>
      <c r="AA30" s="269"/>
      <c r="AB30" s="269"/>
      <c r="AC30" s="269"/>
      <c r="AD30" s="269" t="s">
        <v>61</v>
      </c>
      <c r="AE30" s="269"/>
      <c r="AF30" s="269"/>
      <c r="AG30" s="275"/>
      <c r="AI30" s="65"/>
      <c r="AJ30" s="269" t="s">
        <v>8</v>
      </c>
      <c r="AK30" s="269"/>
      <c r="AL30" s="269"/>
      <c r="AM30" s="269"/>
      <c r="AN30" s="269" t="s">
        <v>61</v>
      </c>
      <c r="AO30" s="269"/>
      <c r="AP30" s="269"/>
      <c r="AQ30" s="269"/>
      <c r="AR30" s="272" t="s">
        <v>8</v>
      </c>
      <c r="AS30" s="269"/>
      <c r="AT30" s="269"/>
      <c r="AU30" s="269"/>
      <c r="AV30" s="269" t="s">
        <v>61</v>
      </c>
      <c r="AW30" s="269"/>
      <c r="AX30" s="269"/>
      <c r="AY30" s="270"/>
      <c r="AZ30" s="269" t="s">
        <v>8</v>
      </c>
      <c r="BA30" s="269"/>
      <c r="BB30" s="269"/>
      <c r="BC30" s="269"/>
      <c r="BD30" s="269" t="s">
        <v>61</v>
      </c>
      <c r="BE30" s="269"/>
      <c r="BF30" s="269"/>
      <c r="BG30" s="270"/>
    </row>
    <row r="31" spans="2:59">
      <c r="I31" s="114" t="s">
        <v>66</v>
      </c>
      <c r="J31" s="70" t="s">
        <v>4</v>
      </c>
      <c r="K31" s="70" t="s">
        <v>67</v>
      </c>
      <c r="L31" s="70" t="s">
        <v>68</v>
      </c>
      <c r="M31" s="70" t="s">
        <v>51</v>
      </c>
      <c r="N31" s="70" t="s">
        <v>4</v>
      </c>
      <c r="O31" s="70" t="s">
        <v>67</v>
      </c>
      <c r="P31" s="70" t="s">
        <v>68</v>
      </c>
      <c r="Q31" s="70" t="s">
        <v>51</v>
      </c>
      <c r="R31" s="69" t="s">
        <v>4</v>
      </c>
      <c r="S31" s="70" t="s">
        <v>67</v>
      </c>
      <c r="T31" s="70" t="s">
        <v>68</v>
      </c>
      <c r="U31" s="70" t="s">
        <v>51</v>
      </c>
      <c r="V31" s="70" t="s">
        <v>4</v>
      </c>
      <c r="W31" s="70" t="s">
        <v>67</v>
      </c>
      <c r="X31" s="70" t="s">
        <v>68</v>
      </c>
      <c r="Y31" s="71" t="s">
        <v>51</v>
      </c>
      <c r="Z31" s="70" t="s">
        <v>4</v>
      </c>
      <c r="AA31" s="70" t="s">
        <v>67</v>
      </c>
      <c r="AB31" s="70" t="s">
        <v>68</v>
      </c>
      <c r="AC31" s="70" t="s">
        <v>51</v>
      </c>
      <c r="AD31" s="70" t="s">
        <v>4</v>
      </c>
      <c r="AE31" s="70" t="s">
        <v>67</v>
      </c>
      <c r="AF31" s="70" t="s">
        <v>68</v>
      </c>
      <c r="AG31" s="71" t="s">
        <v>51</v>
      </c>
      <c r="AI31" s="72" t="s">
        <v>66</v>
      </c>
      <c r="AJ31" s="70" t="s">
        <v>4</v>
      </c>
      <c r="AK31" s="70" t="s">
        <v>67</v>
      </c>
      <c r="AL31" s="70" t="s">
        <v>68</v>
      </c>
      <c r="AM31" s="70" t="s">
        <v>51</v>
      </c>
      <c r="AN31" s="70" t="s">
        <v>4</v>
      </c>
      <c r="AO31" s="70" t="s">
        <v>67</v>
      </c>
      <c r="AP31" s="70" t="s">
        <v>68</v>
      </c>
      <c r="AQ31" s="70" t="s">
        <v>51</v>
      </c>
      <c r="AR31" s="73" t="s">
        <v>4</v>
      </c>
      <c r="AS31" s="70" t="s">
        <v>67</v>
      </c>
      <c r="AT31" s="70" t="s">
        <v>68</v>
      </c>
      <c r="AU31" s="70" t="s">
        <v>51</v>
      </c>
      <c r="AV31" s="70" t="s">
        <v>4</v>
      </c>
      <c r="AW31" s="70" t="s">
        <v>67</v>
      </c>
      <c r="AX31" s="70" t="s">
        <v>68</v>
      </c>
      <c r="AY31" s="74" t="s">
        <v>51</v>
      </c>
      <c r="AZ31" s="70" t="s">
        <v>4</v>
      </c>
      <c r="BA31" s="70" t="s">
        <v>67</v>
      </c>
      <c r="BB31" s="70" t="s">
        <v>68</v>
      </c>
      <c r="BC31" s="70" t="s">
        <v>51</v>
      </c>
      <c r="BD31" s="70" t="s">
        <v>4</v>
      </c>
      <c r="BE31" s="70" t="s">
        <v>67</v>
      </c>
      <c r="BF31" s="70" t="s">
        <v>68</v>
      </c>
      <c r="BG31" s="74" t="s">
        <v>51</v>
      </c>
    </row>
    <row r="32" spans="2:59">
      <c r="I32" s="115">
        <v>24</v>
      </c>
      <c r="J32" s="61">
        <v>82</v>
      </c>
      <c r="K32" s="61">
        <v>84</v>
      </c>
      <c r="L32" s="61">
        <v>84</v>
      </c>
      <c r="M32" s="61">
        <v>84</v>
      </c>
      <c r="N32" s="61">
        <v>83</v>
      </c>
      <c r="O32" s="61">
        <v>83</v>
      </c>
      <c r="P32" s="61">
        <v>83</v>
      </c>
      <c r="Q32" s="61">
        <v>83</v>
      </c>
      <c r="R32" s="81"/>
      <c r="S32" s="82"/>
      <c r="T32" s="82"/>
      <c r="U32" s="82"/>
      <c r="V32" s="82"/>
      <c r="W32" s="82"/>
      <c r="X32" s="82"/>
      <c r="Y32" s="84"/>
      <c r="Z32" s="61">
        <v>80</v>
      </c>
      <c r="AA32" s="61">
        <v>80</v>
      </c>
      <c r="AB32" s="61">
        <v>85</v>
      </c>
      <c r="AC32" s="61">
        <v>85</v>
      </c>
      <c r="AD32" s="61">
        <v>83</v>
      </c>
      <c r="AE32" s="61">
        <v>83</v>
      </c>
      <c r="AF32" s="61">
        <v>83</v>
      </c>
      <c r="AG32" s="83">
        <v>87</v>
      </c>
      <c r="AI32" s="85">
        <v>24</v>
      </c>
      <c r="AJ32" s="61" t="s">
        <v>70</v>
      </c>
      <c r="AK32" s="61" t="s">
        <v>70</v>
      </c>
      <c r="AL32" s="61" t="s">
        <v>70</v>
      </c>
      <c r="AM32" s="61" t="s">
        <v>70</v>
      </c>
      <c r="AN32" s="61" t="s">
        <v>70</v>
      </c>
      <c r="AO32" s="61" t="s">
        <v>70</v>
      </c>
      <c r="AP32" s="61" t="s">
        <v>70</v>
      </c>
      <c r="AQ32" s="61" t="s">
        <v>70</v>
      </c>
      <c r="AR32" s="87"/>
      <c r="AS32" s="86"/>
      <c r="AT32" s="86"/>
      <c r="AU32" s="86"/>
      <c r="AV32" s="86"/>
      <c r="AW32" s="86"/>
      <c r="AX32" s="86"/>
      <c r="AY32" s="88"/>
      <c r="AZ32" s="61" t="s">
        <v>70</v>
      </c>
      <c r="BA32" s="61" t="s">
        <v>70</v>
      </c>
      <c r="BB32" s="61" t="s">
        <v>70</v>
      </c>
      <c r="BC32" s="61" t="s">
        <v>70</v>
      </c>
      <c r="BD32" s="61" t="s">
        <v>70</v>
      </c>
      <c r="BE32" s="61" t="s">
        <v>70</v>
      </c>
      <c r="BF32" s="61" t="s">
        <v>70</v>
      </c>
      <c r="BG32" s="89" t="s">
        <v>70</v>
      </c>
    </row>
    <row r="33" spans="9:59">
      <c r="I33" s="115">
        <v>23</v>
      </c>
      <c r="J33" s="61">
        <v>79</v>
      </c>
      <c r="K33" s="61">
        <v>81</v>
      </c>
      <c r="L33" s="61">
        <v>82</v>
      </c>
      <c r="M33" s="61">
        <v>82</v>
      </c>
      <c r="N33" s="61">
        <v>80</v>
      </c>
      <c r="O33" s="61">
        <v>80</v>
      </c>
      <c r="P33" s="61">
        <v>80</v>
      </c>
      <c r="Q33" s="61">
        <v>80</v>
      </c>
      <c r="R33" s="81"/>
      <c r="S33" s="82"/>
      <c r="T33" s="82"/>
      <c r="U33" s="82"/>
      <c r="V33" s="82"/>
      <c r="W33" s="82"/>
      <c r="X33" s="82"/>
      <c r="Y33" s="84"/>
      <c r="Z33" s="61">
        <v>77</v>
      </c>
      <c r="AA33" s="61">
        <v>77</v>
      </c>
      <c r="AB33" s="61">
        <v>82</v>
      </c>
      <c r="AC33" s="61">
        <v>82</v>
      </c>
      <c r="AD33" s="61">
        <v>80</v>
      </c>
      <c r="AE33" s="61">
        <v>80</v>
      </c>
      <c r="AF33" s="61">
        <v>80</v>
      </c>
      <c r="AG33" s="83">
        <v>84</v>
      </c>
      <c r="AI33" s="85">
        <v>23</v>
      </c>
      <c r="AJ33" s="61">
        <v>99</v>
      </c>
      <c r="AK33" s="61" t="s">
        <v>70</v>
      </c>
      <c r="AL33" s="61">
        <v>99</v>
      </c>
      <c r="AM33" s="61" t="s">
        <v>70</v>
      </c>
      <c r="AN33" s="61" t="s">
        <v>70</v>
      </c>
      <c r="AO33" s="61" t="s">
        <v>70</v>
      </c>
      <c r="AP33" s="61" t="s">
        <v>70</v>
      </c>
      <c r="AQ33" s="61">
        <v>99</v>
      </c>
      <c r="AR33" s="87"/>
      <c r="AS33" s="86"/>
      <c r="AT33" s="86"/>
      <c r="AU33" s="86"/>
      <c r="AV33" s="86"/>
      <c r="AW33" s="86"/>
      <c r="AX33" s="86"/>
      <c r="AY33" s="88"/>
      <c r="AZ33" s="61" t="s">
        <v>70</v>
      </c>
      <c r="BA33" s="61" t="s">
        <v>70</v>
      </c>
      <c r="BB33" s="61" t="s">
        <v>70</v>
      </c>
      <c r="BC33" s="61" t="s">
        <v>70</v>
      </c>
      <c r="BD33" s="61" t="s">
        <v>70</v>
      </c>
      <c r="BE33" s="61">
        <v>99</v>
      </c>
      <c r="BF33" s="61">
        <v>99</v>
      </c>
      <c r="BG33" s="89" t="s">
        <v>70</v>
      </c>
    </row>
    <row r="34" spans="9:59">
      <c r="I34" s="115">
        <v>22</v>
      </c>
      <c r="J34" s="61">
        <v>77</v>
      </c>
      <c r="K34" s="61">
        <v>78</v>
      </c>
      <c r="L34" s="61">
        <v>80</v>
      </c>
      <c r="M34" s="61">
        <v>80</v>
      </c>
      <c r="N34" s="61">
        <v>77</v>
      </c>
      <c r="O34" s="61">
        <v>77</v>
      </c>
      <c r="P34" s="61">
        <v>78</v>
      </c>
      <c r="Q34" s="61">
        <v>78</v>
      </c>
      <c r="R34" s="81"/>
      <c r="S34" s="82"/>
      <c r="T34" s="82"/>
      <c r="U34" s="82"/>
      <c r="V34" s="82"/>
      <c r="W34" s="82"/>
      <c r="X34" s="82"/>
      <c r="Y34" s="84"/>
      <c r="Z34" s="61">
        <v>74</v>
      </c>
      <c r="AA34" s="61">
        <v>74</v>
      </c>
      <c r="AB34" s="61">
        <v>77</v>
      </c>
      <c r="AC34" s="61">
        <v>77</v>
      </c>
      <c r="AD34" s="61">
        <v>77</v>
      </c>
      <c r="AE34" s="61">
        <v>77</v>
      </c>
      <c r="AF34" s="61">
        <v>78</v>
      </c>
      <c r="AG34" s="83">
        <v>82</v>
      </c>
      <c r="AI34" s="85">
        <v>22</v>
      </c>
      <c r="AJ34" s="61">
        <v>99</v>
      </c>
      <c r="AK34" s="61" t="s">
        <v>70</v>
      </c>
      <c r="AL34" s="61">
        <v>99</v>
      </c>
      <c r="AM34" s="61">
        <v>99</v>
      </c>
      <c r="AN34" s="61">
        <v>99</v>
      </c>
      <c r="AO34" s="61" t="s">
        <v>70</v>
      </c>
      <c r="AP34" s="61">
        <v>99</v>
      </c>
      <c r="AQ34" s="61">
        <v>98</v>
      </c>
      <c r="AR34" s="87"/>
      <c r="AS34" s="86"/>
      <c r="AT34" s="86"/>
      <c r="AU34" s="86"/>
      <c r="AV34" s="86"/>
      <c r="AW34" s="86"/>
      <c r="AX34" s="86"/>
      <c r="AY34" s="88"/>
      <c r="AZ34" s="61" t="s">
        <v>70</v>
      </c>
      <c r="BA34" s="61">
        <v>99</v>
      </c>
      <c r="BB34" s="61">
        <v>99</v>
      </c>
      <c r="BC34" s="61">
        <v>99</v>
      </c>
      <c r="BD34" s="61" t="s">
        <v>70</v>
      </c>
      <c r="BE34" s="61">
        <v>99</v>
      </c>
      <c r="BF34" s="61">
        <v>99</v>
      </c>
      <c r="BG34" s="89" t="s">
        <v>70</v>
      </c>
    </row>
    <row r="35" spans="9:59">
      <c r="I35" s="115">
        <v>21</v>
      </c>
      <c r="J35" s="61">
        <v>74</v>
      </c>
      <c r="K35" s="61">
        <v>76</v>
      </c>
      <c r="L35" s="61">
        <v>76</v>
      </c>
      <c r="M35" s="61">
        <v>76</v>
      </c>
      <c r="N35" s="61">
        <v>75</v>
      </c>
      <c r="O35" s="61">
        <v>75</v>
      </c>
      <c r="P35" s="61">
        <v>75</v>
      </c>
      <c r="Q35" s="61">
        <v>75</v>
      </c>
      <c r="R35" s="81"/>
      <c r="S35" s="82"/>
      <c r="T35" s="82"/>
      <c r="U35" s="82"/>
      <c r="V35" s="82"/>
      <c r="W35" s="82"/>
      <c r="X35" s="82"/>
      <c r="Y35" s="84"/>
      <c r="Z35" s="61">
        <v>72</v>
      </c>
      <c r="AA35" s="61">
        <v>72</v>
      </c>
      <c r="AB35" s="61">
        <v>76</v>
      </c>
      <c r="AC35" s="61">
        <v>76</v>
      </c>
      <c r="AD35" s="61">
        <v>75</v>
      </c>
      <c r="AE35" s="61">
        <v>75</v>
      </c>
      <c r="AF35" s="61">
        <v>75</v>
      </c>
      <c r="AG35" s="83">
        <v>79</v>
      </c>
      <c r="AI35" s="85">
        <v>21</v>
      </c>
      <c r="AJ35" s="61">
        <v>98</v>
      </c>
      <c r="AK35" s="61">
        <v>97</v>
      </c>
      <c r="AL35" s="61">
        <v>97</v>
      </c>
      <c r="AM35" s="61">
        <v>98</v>
      </c>
      <c r="AN35" s="61">
        <v>99</v>
      </c>
      <c r="AO35" s="61">
        <v>98</v>
      </c>
      <c r="AP35" s="61">
        <v>99</v>
      </c>
      <c r="AQ35" s="61">
        <v>97</v>
      </c>
      <c r="AR35" s="87"/>
      <c r="AS35" s="86"/>
      <c r="AT35" s="86"/>
      <c r="AU35" s="86"/>
      <c r="AV35" s="86"/>
      <c r="AW35" s="86"/>
      <c r="AX35" s="86"/>
      <c r="AY35" s="88"/>
      <c r="AZ35" s="61" t="s">
        <v>70</v>
      </c>
      <c r="BA35" s="61">
        <v>97</v>
      </c>
      <c r="BB35" s="61">
        <v>99</v>
      </c>
      <c r="BC35" s="61">
        <v>98</v>
      </c>
      <c r="BD35" s="61">
        <v>99</v>
      </c>
      <c r="BE35" s="61">
        <v>99</v>
      </c>
      <c r="BF35" s="61">
        <v>99</v>
      </c>
      <c r="BG35" s="89">
        <v>99</v>
      </c>
    </row>
    <row r="36" spans="9:59">
      <c r="I36" s="115">
        <v>20</v>
      </c>
      <c r="J36" s="61">
        <v>71</v>
      </c>
      <c r="K36" s="61">
        <v>73</v>
      </c>
      <c r="L36" s="61">
        <v>74</v>
      </c>
      <c r="M36" s="61">
        <v>74</v>
      </c>
      <c r="N36" s="61">
        <v>72</v>
      </c>
      <c r="O36" s="61">
        <v>72</v>
      </c>
      <c r="P36" s="61">
        <v>74</v>
      </c>
      <c r="Q36" s="61">
        <v>74</v>
      </c>
      <c r="R36" s="81"/>
      <c r="S36" s="82"/>
      <c r="T36" s="82"/>
      <c r="U36" s="82"/>
      <c r="V36" s="82"/>
      <c r="W36" s="82"/>
      <c r="X36" s="82"/>
      <c r="Y36" s="84"/>
      <c r="Z36" s="61">
        <v>69</v>
      </c>
      <c r="AA36" s="61">
        <v>69</v>
      </c>
      <c r="AB36" s="61">
        <v>72</v>
      </c>
      <c r="AC36" s="61">
        <v>72</v>
      </c>
      <c r="AD36" s="61">
        <v>72</v>
      </c>
      <c r="AE36" s="61">
        <v>72</v>
      </c>
      <c r="AF36" s="61">
        <v>72</v>
      </c>
      <c r="AG36" s="83">
        <v>76</v>
      </c>
      <c r="AI36" s="85">
        <v>20</v>
      </c>
      <c r="AJ36" s="61">
        <v>97</v>
      </c>
      <c r="AK36" s="61">
        <v>96</v>
      </c>
      <c r="AL36" s="61">
        <v>96</v>
      </c>
      <c r="AM36" s="61">
        <v>96</v>
      </c>
      <c r="AN36" s="61">
        <v>98</v>
      </c>
      <c r="AO36" s="61">
        <v>97</v>
      </c>
      <c r="AP36" s="61">
        <v>99</v>
      </c>
      <c r="AQ36" s="61">
        <v>96</v>
      </c>
      <c r="AR36" s="87"/>
      <c r="AS36" s="86"/>
      <c r="AT36" s="86"/>
      <c r="AU36" s="86"/>
      <c r="AV36" s="86"/>
      <c r="AW36" s="86"/>
      <c r="AX36" s="86"/>
      <c r="AY36" s="88"/>
      <c r="AZ36" s="61">
        <v>99</v>
      </c>
      <c r="BA36" s="61">
        <v>94</v>
      </c>
      <c r="BB36" s="61">
        <v>97</v>
      </c>
      <c r="BC36" s="61">
        <v>98</v>
      </c>
      <c r="BD36" s="61">
        <v>97</v>
      </c>
      <c r="BE36" s="61">
        <v>98</v>
      </c>
      <c r="BF36" s="61">
        <v>99</v>
      </c>
      <c r="BG36" s="89">
        <v>98</v>
      </c>
    </row>
    <row r="37" spans="9:59">
      <c r="I37" s="115">
        <v>19</v>
      </c>
      <c r="J37" s="61">
        <v>69</v>
      </c>
      <c r="K37" s="61">
        <v>70</v>
      </c>
      <c r="L37" s="61">
        <v>72</v>
      </c>
      <c r="M37" s="61">
        <v>72</v>
      </c>
      <c r="N37" s="61">
        <v>70</v>
      </c>
      <c r="O37" s="61">
        <v>70</v>
      </c>
      <c r="P37" s="61">
        <v>71</v>
      </c>
      <c r="Q37" s="61">
        <v>71</v>
      </c>
      <c r="R37" s="81"/>
      <c r="S37" s="82"/>
      <c r="T37" s="82"/>
      <c r="U37" s="82"/>
      <c r="V37" s="82"/>
      <c r="W37" s="82"/>
      <c r="X37" s="82"/>
      <c r="Y37" s="84"/>
      <c r="Z37" s="61">
        <v>66</v>
      </c>
      <c r="AA37" s="61">
        <v>66</v>
      </c>
      <c r="AB37" s="61">
        <v>71</v>
      </c>
      <c r="AC37" s="61">
        <v>71</v>
      </c>
      <c r="AD37" s="61">
        <v>69</v>
      </c>
      <c r="AE37" s="61">
        <v>69</v>
      </c>
      <c r="AF37" s="61">
        <v>70</v>
      </c>
      <c r="AG37" s="83">
        <v>73</v>
      </c>
      <c r="AI37" s="85">
        <v>19</v>
      </c>
      <c r="AJ37" s="61">
        <v>95</v>
      </c>
      <c r="AK37" s="61">
        <v>96</v>
      </c>
      <c r="AL37" s="61">
        <v>95</v>
      </c>
      <c r="AM37" s="61">
        <v>96</v>
      </c>
      <c r="AN37" s="61">
        <v>96</v>
      </c>
      <c r="AO37" s="61">
        <v>94</v>
      </c>
      <c r="AP37" s="61">
        <v>99</v>
      </c>
      <c r="AQ37" s="61">
        <v>94</v>
      </c>
      <c r="AR37" s="87"/>
      <c r="AS37" s="86"/>
      <c r="AT37" s="86"/>
      <c r="AU37" s="86"/>
      <c r="AV37" s="86"/>
      <c r="AW37" s="86"/>
      <c r="AX37" s="86"/>
      <c r="AY37" s="88"/>
      <c r="AZ37" s="61">
        <v>96</v>
      </c>
      <c r="BA37" s="61">
        <v>90</v>
      </c>
      <c r="BB37" s="61">
        <v>96</v>
      </c>
      <c r="BC37" s="61">
        <v>96</v>
      </c>
      <c r="BD37" s="61">
        <v>97</v>
      </c>
      <c r="BE37" s="61">
        <v>96</v>
      </c>
      <c r="BF37" s="61">
        <v>97</v>
      </c>
      <c r="BG37" s="89">
        <v>97</v>
      </c>
    </row>
    <row r="38" spans="9:59">
      <c r="I38" s="115">
        <v>18</v>
      </c>
      <c r="J38" s="61">
        <v>66</v>
      </c>
      <c r="K38" s="61">
        <v>67</v>
      </c>
      <c r="L38" s="61">
        <v>68</v>
      </c>
      <c r="M38" s="61">
        <v>68</v>
      </c>
      <c r="N38" s="61">
        <v>67</v>
      </c>
      <c r="O38" s="61">
        <v>67</v>
      </c>
      <c r="P38" s="61">
        <v>68</v>
      </c>
      <c r="Q38" s="61">
        <v>68</v>
      </c>
      <c r="R38" s="81"/>
      <c r="S38" s="82"/>
      <c r="T38" s="82"/>
      <c r="U38" s="82"/>
      <c r="V38" s="82"/>
      <c r="W38" s="82"/>
      <c r="X38" s="82"/>
      <c r="Y38" s="84"/>
      <c r="Z38" s="61">
        <v>64</v>
      </c>
      <c r="AA38" s="61">
        <v>64</v>
      </c>
      <c r="AB38" s="61">
        <v>67</v>
      </c>
      <c r="AC38" s="61">
        <v>67</v>
      </c>
      <c r="AD38" s="61">
        <v>66</v>
      </c>
      <c r="AE38" s="61">
        <v>66</v>
      </c>
      <c r="AF38" s="61">
        <v>67</v>
      </c>
      <c r="AG38" s="83">
        <v>70</v>
      </c>
      <c r="AI38" s="85">
        <v>18</v>
      </c>
      <c r="AJ38" s="61">
        <v>94</v>
      </c>
      <c r="AK38" s="61">
        <v>93</v>
      </c>
      <c r="AL38" s="61">
        <v>94</v>
      </c>
      <c r="AM38" s="61">
        <v>94</v>
      </c>
      <c r="AN38" s="61">
        <v>95</v>
      </c>
      <c r="AO38" s="61">
        <v>93</v>
      </c>
      <c r="AP38" s="61">
        <v>95</v>
      </c>
      <c r="AQ38" s="61">
        <v>92</v>
      </c>
      <c r="AR38" s="87"/>
      <c r="AS38" s="86"/>
      <c r="AT38" s="86"/>
      <c r="AU38" s="86"/>
      <c r="AV38" s="86"/>
      <c r="AW38" s="86"/>
      <c r="AX38" s="86"/>
      <c r="AY38" s="88"/>
      <c r="AZ38" s="61">
        <v>93</v>
      </c>
      <c r="BA38" s="61">
        <v>86</v>
      </c>
      <c r="BB38" s="61">
        <v>95</v>
      </c>
      <c r="BC38" s="61">
        <v>94</v>
      </c>
      <c r="BD38" s="61">
        <v>94</v>
      </c>
      <c r="BE38" s="61">
        <v>92</v>
      </c>
      <c r="BF38" s="61">
        <v>95</v>
      </c>
      <c r="BG38" s="89">
        <v>95</v>
      </c>
    </row>
    <row r="39" spans="9:59">
      <c r="I39" s="115">
        <v>17</v>
      </c>
      <c r="J39" s="61">
        <v>64</v>
      </c>
      <c r="K39" s="61">
        <v>65</v>
      </c>
      <c r="L39" s="61">
        <v>66</v>
      </c>
      <c r="M39" s="61">
        <v>66</v>
      </c>
      <c r="N39" s="61">
        <v>64</v>
      </c>
      <c r="O39" s="61">
        <v>64</v>
      </c>
      <c r="P39" s="61">
        <v>65</v>
      </c>
      <c r="Q39" s="61">
        <v>65</v>
      </c>
      <c r="R39" s="81"/>
      <c r="S39" s="82"/>
      <c r="T39" s="82"/>
      <c r="U39" s="82"/>
      <c r="V39" s="82"/>
      <c r="W39" s="82"/>
      <c r="X39" s="82"/>
      <c r="Y39" s="84"/>
      <c r="Z39" s="61">
        <v>63</v>
      </c>
      <c r="AA39" s="61">
        <v>63</v>
      </c>
      <c r="AB39" s="61">
        <v>65</v>
      </c>
      <c r="AC39" s="61">
        <v>65</v>
      </c>
      <c r="AD39" s="61">
        <v>64</v>
      </c>
      <c r="AE39" s="61">
        <v>64</v>
      </c>
      <c r="AF39" s="61">
        <v>64</v>
      </c>
      <c r="AG39" s="83">
        <v>67</v>
      </c>
      <c r="AI39" s="85">
        <v>17</v>
      </c>
      <c r="AJ39" s="61">
        <v>91</v>
      </c>
      <c r="AK39" s="61">
        <v>93</v>
      </c>
      <c r="AL39" s="61">
        <v>94</v>
      </c>
      <c r="AM39" s="61">
        <v>94</v>
      </c>
      <c r="AN39" s="61">
        <v>92</v>
      </c>
      <c r="AO39" s="61">
        <v>92</v>
      </c>
      <c r="AP39" s="61">
        <v>93</v>
      </c>
      <c r="AQ39" s="61">
        <v>89</v>
      </c>
      <c r="AR39" s="87"/>
      <c r="AS39" s="86"/>
      <c r="AT39" s="86"/>
      <c r="AU39" s="86"/>
      <c r="AV39" s="86"/>
      <c r="AW39" s="86"/>
      <c r="AX39" s="86"/>
      <c r="AY39" s="88"/>
      <c r="AZ39" s="61">
        <v>92</v>
      </c>
      <c r="BA39" s="61">
        <v>84</v>
      </c>
      <c r="BB39" s="61">
        <v>94</v>
      </c>
      <c r="BC39" s="61">
        <v>92</v>
      </c>
      <c r="BD39" s="61">
        <v>94</v>
      </c>
      <c r="BE39" s="61">
        <v>89</v>
      </c>
      <c r="BF39" s="61">
        <v>92</v>
      </c>
      <c r="BG39" s="89">
        <v>92</v>
      </c>
    </row>
    <row r="40" spans="9:59">
      <c r="I40" s="115">
        <v>16</v>
      </c>
      <c r="J40" s="61">
        <v>61</v>
      </c>
      <c r="K40" s="61">
        <v>62</v>
      </c>
      <c r="L40" s="61">
        <v>64</v>
      </c>
      <c r="M40" s="61">
        <v>64</v>
      </c>
      <c r="N40" s="61">
        <v>62</v>
      </c>
      <c r="O40" s="61">
        <v>62</v>
      </c>
      <c r="P40" s="61">
        <v>62</v>
      </c>
      <c r="Q40" s="61">
        <v>62</v>
      </c>
      <c r="R40" s="81"/>
      <c r="S40" s="82"/>
      <c r="T40" s="82"/>
      <c r="U40" s="82"/>
      <c r="V40" s="82"/>
      <c r="W40" s="82"/>
      <c r="X40" s="82"/>
      <c r="Y40" s="84"/>
      <c r="Z40" s="61">
        <v>59</v>
      </c>
      <c r="AA40" s="61">
        <v>59</v>
      </c>
      <c r="AB40" s="61">
        <v>61</v>
      </c>
      <c r="AC40" s="61">
        <v>61</v>
      </c>
      <c r="AD40" s="61">
        <v>61</v>
      </c>
      <c r="AE40" s="61">
        <v>61</v>
      </c>
      <c r="AF40" s="61">
        <v>61</v>
      </c>
      <c r="AG40" s="83">
        <v>64</v>
      </c>
      <c r="AI40" s="85">
        <v>16</v>
      </c>
      <c r="AJ40" s="61">
        <v>89</v>
      </c>
      <c r="AK40" s="61">
        <v>88</v>
      </c>
      <c r="AL40" s="61">
        <v>92</v>
      </c>
      <c r="AM40" s="61">
        <v>90</v>
      </c>
      <c r="AN40" s="61">
        <v>91</v>
      </c>
      <c r="AO40" s="61">
        <v>88</v>
      </c>
      <c r="AP40" s="61">
        <v>90</v>
      </c>
      <c r="AQ40" s="61">
        <v>86</v>
      </c>
      <c r="AR40" s="87"/>
      <c r="AS40" s="86"/>
      <c r="AT40" s="86"/>
      <c r="AU40" s="86"/>
      <c r="AV40" s="86"/>
      <c r="AW40" s="86"/>
      <c r="AX40" s="86"/>
      <c r="AY40" s="88"/>
      <c r="AZ40" s="61">
        <v>88</v>
      </c>
      <c r="BA40" s="61">
        <v>78</v>
      </c>
      <c r="BB40" s="61">
        <v>92</v>
      </c>
      <c r="BC40" s="61">
        <v>88</v>
      </c>
      <c r="BD40" s="61">
        <v>92</v>
      </c>
      <c r="BE40" s="61">
        <v>84</v>
      </c>
      <c r="BF40" s="61">
        <v>88</v>
      </c>
      <c r="BG40" s="89">
        <v>90</v>
      </c>
    </row>
    <row r="41" spans="9:59">
      <c r="I41" s="115">
        <v>15</v>
      </c>
      <c r="J41" s="61">
        <v>59</v>
      </c>
      <c r="K41" s="61">
        <v>59</v>
      </c>
      <c r="L41" s="61">
        <v>60</v>
      </c>
      <c r="M41" s="61">
        <v>60</v>
      </c>
      <c r="N41" s="61">
        <v>59</v>
      </c>
      <c r="O41" s="61">
        <v>59</v>
      </c>
      <c r="P41" s="61">
        <v>60</v>
      </c>
      <c r="Q41" s="61">
        <v>60</v>
      </c>
      <c r="R41" s="80">
        <v>79</v>
      </c>
      <c r="S41" s="61">
        <v>79</v>
      </c>
      <c r="T41" s="61">
        <v>79</v>
      </c>
      <c r="U41" s="61">
        <v>79</v>
      </c>
      <c r="V41" s="61">
        <v>84</v>
      </c>
      <c r="W41" s="61">
        <v>84</v>
      </c>
      <c r="X41" s="61">
        <v>84</v>
      </c>
      <c r="Y41" s="83">
        <v>84</v>
      </c>
      <c r="Z41" s="61">
        <v>55</v>
      </c>
      <c r="AA41" s="61">
        <v>55</v>
      </c>
      <c r="AB41" s="61">
        <v>59</v>
      </c>
      <c r="AC41" s="61">
        <v>59</v>
      </c>
      <c r="AD41" s="61">
        <v>58</v>
      </c>
      <c r="AE41" s="61">
        <v>58</v>
      </c>
      <c r="AF41" s="61">
        <v>59</v>
      </c>
      <c r="AG41" s="83">
        <v>62</v>
      </c>
      <c r="AI41" s="85">
        <v>15</v>
      </c>
      <c r="AJ41" s="61">
        <v>86</v>
      </c>
      <c r="AK41" s="61">
        <v>84</v>
      </c>
      <c r="AL41" s="61">
        <v>86</v>
      </c>
      <c r="AM41" s="61">
        <v>84</v>
      </c>
      <c r="AN41" s="61">
        <v>85</v>
      </c>
      <c r="AO41" s="61">
        <v>83</v>
      </c>
      <c r="AP41" s="61">
        <v>82</v>
      </c>
      <c r="AQ41" s="61">
        <v>81</v>
      </c>
      <c r="AR41" s="122" t="s">
        <v>70</v>
      </c>
      <c r="AS41" s="61" t="s">
        <v>70</v>
      </c>
      <c r="AT41" s="61" t="s">
        <v>70</v>
      </c>
      <c r="AU41" s="61" t="s">
        <v>70</v>
      </c>
      <c r="AV41" s="61" t="s">
        <v>70</v>
      </c>
      <c r="AW41" s="61" t="s">
        <v>70</v>
      </c>
      <c r="AX41" s="61" t="s">
        <v>70</v>
      </c>
      <c r="AY41" s="89" t="s">
        <v>70</v>
      </c>
      <c r="AZ41" s="61">
        <v>80</v>
      </c>
      <c r="BA41" s="61">
        <v>74</v>
      </c>
      <c r="BB41" s="61">
        <v>85</v>
      </c>
      <c r="BC41" s="61">
        <v>81</v>
      </c>
      <c r="BD41" s="61">
        <v>90</v>
      </c>
      <c r="BE41" s="61">
        <v>84</v>
      </c>
      <c r="BF41" s="61">
        <v>85</v>
      </c>
      <c r="BG41" s="89">
        <v>88</v>
      </c>
    </row>
    <row r="42" spans="9:59">
      <c r="I42" s="115">
        <v>14</v>
      </c>
      <c r="J42" s="61">
        <v>56</v>
      </c>
      <c r="K42" s="61">
        <v>57</v>
      </c>
      <c r="L42" s="61">
        <v>58</v>
      </c>
      <c r="M42" s="61">
        <v>58</v>
      </c>
      <c r="N42" s="61">
        <v>56</v>
      </c>
      <c r="O42" s="61">
        <v>56</v>
      </c>
      <c r="P42" s="61">
        <v>56</v>
      </c>
      <c r="Q42" s="61">
        <v>56</v>
      </c>
      <c r="R42" s="80">
        <v>75</v>
      </c>
      <c r="S42" s="61">
        <v>75</v>
      </c>
      <c r="T42" s="61">
        <v>75</v>
      </c>
      <c r="U42" s="61">
        <v>75</v>
      </c>
      <c r="V42" s="61">
        <v>79</v>
      </c>
      <c r="W42" s="61">
        <v>79</v>
      </c>
      <c r="X42" s="61">
        <v>79</v>
      </c>
      <c r="Y42" s="83">
        <v>79</v>
      </c>
      <c r="Z42" s="61">
        <v>52</v>
      </c>
      <c r="AA42" s="61">
        <v>52</v>
      </c>
      <c r="AB42" s="61">
        <v>56</v>
      </c>
      <c r="AC42" s="61">
        <v>56</v>
      </c>
      <c r="AD42" s="61">
        <v>55</v>
      </c>
      <c r="AE42" s="61">
        <v>55</v>
      </c>
      <c r="AF42" s="61">
        <v>56</v>
      </c>
      <c r="AG42" s="83">
        <v>59</v>
      </c>
      <c r="AI42" s="85">
        <v>14</v>
      </c>
      <c r="AJ42" s="61">
        <v>75</v>
      </c>
      <c r="AK42" s="61">
        <v>79</v>
      </c>
      <c r="AL42" s="61">
        <v>81</v>
      </c>
      <c r="AM42" s="61">
        <v>80</v>
      </c>
      <c r="AN42" s="61">
        <v>80</v>
      </c>
      <c r="AO42" s="61">
        <v>79</v>
      </c>
      <c r="AP42" s="61">
        <v>75</v>
      </c>
      <c r="AQ42" s="61">
        <v>76</v>
      </c>
      <c r="AR42" s="122" t="s">
        <v>70</v>
      </c>
      <c r="AS42" s="61" t="s">
        <v>70</v>
      </c>
      <c r="AT42" s="61">
        <v>99</v>
      </c>
      <c r="AU42" s="61" t="s">
        <v>70</v>
      </c>
      <c r="AV42" s="61" t="s">
        <v>70</v>
      </c>
      <c r="AW42" s="61">
        <v>99</v>
      </c>
      <c r="AX42" s="61">
        <v>99</v>
      </c>
      <c r="AY42" s="89">
        <v>99</v>
      </c>
      <c r="AZ42" s="61">
        <v>76</v>
      </c>
      <c r="BA42" s="61">
        <v>68</v>
      </c>
      <c r="BB42" s="61">
        <v>78</v>
      </c>
      <c r="BC42" s="61">
        <v>74</v>
      </c>
      <c r="BD42" s="61">
        <v>86</v>
      </c>
      <c r="BE42" s="61">
        <v>77</v>
      </c>
      <c r="BF42" s="61">
        <v>78</v>
      </c>
      <c r="BG42" s="89">
        <v>85</v>
      </c>
    </row>
    <row r="43" spans="9:59">
      <c r="I43" s="115">
        <v>13</v>
      </c>
      <c r="J43" s="61">
        <v>53</v>
      </c>
      <c r="K43" s="61">
        <v>54</v>
      </c>
      <c r="L43" s="61">
        <v>55</v>
      </c>
      <c r="M43" s="61">
        <v>55</v>
      </c>
      <c r="N43" s="61">
        <v>54</v>
      </c>
      <c r="O43" s="61">
        <v>54</v>
      </c>
      <c r="P43" s="61">
        <v>54</v>
      </c>
      <c r="Q43" s="61">
        <v>54</v>
      </c>
      <c r="R43" s="80">
        <v>71</v>
      </c>
      <c r="S43" s="61">
        <v>71</v>
      </c>
      <c r="T43" s="61">
        <v>71</v>
      </c>
      <c r="U43" s="61">
        <v>71</v>
      </c>
      <c r="V43" s="61">
        <v>75</v>
      </c>
      <c r="W43" s="61">
        <v>75</v>
      </c>
      <c r="X43" s="61">
        <v>75</v>
      </c>
      <c r="Y43" s="83">
        <v>75</v>
      </c>
      <c r="Z43" s="61">
        <v>50</v>
      </c>
      <c r="AA43" s="61">
        <v>50</v>
      </c>
      <c r="AB43" s="61">
        <v>53</v>
      </c>
      <c r="AC43" s="61">
        <v>53</v>
      </c>
      <c r="AD43" s="61">
        <v>53</v>
      </c>
      <c r="AE43" s="61">
        <v>53</v>
      </c>
      <c r="AF43" s="61">
        <v>53</v>
      </c>
      <c r="AG43" s="83">
        <v>56</v>
      </c>
      <c r="AI43" s="85">
        <v>13</v>
      </c>
      <c r="AJ43" s="61">
        <v>66</v>
      </c>
      <c r="AK43" s="61">
        <v>74</v>
      </c>
      <c r="AL43" s="61">
        <v>80</v>
      </c>
      <c r="AM43" s="61">
        <v>75</v>
      </c>
      <c r="AN43" s="61">
        <v>74</v>
      </c>
      <c r="AO43" s="61">
        <v>72</v>
      </c>
      <c r="AP43" s="61">
        <v>71</v>
      </c>
      <c r="AQ43" s="61">
        <v>74</v>
      </c>
      <c r="AR43" s="122">
        <v>99</v>
      </c>
      <c r="AS43" s="61">
        <v>99</v>
      </c>
      <c r="AT43" s="61">
        <v>98</v>
      </c>
      <c r="AU43" s="61">
        <v>97</v>
      </c>
      <c r="AV43" s="61">
        <v>99</v>
      </c>
      <c r="AW43" s="61">
        <v>99</v>
      </c>
      <c r="AX43" s="61">
        <v>99</v>
      </c>
      <c r="AY43" s="89">
        <v>98</v>
      </c>
      <c r="AZ43" s="61">
        <v>66</v>
      </c>
      <c r="BA43" s="61">
        <v>57</v>
      </c>
      <c r="BB43" s="61">
        <v>72</v>
      </c>
      <c r="BC43" s="61">
        <v>69</v>
      </c>
      <c r="BD43" s="61">
        <v>79</v>
      </c>
      <c r="BE43" s="61">
        <v>71</v>
      </c>
      <c r="BF43" s="61">
        <v>69</v>
      </c>
      <c r="BG43" s="89">
        <v>80</v>
      </c>
    </row>
    <row r="44" spans="9:59">
      <c r="I44" s="115">
        <v>12</v>
      </c>
      <c r="J44" s="61">
        <v>51</v>
      </c>
      <c r="K44" s="61">
        <v>51</v>
      </c>
      <c r="L44" s="61">
        <v>53</v>
      </c>
      <c r="M44" s="61">
        <v>53</v>
      </c>
      <c r="N44" s="61">
        <v>51</v>
      </c>
      <c r="O44" s="61">
        <v>51</v>
      </c>
      <c r="P44" s="61">
        <v>51</v>
      </c>
      <c r="Q44" s="61">
        <v>51</v>
      </c>
      <c r="R44" s="80">
        <v>67</v>
      </c>
      <c r="S44" s="61">
        <v>67</v>
      </c>
      <c r="T44" s="61">
        <v>67</v>
      </c>
      <c r="U44" s="61">
        <v>67</v>
      </c>
      <c r="V44" s="61">
        <v>70</v>
      </c>
      <c r="W44" s="61">
        <v>70</v>
      </c>
      <c r="X44" s="61">
        <v>70</v>
      </c>
      <c r="Y44" s="83">
        <v>70</v>
      </c>
      <c r="Z44" s="61">
        <v>49</v>
      </c>
      <c r="AA44" s="61">
        <v>49</v>
      </c>
      <c r="AB44" s="61">
        <v>51</v>
      </c>
      <c r="AC44" s="61">
        <v>51</v>
      </c>
      <c r="AD44" s="61">
        <v>50</v>
      </c>
      <c r="AE44" s="61">
        <v>50</v>
      </c>
      <c r="AF44" s="61">
        <v>51</v>
      </c>
      <c r="AG44" s="83">
        <v>53</v>
      </c>
      <c r="AI44" s="85">
        <v>12</v>
      </c>
      <c r="AJ44" s="61">
        <v>62</v>
      </c>
      <c r="AK44" s="61">
        <v>67</v>
      </c>
      <c r="AL44" s="61">
        <v>76</v>
      </c>
      <c r="AM44" s="61">
        <v>71</v>
      </c>
      <c r="AN44" s="61">
        <v>67</v>
      </c>
      <c r="AO44" s="61">
        <v>63</v>
      </c>
      <c r="AP44" s="61">
        <v>63</v>
      </c>
      <c r="AQ44" s="61">
        <v>68</v>
      </c>
      <c r="AR44" s="122">
        <v>98</v>
      </c>
      <c r="AS44" s="61">
        <v>96</v>
      </c>
      <c r="AT44" s="61">
        <v>97</v>
      </c>
      <c r="AU44" s="61">
        <v>93</v>
      </c>
      <c r="AV44" s="61">
        <v>99</v>
      </c>
      <c r="AW44" s="61">
        <v>99</v>
      </c>
      <c r="AX44" s="61">
        <v>97</v>
      </c>
      <c r="AY44" s="89">
        <v>97</v>
      </c>
      <c r="AZ44" s="61">
        <v>51</v>
      </c>
      <c r="BA44" s="61">
        <v>51</v>
      </c>
      <c r="BB44" s="61">
        <v>63</v>
      </c>
      <c r="BC44" s="61">
        <v>64</v>
      </c>
      <c r="BD44" s="61">
        <v>70</v>
      </c>
      <c r="BE44" s="61">
        <v>65</v>
      </c>
      <c r="BF44" s="61">
        <v>63</v>
      </c>
      <c r="BG44" s="89">
        <v>74</v>
      </c>
    </row>
    <row r="45" spans="9:59">
      <c r="I45" s="115">
        <v>11</v>
      </c>
      <c r="J45" s="61">
        <v>48</v>
      </c>
      <c r="K45" s="61">
        <v>48</v>
      </c>
      <c r="L45" s="61">
        <v>49</v>
      </c>
      <c r="M45" s="61">
        <v>49</v>
      </c>
      <c r="N45" s="61">
        <v>48</v>
      </c>
      <c r="O45" s="61">
        <v>48</v>
      </c>
      <c r="P45" s="61">
        <v>48</v>
      </c>
      <c r="Q45" s="61">
        <v>48</v>
      </c>
      <c r="R45" s="80">
        <v>63</v>
      </c>
      <c r="S45" s="61">
        <v>63</v>
      </c>
      <c r="T45" s="61">
        <v>63</v>
      </c>
      <c r="U45" s="61">
        <v>63</v>
      </c>
      <c r="V45" s="61">
        <v>66</v>
      </c>
      <c r="W45" s="61">
        <v>66</v>
      </c>
      <c r="X45" s="61">
        <v>66</v>
      </c>
      <c r="Y45" s="83">
        <v>66</v>
      </c>
      <c r="Z45" s="61">
        <v>45</v>
      </c>
      <c r="AA45" s="61">
        <v>45</v>
      </c>
      <c r="AB45" s="61">
        <v>48</v>
      </c>
      <c r="AC45" s="61">
        <v>48</v>
      </c>
      <c r="AD45" s="61">
        <v>47</v>
      </c>
      <c r="AE45" s="61">
        <v>47</v>
      </c>
      <c r="AF45" s="61">
        <v>48</v>
      </c>
      <c r="AG45" s="83">
        <v>50</v>
      </c>
      <c r="AI45" s="85">
        <v>11</v>
      </c>
      <c r="AJ45" s="61">
        <v>55</v>
      </c>
      <c r="AK45" s="61">
        <v>60</v>
      </c>
      <c r="AL45" s="61">
        <v>72</v>
      </c>
      <c r="AM45" s="61">
        <v>65</v>
      </c>
      <c r="AN45" s="61">
        <v>59</v>
      </c>
      <c r="AO45" s="61">
        <v>58</v>
      </c>
      <c r="AP45" s="61">
        <v>57</v>
      </c>
      <c r="AQ45" s="61">
        <v>57</v>
      </c>
      <c r="AR45" s="122">
        <v>97</v>
      </c>
      <c r="AS45" s="61">
        <v>90</v>
      </c>
      <c r="AT45" s="61">
        <v>94</v>
      </c>
      <c r="AU45" s="61">
        <v>90</v>
      </c>
      <c r="AV45" s="61">
        <v>99</v>
      </c>
      <c r="AW45" s="61">
        <v>95</v>
      </c>
      <c r="AX45" s="61">
        <v>95</v>
      </c>
      <c r="AY45" s="89">
        <v>93</v>
      </c>
      <c r="AZ45" s="61">
        <v>43</v>
      </c>
      <c r="BA45" s="61">
        <v>44</v>
      </c>
      <c r="BB45" s="61">
        <v>52</v>
      </c>
      <c r="BC45" s="61">
        <v>58</v>
      </c>
      <c r="BD45" s="61">
        <v>60</v>
      </c>
      <c r="BE45" s="61">
        <v>50</v>
      </c>
      <c r="BF45" s="61">
        <v>56</v>
      </c>
      <c r="BG45" s="89">
        <v>66</v>
      </c>
    </row>
    <row r="46" spans="9:59">
      <c r="I46" s="115">
        <v>10</v>
      </c>
      <c r="J46" s="61">
        <v>46</v>
      </c>
      <c r="K46" s="61">
        <v>46</v>
      </c>
      <c r="L46" s="61">
        <v>47</v>
      </c>
      <c r="M46" s="61">
        <v>47</v>
      </c>
      <c r="N46" s="61">
        <v>46</v>
      </c>
      <c r="O46" s="61">
        <v>46</v>
      </c>
      <c r="P46" s="61">
        <v>46</v>
      </c>
      <c r="Q46" s="61">
        <v>46</v>
      </c>
      <c r="R46" s="80">
        <v>59</v>
      </c>
      <c r="S46" s="61">
        <v>59</v>
      </c>
      <c r="T46" s="61">
        <v>59</v>
      </c>
      <c r="U46" s="61">
        <v>59</v>
      </c>
      <c r="V46" s="61">
        <v>61</v>
      </c>
      <c r="W46" s="61">
        <v>61</v>
      </c>
      <c r="X46" s="61">
        <v>61</v>
      </c>
      <c r="Y46" s="83">
        <v>61</v>
      </c>
      <c r="Z46" s="61">
        <v>43</v>
      </c>
      <c r="AA46" s="61">
        <v>43</v>
      </c>
      <c r="AB46" s="61">
        <v>45</v>
      </c>
      <c r="AC46" s="61">
        <v>46</v>
      </c>
      <c r="AD46" s="61">
        <v>44</v>
      </c>
      <c r="AE46" s="61">
        <v>44</v>
      </c>
      <c r="AF46" s="61">
        <v>45</v>
      </c>
      <c r="AG46" s="83">
        <v>47</v>
      </c>
      <c r="AI46" s="85">
        <v>10</v>
      </c>
      <c r="AJ46" s="61">
        <v>49</v>
      </c>
      <c r="AK46" s="61">
        <v>52</v>
      </c>
      <c r="AL46" s="61">
        <v>57</v>
      </c>
      <c r="AM46" s="61">
        <v>58</v>
      </c>
      <c r="AN46" s="61">
        <v>52</v>
      </c>
      <c r="AO46" s="61">
        <v>51</v>
      </c>
      <c r="AP46" s="61">
        <v>52</v>
      </c>
      <c r="AQ46" s="61">
        <v>50</v>
      </c>
      <c r="AR46" s="122">
        <v>93</v>
      </c>
      <c r="AS46" s="61">
        <v>87</v>
      </c>
      <c r="AT46" s="61">
        <v>88</v>
      </c>
      <c r="AU46" s="61">
        <v>85</v>
      </c>
      <c r="AV46" s="61">
        <v>93</v>
      </c>
      <c r="AW46" s="61">
        <v>88</v>
      </c>
      <c r="AX46" s="61">
        <v>90</v>
      </c>
      <c r="AY46" s="89">
        <v>89</v>
      </c>
      <c r="AZ46" s="61">
        <v>35</v>
      </c>
      <c r="BA46" s="61">
        <v>36</v>
      </c>
      <c r="BB46" s="61">
        <v>47</v>
      </c>
      <c r="BC46" s="61">
        <v>50</v>
      </c>
      <c r="BD46" s="61">
        <v>47</v>
      </c>
      <c r="BE46" s="61">
        <v>41</v>
      </c>
      <c r="BF46" s="61">
        <v>47</v>
      </c>
      <c r="BG46" s="89">
        <v>57</v>
      </c>
    </row>
    <row r="47" spans="9:59">
      <c r="I47" s="115">
        <v>9</v>
      </c>
      <c r="J47" s="61">
        <v>43</v>
      </c>
      <c r="K47" s="61">
        <v>43</v>
      </c>
      <c r="L47" s="61">
        <v>45</v>
      </c>
      <c r="M47" s="61">
        <v>45</v>
      </c>
      <c r="N47" s="61">
        <v>43</v>
      </c>
      <c r="O47" s="61">
        <v>43</v>
      </c>
      <c r="P47" s="61">
        <v>43</v>
      </c>
      <c r="Q47" s="61">
        <v>43</v>
      </c>
      <c r="R47" s="80">
        <v>55</v>
      </c>
      <c r="S47" s="61">
        <v>55</v>
      </c>
      <c r="T47" s="61">
        <v>55</v>
      </c>
      <c r="U47" s="61">
        <v>55</v>
      </c>
      <c r="V47" s="61">
        <v>57</v>
      </c>
      <c r="W47" s="61">
        <v>57</v>
      </c>
      <c r="X47" s="61">
        <v>57</v>
      </c>
      <c r="Y47" s="83">
        <v>57</v>
      </c>
      <c r="Z47" s="61">
        <v>40</v>
      </c>
      <c r="AA47" s="61">
        <v>41</v>
      </c>
      <c r="AB47" s="61">
        <v>42</v>
      </c>
      <c r="AC47" s="61">
        <v>43</v>
      </c>
      <c r="AD47" s="61">
        <v>42</v>
      </c>
      <c r="AE47" s="61">
        <v>42</v>
      </c>
      <c r="AF47" s="61">
        <v>43</v>
      </c>
      <c r="AG47" s="83">
        <v>44</v>
      </c>
      <c r="AI47" s="85">
        <v>9</v>
      </c>
      <c r="AJ47" s="61">
        <v>43</v>
      </c>
      <c r="AK47" s="61">
        <v>38</v>
      </c>
      <c r="AL47" s="61">
        <v>50</v>
      </c>
      <c r="AM47" s="61">
        <v>48</v>
      </c>
      <c r="AN47" s="61">
        <v>41</v>
      </c>
      <c r="AO47" s="61">
        <v>39</v>
      </c>
      <c r="AP47" s="61">
        <v>33</v>
      </c>
      <c r="AQ47" s="61">
        <v>40</v>
      </c>
      <c r="AR47" s="122">
        <v>81</v>
      </c>
      <c r="AS47" s="61">
        <v>71</v>
      </c>
      <c r="AT47" s="61">
        <v>79</v>
      </c>
      <c r="AU47" s="61">
        <v>71</v>
      </c>
      <c r="AV47" s="61">
        <v>86</v>
      </c>
      <c r="AW47" s="61">
        <v>80</v>
      </c>
      <c r="AX47" s="61">
        <v>80</v>
      </c>
      <c r="AY47" s="89">
        <v>82</v>
      </c>
      <c r="AZ47" s="61">
        <v>22</v>
      </c>
      <c r="BA47" s="61">
        <v>31</v>
      </c>
      <c r="BB47" s="61">
        <v>33</v>
      </c>
      <c r="BC47" s="61">
        <v>41</v>
      </c>
      <c r="BD47" s="61">
        <v>33</v>
      </c>
      <c r="BE47" s="61">
        <v>29</v>
      </c>
      <c r="BF47" s="61">
        <v>38</v>
      </c>
      <c r="BG47" s="89">
        <v>50</v>
      </c>
    </row>
    <row r="48" spans="9:59">
      <c r="I48" s="115">
        <v>8</v>
      </c>
      <c r="J48" s="61">
        <v>40</v>
      </c>
      <c r="K48" s="61">
        <v>40</v>
      </c>
      <c r="L48" s="61">
        <v>41</v>
      </c>
      <c r="M48" s="61">
        <v>41</v>
      </c>
      <c r="N48" s="61">
        <v>40</v>
      </c>
      <c r="O48" s="61">
        <v>40</v>
      </c>
      <c r="P48" s="61">
        <v>40</v>
      </c>
      <c r="Q48" s="61">
        <v>41</v>
      </c>
      <c r="R48" s="80">
        <v>50</v>
      </c>
      <c r="S48" s="61">
        <v>50</v>
      </c>
      <c r="T48" s="61">
        <v>50</v>
      </c>
      <c r="U48" s="61">
        <v>51</v>
      </c>
      <c r="V48" s="61">
        <v>52</v>
      </c>
      <c r="W48" s="61">
        <v>52</v>
      </c>
      <c r="X48" s="61">
        <v>52</v>
      </c>
      <c r="Y48" s="83">
        <v>53</v>
      </c>
      <c r="Z48" s="61">
        <v>37</v>
      </c>
      <c r="AA48" s="61">
        <v>38</v>
      </c>
      <c r="AB48" s="61">
        <v>39</v>
      </c>
      <c r="AC48" s="61">
        <v>40</v>
      </c>
      <c r="AD48" s="61">
        <v>39</v>
      </c>
      <c r="AE48" s="61">
        <v>39</v>
      </c>
      <c r="AF48" s="61">
        <v>40</v>
      </c>
      <c r="AG48" s="83">
        <v>41</v>
      </c>
      <c r="AI48" s="85">
        <v>8</v>
      </c>
      <c r="AJ48" s="61">
        <v>32</v>
      </c>
      <c r="AK48" s="61">
        <v>26</v>
      </c>
      <c r="AL48" s="61">
        <v>35</v>
      </c>
      <c r="AM48" s="61">
        <v>33</v>
      </c>
      <c r="AN48" s="61">
        <v>29</v>
      </c>
      <c r="AO48" s="61">
        <v>27</v>
      </c>
      <c r="AP48" s="61">
        <v>26</v>
      </c>
      <c r="AQ48" s="61">
        <v>26</v>
      </c>
      <c r="AR48" s="122">
        <v>71</v>
      </c>
      <c r="AS48" s="61">
        <v>61</v>
      </c>
      <c r="AT48" s="61">
        <v>63</v>
      </c>
      <c r="AU48" s="61">
        <v>63</v>
      </c>
      <c r="AV48" s="61">
        <v>78</v>
      </c>
      <c r="AW48" s="61">
        <v>69</v>
      </c>
      <c r="AX48" s="61">
        <v>72</v>
      </c>
      <c r="AY48" s="89">
        <v>69</v>
      </c>
      <c r="AZ48" s="61">
        <v>14</v>
      </c>
      <c r="BA48" s="61">
        <v>18</v>
      </c>
      <c r="BB48" s="61">
        <v>21</v>
      </c>
      <c r="BC48" s="61">
        <v>29</v>
      </c>
      <c r="BD48" s="61">
        <v>20</v>
      </c>
      <c r="BE48" s="61">
        <v>20</v>
      </c>
      <c r="BF48" s="61">
        <v>24</v>
      </c>
      <c r="BG48" s="89">
        <v>33</v>
      </c>
    </row>
    <row r="49" spans="9:59">
      <c r="I49" s="115">
        <v>7</v>
      </c>
      <c r="J49" s="82"/>
      <c r="K49" s="82"/>
      <c r="L49" s="82"/>
      <c r="M49" s="82"/>
      <c r="N49" s="82"/>
      <c r="O49" s="82"/>
      <c r="P49" s="82"/>
      <c r="Q49" s="82"/>
      <c r="R49" s="80">
        <v>46</v>
      </c>
      <c r="S49" s="61">
        <v>46</v>
      </c>
      <c r="T49" s="61">
        <v>47</v>
      </c>
      <c r="U49" s="61">
        <v>47</v>
      </c>
      <c r="V49" s="61">
        <v>48</v>
      </c>
      <c r="W49" s="61">
        <v>48</v>
      </c>
      <c r="X49" s="61">
        <v>48</v>
      </c>
      <c r="Y49" s="83">
        <v>49</v>
      </c>
      <c r="Z49" s="82"/>
      <c r="AA49" s="82"/>
      <c r="AB49" s="82"/>
      <c r="AC49" s="82"/>
      <c r="AD49" s="82"/>
      <c r="AE49" s="82"/>
      <c r="AF49" s="82"/>
      <c r="AG49" s="84"/>
      <c r="AI49" s="85">
        <v>7</v>
      </c>
      <c r="AJ49" s="86"/>
      <c r="AK49" s="86"/>
      <c r="AL49" s="86"/>
      <c r="AM49" s="86"/>
      <c r="AN49" s="86"/>
      <c r="AO49" s="86"/>
      <c r="AP49" s="86"/>
      <c r="AQ49" s="86"/>
      <c r="AR49" s="122">
        <v>55</v>
      </c>
      <c r="AS49" s="61">
        <v>47</v>
      </c>
      <c r="AT49" s="61">
        <v>54</v>
      </c>
      <c r="AU49" s="61">
        <v>52</v>
      </c>
      <c r="AV49" s="61">
        <v>67</v>
      </c>
      <c r="AW49" s="61">
        <v>53</v>
      </c>
      <c r="AX49" s="61">
        <v>56</v>
      </c>
      <c r="AY49" s="89">
        <v>60</v>
      </c>
      <c r="AZ49" s="86"/>
      <c r="BA49" s="86"/>
      <c r="BB49" s="86"/>
      <c r="BC49" s="86"/>
      <c r="BD49" s="86"/>
      <c r="BE49" s="86"/>
      <c r="BF49" s="86"/>
      <c r="BG49" s="88"/>
    </row>
    <row r="50" spans="9:59">
      <c r="I50" s="115">
        <v>6</v>
      </c>
      <c r="J50" s="82"/>
      <c r="K50" s="82"/>
      <c r="L50" s="82"/>
      <c r="M50" s="82"/>
      <c r="N50" s="82"/>
      <c r="O50" s="82"/>
      <c r="P50" s="82"/>
      <c r="Q50" s="82"/>
      <c r="R50" s="80">
        <v>42</v>
      </c>
      <c r="S50" s="61">
        <v>42</v>
      </c>
      <c r="T50" s="61">
        <v>43</v>
      </c>
      <c r="U50" s="61">
        <v>43</v>
      </c>
      <c r="V50" s="61">
        <v>43</v>
      </c>
      <c r="W50" s="61">
        <v>43</v>
      </c>
      <c r="X50" s="61">
        <v>44</v>
      </c>
      <c r="Y50" s="83">
        <v>44</v>
      </c>
      <c r="Z50" s="82"/>
      <c r="AA50" s="82"/>
      <c r="AB50" s="82"/>
      <c r="AC50" s="82"/>
      <c r="AD50" s="82"/>
      <c r="AE50" s="82"/>
      <c r="AF50" s="82"/>
      <c r="AG50" s="84"/>
      <c r="AI50" s="85">
        <v>6</v>
      </c>
      <c r="AJ50" s="86"/>
      <c r="AK50" s="86"/>
      <c r="AL50" s="86"/>
      <c r="AM50" s="86"/>
      <c r="AN50" s="86"/>
      <c r="AO50" s="86"/>
      <c r="AP50" s="86"/>
      <c r="AQ50" s="86"/>
      <c r="AR50" s="122">
        <v>47</v>
      </c>
      <c r="AS50" s="61">
        <v>36</v>
      </c>
      <c r="AT50" s="61">
        <v>41</v>
      </c>
      <c r="AU50" s="61">
        <v>44</v>
      </c>
      <c r="AV50" s="61">
        <v>50</v>
      </c>
      <c r="AW50" s="61">
        <v>44</v>
      </c>
      <c r="AX50" s="61">
        <v>43</v>
      </c>
      <c r="AY50" s="89">
        <v>48</v>
      </c>
      <c r="AZ50" s="86"/>
      <c r="BA50" s="86"/>
      <c r="BB50" s="86"/>
      <c r="BC50" s="86"/>
      <c r="BD50" s="86"/>
      <c r="BE50" s="86"/>
      <c r="BF50" s="86"/>
      <c r="BG50" s="88"/>
    </row>
    <row r="51" spans="9:59">
      <c r="I51" s="115">
        <v>5</v>
      </c>
      <c r="J51" s="82"/>
      <c r="K51" s="82"/>
      <c r="L51" s="82"/>
      <c r="M51" s="82"/>
      <c r="N51" s="82"/>
      <c r="O51" s="82"/>
      <c r="P51" s="82"/>
      <c r="Q51" s="82"/>
      <c r="R51" s="80">
        <v>38</v>
      </c>
      <c r="S51" s="61">
        <v>38</v>
      </c>
      <c r="T51" s="61">
        <v>39</v>
      </c>
      <c r="U51" s="61">
        <v>40</v>
      </c>
      <c r="V51" s="61">
        <v>39</v>
      </c>
      <c r="W51" s="61">
        <v>39</v>
      </c>
      <c r="X51" s="61">
        <v>39</v>
      </c>
      <c r="Y51" s="83">
        <v>40</v>
      </c>
      <c r="Z51" s="82"/>
      <c r="AA51" s="82"/>
      <c r="AB51" s="82"/>
      <c r="AC51" s="82"/>
      <c r="AD51" s="82"/>
      <c r="AE51" s="82"/>
      <c r="AF51" s="82"/>
      <c r="AG51" s="84"/>
      <c r="AI51" s="85">
        <v>5</v>
      </c>
      <c r="AJ51" s="86"/>
      <c r="AK51" s="86"/>
      <c r="AL51" s="86"/>
      <c r="AM51" s="86"/>
      <c r="AN51" s="86"/>
      <c r="AO51" s="86"/>
      <c r="AP51" s="86"/>
      <c r="AQ51" s="86"/>
      <c r="AR51" s="122">
        <v>24</v>
      </c>
      <c r="AS51" s="61">
        <v>23</v>
      </c>
      <c r="AT51" s="61">
        <v>25</v>
      </c>
      <c r="AU51" s="61">
        <v>29</v>
      </c>
      <c r="AV51" s="61">
        <v>29</v>
      </c>
      <c r="AW51" s="61">
        <v>24</v>
      </c>
      <c r="AX51" s="61">
        <v>25</v>
      </c>
      <c r="AY51" s="89">
        <v>32</v>
      </c>
      <c r="AZ51" s="86"/>
      <c r="BA51" s="86"/>
      <c r="BB51" s="86"/>
      <c r="BC51" s="86"/>
      <c r="BD51" s="86"/>
      <c r="BE51" s="86"/>
      <c r="BF51" s="86"/>
      <c r="BG51" s="88"/>
    </row>
    <row r="52" spans="9:59" ht="15.75" thickBot="1">
      <c r="I52" s="123">
        <v>4</v>
      </c>
      <c r="J52" s="124"/>
      <c r="K52" s="124"/>
      <c r="L52" s="124"/>
      <c r="M52" s="124"/>
      <c r="N52" s="124"/>
      <c r="O52" s="124"/>
      <c r="P52" s="124"/>
      <c r="Q52" s="124"/>
      <c r="R52" s="126"/>
      <c r="S52" s="124"/>
      <c r="T52" s="124"/>
      <c r="U52" s="124"/>
      <c r="V52" s="124"/>
      <c r="W52" s="124"/>
      <c r="X52" s="124"/>
      <c r="Y52" s="133"/>
      <c r="Z52" s="124"/>
      <c r="AA52" s="124"/>
      <c r="AB52" s="124"/>
      <c r="AC52" s="124"/>
      <c r="AD52" s="124"/>
      <c r="AE52" s="124"/>
      <c r="AF52" s="124"/>
      <c r="AG52" s="133"/>
      <c r="AI52" s="102">
        <v>4</v>
      </c>
      <c r="AJ52" s="103"/>
      <c r="AK52" s="103"/>
      <c r="AL52" s="103"/>
      <c r="AM52" s="103"/>
      <c r="AN52" s="103"/>
      <c r="AO52" s="103"/>
      <c r="AP52" s="103"/>
      <c r="AQ52" s="103"/>
      <c r="AR52" s="104"/>
      <c r="AS52" s="103"/>
      <c r="AT52" s="103"/>
      <c r="AU52" s="103"/>
      <c r="AV52" s="103"/>
      <c r="AW52" s="103"/>
      <c r="AX52" s="103"/>
      <c r="AY52" s="107"/>
      <c r="AZ52" s="103"/>
      <c r="BA52" s="103"/>
      <c r="BB52" s="103"/>
      <c r="BC52" s="103"/>
      <c r="BD52" s="103"/>
      <c r="BE52" s="103"/>
      <c r="BF52" s="103"/>
      <c r="BG52" s="107"/>
    </row>
    <row r="53" spans="9:59" ht="16.5" thickTop="1" thickBot="1">
      <c r="I53" s="81" t="s">
        <v>78</v>
      </c>
      <c r="J53" s="82">
        <v>5</v>
      </c>
      <c r="K53" s="82">
        <v>5</v>
      </c>
      <c r="L53" s="82">
        <v>5</v>
      </c>
      <c r="M53" s="82">
        <v>5</v>
      </c>
      <c r="N53" s="82">
        <v>5</v>
      </c>
      <c r="O53" s="82">
        <v>5</v>
      </c>
      <c r="P53" s="82">
        <v>5</v>
      </c>
      <c r="Q53" s="82">
        <v>5</v>
      </c>
      <c r="R53" s="81">
        <v>7</v>
      </c>
      <c r="S53" s="82">
        <v>7</v>
      </c>
      <c r="T53" s="82">
        <v>7</v>
      </c>
      <c r="U53" s="82">
        <v>6</v>
      </c>
      <c r="V53" s="82">
        <v>8</v>
      </c>
      <c r="W53" s="82">
        <v>7</v>
      </c>
      <c r="X53" s="82">
        <v>7</v>
      </c>
      <c r="Y53" s="84">
        <v>7</v>
      </c>
      <c r="Z53" s="82">
        <v>6</v>
      </c>
      <c r="AA53" s="82">
        <v>5</v>
      </c>
      <c r="AB53" s="82">
        <v>5</v>
      </c>
      <c r="AC53" s="82">
        <v>5</v>
      </c>
      <c r="AD53" s="82">
        <v>6</v>
      </c>
      <c r="AE53" s="82">
        <v>6</v>
      </c>
      <c r="AF53" s="82">
        <v>5</v>
      </c>
      <c r="AG53" s="84">
        <v>5</v>
      </c>
    </row>
    <row r="54" spans="9:59" ht="15.75" thickTop="1">
      <c r="I54" s="112"/>
      <c r="J54" s="273" t="s">
        <v>85</v>
      </c>
      <c r="K54" s="273"/>
      <c r="L54" s="273"/>
      <c r="M54" s="273"/>
      <c r="N54" s="273"/>
      <c r="O54" s="273"/>
      <c r="P54" s="273"/>
      <c r="Q54" s="273"/>
      <c r="R54" s="278" t="s">
        <v>86</v>
      </c>
      <c r="S54" s="273"/>
      <c r="T54" s="273"/>
      <c r="U54" s="273"/>
      <c r="V54" s="273"/>
      <c r="W54" s="273"/>
      <c r="X54" s="273"/>
      <c r="Y54" s="274"/>
      <c r="Z54" s="273" t="s">
        <v>87</v>
      </c>
      <c r="AA54" s="273"/>
      <c r="AB54" s="273"/>
      <c r="AC54" s="273"/>
      <c r="AD54" s="273"/>
      <c r="AE54" s="273"/>
      <c r="AF54" s="273"/>
      <c r="AG54" s="274"/>
      <c r="AI54" s="63"/>
      <c r="AJ54" s="267" t="s">
        <v>88</v>
      </c>
      <c r="AK54" s="267"/>
      <c r="AL54" s="267"/>
      <c r="AM54" s="267"/>
      <c r="AN54" s="267"/>
      <c r="AO54" s="267"/>
      <c r="AP54" s="267"/>
      <c r="AQ54" s="267"/>
      <c r="AR54" s="271" t="s">
        <v>89</v>
      </c>
      <c r="AS54" s="267"/>
      <c r="AT54" s="267"/>
      <c r="AU54" s="267"/>
      <c r="AV54" s="267"/>
      <c r="AW54" s="267"/>
      <c r="AX54" s="267"/>
      <c r="AY54" s="268"/>
      <c r="AZ54" s="267" t="s">
        <v>90</v>
      </c>
      <c r="BA54" s="267"/>
      <c r="BB54" s="267"/>
      <c r="BC54" s="267"/>
      <c r="BD54" s="267"/>
      <c r="BE54" s="267"/>
      <c r="BF54" s="267"/>
      <c r="BG54" s="268"/>
    </row>
    <row r="55" spans="9:59">
      <c r="I55" s="113"/>
      <c r="J55" s="269" t="s">
        <v>8</v>
      </c>
      <c r="K55" s="269"/>
      <c r="L55" s="269"/>
      <c r="M55" s="269"/>
      <c r="N55" s="269" t="s">
        <v>61</v>
      </c>
      <c r="O55" s="269"/>
      <c r="P55" s="269"/>
      <c r="Q55" s="269"/>
      <c r="R55" s="279" t="s">
        <v>8</v>
      </c>
      <c r="S55" s="269"/>
      <c r="T55" s="269"/>
      <c r="U55" s="269"/>
      <c r="V55" s="269" t="s">
        <v>61</v>
      </c>
      <c r="W55" s="269"/>
      <c r="X55" s="269"/>
      <c r="Y55" s="275"/>
      <c r="Z55" s="269" t="s">
        <v>8</v>
      </c>
      <c r="AA55" s="269"/>
      <c r="AB55" s="269"/>
      <c r="AC55" s="269"/>
      <c r="AD55" s="269" t="s">
        <v>61</v>
      </c>
      <c r="AE55" s="269"/>
      <c r="AF55" s="269"/>
      <c r="AG55" s="275"/>
      <c r="AI55" s="65"/>
      <c r="AJ55" s="269" t="s">
        <v>8</v>
      </c>
      <c r="AK55" s="269"/>
      <c r="AL55" s="269"/>
      <c r="AM55" s="269"/>
      <c r="AN55" s="269" t="s">
        <v>61</v>
      </c>
      <c r="AO55" s="269"/>
      <c r="AP55" s="269"/>
      <c r="AQ55" s="269"/>
      <c r="AR55" s="272" t="s">
        <v>8</v>
      </c>
      <c r="AS55" s="269"/>
      <c r="AT55" s="269"/>
      <c r="AU55" s="269"/>
      <c r="AV55" s="269" t="s">
        <v>61</v>
      </c>
      <c r="AW55" s="269"/>
      <c r="AX55" s="269"/>
      <c r="AY55" s="270"/>
      <c r="AZ55" s="269" t="s">
        <v>8</v>
      </c>
      <c r="BA55" s="269"/>
      <c r="BB55" s="269"/>
      <c r="BC55" s="269"/>
      <c r="BD55" s="269" t="s">
        <v>61</v>
      </c>
      <c r="BE55" s="269"/>
      <c r="BF55" s="269"/>
      <c r="BG55" s="270"/>
    </row>
    <row r="56" spans="9:59">
      <c r="I56" s="114" t="s">
        <v>66</v>
      </c>
      <c r="J56" s="70" t="s">
        <v>4</v>
      </c>
      <c r="K56" s="70" t="s">
        <v>67</v>
      </c>
      <c r="L56" s="70" t="s">
        <v>68</v>
      </c>
      <c r="M56" s="70" t="s">
        <v>51</v>
      </c>
      <c r="N56" s="70" t="s">
        <v>4</v>
      </c>
      <c r="O56" s="70" t="s">
        <v>67</v>
      </c>
      <c r="P56" s="70" t="s">
        <v>68</v>
      </c>
      <c r="Q56" s="70" t="s">
        <v>51</v>
      </c>
      <c r="R56" s="69" t="s">
        <v>4</v>
      </c>
      <c r="S56" s="70" t="s">
        <v>67</v>
      </c>
      <c r="T56" s="70" t="s">
        <v>68</v>
      </c>
      <c r="U56" s="70" t="s">
        <v>51</v>
      </c>
      <c r="V56" s="70" t="s">
        <v>4</v>
      </c>
      <c r="W56" s="70" t="s">
        <v>67</v>
      </c>
      <c r="X56" s="70" t="s">
        <v>68</v>
      </c>
      <c r="Y56" s="71" t="s">
        <v>51</v>
      </c>
      <c r="Z56" s="70" t="s">
        <v>4</v>
      </c>
      <c r="AA56" s="70" t="s">
        <v>67</v>
      </c>
      <c r="AB56" s="70" t="s">
        <v>68</v>
      </c>
      <c r="AC56" s="70" t="s">
        <v>51</v>
      </c>
      <c r="AD56" s="70" t="s">
        <v>4</v>
      </c>
      <c r="AE56" s="70" t="s">
        <v>67</v>
      </c>
      <c r="AF56" s="70" t="s">
        <v>68</v>
      </c>
      <c r="AG56" s="71" t="s">
        <v>51</v>
      </c>
      <c r="AI56" s="72" t="s">
        <v>66</v>
      </c>
      <c r="AJ56" s="70" t="s">
        <v>4</v>
      </c>
      <c r="AK56" s="70" t="s">
        <v>67</v>
      </c>
      <c r="AL56" s="70" t="s">
        <v>68</v>
      </c>
      <c r="AM56" s="70" t="s">
        <v>51</v>
      </c>
      <c r="AN56" s="70" t="s">
        <v>4</v>
      </c>
      <c r="AO56" s="70" t="s">
        <v>67</v>
      </c>
      <c r="AP56" s="70" t="s">
        <v>68</v>
      </c>
      <c r="AQ56" s="70" t="s">
        <v>51</v>
      </c>
      <c r="AR56" s="73" t="s">
        <v>4</v>
      </c>
      <c r="AS56" s="70" t="s">
        <v>67</v>
      </c>
      <c r="AT56" s="70" t="s">
        <v>68</v>
      </c>
      <c r="AU56" s="70" t="s">
        <v>51</v>
      </c>
      <c r="AV56" s="70" t="s">
        <v>4</v>
      </c>
      <c r="AW56" s="70" t="s">
        <v>67</v>
      </c>
      <c r="AX56" s="70" t="s">
        <v>68</v>
      </c>
      <c r="AY56" s="74" t="s">
        <v>51</v>
      </c>
      <c r="AZ56" s="70" t="s">
        <v>4</v>
      </c>
      <c r="BA56" s="70" t="s">
        <v>67</v>
      </c>
      <c r="BB56" s="70" t="s">
        <v>68</v>
      </c>
      <c r="BC56" s="70" t="s">
        <v>51</v>
      </c>
      <c r="BD56" s="70" t="s">
        <v>4</v>
      </c>
      <c r="BE56" s="70" t="s">
        <v>67</v>
      </c>
      <c r="BF56" s="70" t="s">
        <v>68</v>
      </c>
      <c r="BG56" s="74" t="s">
        <v>51</v>
      </c>
    </row>
    <row r="57" spans="9:59">
      <c r="I57" s="115">
        <v>24</v>
      </c>
      <c r="J57" s="61">
        <v>79</v>
      </c>
      <c r="K57" s="61">
        <v>79</v>
      </c>
      <c r="L57" s="61">
        <v>80</v>
      </c>
      <c r="M57" s="61">
        <v>80</v>
      </c>
      <c r="N57" s="61">
        <v>79</v>
      </c>
      <c r="O57" s="61">
        <v>79</v>
      </c>
      <c r="P57" s="61">
        <v>79</v>
      </c>
      <c r="Q57" s="61">
        <v>79</v>
      </c>
      <c r="R57" s="81"/>
      <c r="S57" s="82"/>
      <c r="T57" s="82"/>
      <c r="U57" s="82"/>
      <c r="V57" s="82"/>
      <c r="W57" s="82"/>
      <c r="X57" s="82"/>
      <c r="Y57" s="84"/>
      <c r="Z57" s="82"/>
      <c r="AA57" s="82"/>
      <c r="AB57" s="82"/>
      <c r="AC57" s="82"/>
      <c r="AD57" s="82"/>
      <c r="AE57" s="82"/>
      <c r="AF57" s="82"/>
      <c r="AG57" s="84"/>
      <c r="AI57" s="85">
        <v>24</v>
      </c>
      <c r="AJ57" s="61" t="s">
        <v>70</v>
      </c>
      <c r="AK57" s="61" t="s">
        <v>70</v>
      </c>
      <c r="AL57" s="61" t="s">
        <v>70</v>
      </c>
      <c r="AM57" s="61" t="s">
        <v>70</v>
      </c>
      <c r="AN57" s="61" t="s">
        <v>70</v>
      </c>
      <c r="AO57" s="61" t="s">
        <v>70</v>
      </c>
      <c r="AP57" s="61" t="s">
        <v>70</v>
      </c>
      <c r="AQ57" s="61" t="s">
        <v>70</v>
      </c>
      <c r="AR57" s="87"/>
      <c r="AS57" s="86"/>
      <c r="AT57" s="86"/>
      <c r="AU57" s="86"/>
      <c r="AV57" s="86"/>
      <c r="AW57" s="86"/>
      <c r="AX57" s="86"/>
      <c r="AY57" s="88"/>
      <c r="AZ57" s="86"/>
      <c r="BA57" s="86"/>
      <c r="BB57" s="86"/>
      <c r="BC57" s="86"/>
      <c r="BD57" s="86"/>
      <c r="BE57" s="86"/>
      <c r="BF57" s="86"/>
      <c r="BG57" s="88"/>
    </row>
    <row r="58" spans="9:59">
      <c r="I58" s="115">
        <v>23</v>
      </c>
      <c r="J58" s="61">
        <v>76</v>
      </c>
      <c r="K58" s="61">
        <v>76</v>
      </c>
      <c r="L58" s="61">
        <v>77</v>
      </c>
      <c r="M58" s="61">
        <v>77</v>
      </c>
      <c r="N58" s="61">
        <v>77</v>
      </c>
      <c r="O58" s="61">
        <v>77</v>
      </c>
      <c r="P58" s="61">
        <v>77</v>
      </c>
      <c r="Q58" s="61">
        <v>77</v>
      </c>
      <c r="R58" s="81"/>
      <c r="S58" s="82"/>
      <c r="T58" s="82"/>
      <c r="U58" s="82"/>
      <c r="V58" s="82"/>
      <c r="W58" s="82"/>
      <c r="X58" s="82"/>
      <c r="Y58" s="84"/>
      <c r="Z58" s="82"/>
      <c r="AA58" s="82"/>
      <c r="AB58" s="82"/>
      <c r="AC58" s="82"/>
      <c r="AD58" s="82"/>
      <c r="AE58" s="82"/>
      <c r="AF58" s="82"/>
      <c r="AG58" s="84"/>
      <c r="AI58" s="85">
        <v>23</v>
      </c>
      <c r="AJ58" s="61" t="s">
        <v>70</v>
      </c>
      <c r="AK58" s="61" t="s">
        <v>70</v>
      </c>
      <c r="AL58" s="61" t="s">
        <v>70</v>
      </c>
      <c r="AM58" s="61">
        <v>99</v>
      </c>
      <c r="AN58" s="61" t="s">
        <v>70</v>
      </c>
      <c r="AO58" s="61" t="s">
        <v>70</v>
      </c>
      <c r="AP58" s="61" t="s">
        <v>70</v>
      </c>
      <c r="AQ58" s="61" t="s">
        <v>70</v>
      </c>
      <c r="AR58" s="87"/>
      <c r="AS58" s="86"/>
      <c r="AT58" s="86"/>
      <c r="AU58" s="86"/>
      <c r="AV58" s="86"/>
      <c r="AW58" s="86"/>
      <c r="AX58" s="86"/>
      <c r="AY58" s="88"/>
      <c r="AZ58" s="86"/>
      <c r="BA58" s="86"/>
      <c r="BB58" s="86"/>
      <c r="BC58" s="86"/>
      <c r="BD58" s="86"/>
      <c r="BE58" s="86"/>
      <c r="BF58" s="86"/>
      <c r="BG58" s="88"/>
    </row>
    <row r="59" spans="9:59">
      <c r="I59" s="115">
        <v>22</v>
      </c>
      <c r="J59" s="61">
        <v>73</v>
      </c>
      <c r="K59" s="61">
        <v>73</v>
      </c>
      <c r="L59" s="61">
        <v>74</v>
      </c>
      <c r="M59" s="61">
        <v>74</v>
      </c>
      <c r="N59" s="61">
        <v>74</v>
      </c>
      <c r="O59" s="61">
        <v>74</v>
      </c>
      <c r="P59" s="61">
        <v>74</v>
      </c>
      <c r="Q59" s="61">
        <v>74</v>
      </c>
      <c r="R59" s="81"/>
      <c r="S59" s="82"/>
      <c r="T59" s="82"/>
      <c r="U59" s="82"/>
      <c r="V59" s="82"/>
      <c r="W59" s="82"/>
      <c r="X59" s="82"/>
      <c r="Y59" s="84"/>
      <c r="Z59" s="82"/>
      <c r="AA59" s="82"/>
      <c r="AB59" s="82"/>
      <c r="AC59" s="82"/>
      <c r="AD59" s="82"/>
      <c r="AE59" s="82"/>
      <c r="AF59" s="82"/>
      <c r="AG59" s="84"/>
      <c r="AI59" s="85">
        <v>22</v>
      </c>
      <c r="AJ59" s="61">
        <v>99</v>
      </c>
      <c r="AK59" s="61">
        <v>99</v>
      </c>
      <c r="AL59" s="61">
        <v>99</v>
      </c>
      <c r="AM59" s="61">
        <v>98</v>
      </c>
      <c r="AN59" s="61" t="s">
        <v>70</v>
      </c>
      <c r="AO59" s="61" t="s">
        <v>70</v>
      </c>
      <c r="AP59" s="61">
        <v>99</v>
      </c>
      <c r="AQ59" s="61">
        <v>98</v>
      </c>
      <c r="AR59" s="87"/>
      <c r="AS59" s="86"/>
      <c r="AT59" s="86"/>
      <c r="AU59" s="86"/>
      <c r="AV59" s="86"/>
      <c r="AW59" s="86"/>
      <c r="AX59" s="86"/>
      <c r="AY59" s="88"/>
      <c r="AZ59" s="86"/>
      <c r="BA59" s="86"/>
      <c r="BB59" s="86"/>
      <c r="BC59" s="86"/>
      <c r="BD59" s="86"/>
      <c r="BE59" s="86"/>
      <c r="BF59" s="86"/>
      <c r="BG59" s="88"/>
    </row>
    <row r="60" spans="9:59">
      <c r="I60" s="115">
        <v>21</v>
      </c>
      <c r="J60" s="61">
        <v>71</v>
      </c>
      <c r="K60" s="61">
        <v>71</v>
      </c>
      <c r="L60" s="61">
        <v>72</v>
      </c>
      <c r="M60" s="61">
        <v>72</v>
      </c>
      <c r="N60" s="61">
        <v>71</v>
      </c>
      <c r="O60" s="61">
        <v>71</v>
      </c>
      <c r="P60" s="61">
        <v>71</v>
      </c>
      <c r="Q60" s="61">
        <v>71</v>
      </c>
      <c r="R60" s="81"/>
      <c r="S60" s="82"/>
      <c r="T60" s="82"/>
      <c r="U60" s="82"/>
      <c r="V60" s="82"/>
      <c r="W60" s="82"/>
      <c r="X60" s="82"/>
      <c r="Y60" s="84"/>
      <c r="Z60" s="82"/>
      <c r="AA60" s="82"/>
      <c r="AB60" s="82"/>
      <c r="AC60" s="82"/>
      <c r="AD60" s="82"/>
      <c r="AE60" s="82"/>
      <c r="AF60" s="82"/>
      <c r="AG60" s="84"/>
      <c r="AI60" s="85">
        <v>21</v>
      </c>
      <c r="AJ60" s="61">
        <v>99</v>
      </c>
      <c r="AK60" s="61">
        <v>98</v>
      </c>
      <c r="AL60" s="61">
        <v>97</v>
      </c>
      <c r="AM60" s="61">
        <v>95</v>
      </c>
      <c r="AN60" s="61" t="s">
        <v>70</v>
      </c>
      <c r="AO60" s="61">
        <v>99</v>
      </c>
      <c r="AP60" s="61">
        <v>97</v>
      </c>
      <c r="AQ60" s="61">
        <v>97</v>
      </c>
      <c r="AR60" s="87"/>
      <c r="AS60" s="86"/>
      <c r="AT60" s="86"/>
      <c r="AU60" s="86"/>
      <c r="AV60" s="86"/>
      <c r="AW60" s="86"/>
      <c r="AX60" s="86"/>
      <c r="AY60" s="88"/>
      <c r="AZ60" s="86"/>
      <c r="BA60" s="86"/>
      <c r="BB60" s="86"/>
      <c r="BC60" s="86"/>
      <c r="BD60" s="86"/>
      <c r="BE60" s="86"/>
      <c r="BF60" s="86"/>
      <c r="BG60" s="88"/>
    </row>
    <row r="61" spans="9:59">
      <c r="I61" s="115">
        <v>20</v>
      </c>
      <c r="J61" s="61">
        <v>68</v>
      </c>
      <c r="K61" s="61">
        <v>68</v>
      </c>
      <c r="L61" s="61">
        <v>69</v>
      </c>
      <c r="M61" s="61">
        <v>69</v>
      </c>
      <c r="N61" s="61">
        <v>69</v>
      </c>
      <c r="O61" s="61">
        <v>69</v>
      </c>
      <c r="P61" s="61">
        <v>69</v>
      </c>
      <c r="Q61" s="61">
        <v>69</v>
      </c>
      <c r="R61" s="81"/>
      <c r="S61" s="82"/>
      <c r="T61" s="82"/>
      <c r="U61" s="82"/>
      <c r="V61" s="82"/>
      <c r="W61" s="82"/>
      <c r="X61" s="82"/>
      <c r="Y61" s="84"/>
      <c r="Z61" s="82"/>
      <c r="AA61" s="82"/>
      <c r="AB61" s="82"/>
      <c r="AC61" s="82"/>
      <c r="AD61" s="82"/>
      <c r="AE61" s="82"/>
      <c r="AF61" s="82"/>
      <c r="AG61" s="84"/>
      <c r="AI61" s="85">
        <v>20</v>
      </c>
      <c r="AJ61" s="61">
        <v>99</v>
      </c>
      <c r="AK61" s="61">
        <v>96</v>
      </c>
      <c r="AL61" s="61">
        <v>96</v>
      </c>
      <c r="AM61" s="61">
        <v>92</v>
      </c>
      <c r="AN61" s="61">
        <v>99</v>
      </c>
      <c r="AO61" s="61">
        <v>97</v>
      </c>
      <c r="AP61" s="61">
        <v>94</v>
      </c>
      <c r="AQ61" s="61">
        <v>95</v>
      </c>
      <c r="AR61" s="87"/>
      <c r="AS61" s="86"/>
      <c r="AT61" s="86"/>
      <c r="AU61" s="86"/>
      <c r="AV61" s="86"/>
      <c r="AW61" s="86"/>
      <c r="AX61" s="86"/>
      <c r="AY61" s="88"/>
      <c r="AZ61" s="86"/>
      <c r="BA61" s="86"/>
      <c r="BB61" s="86"/>
      <c r="BC61" s="86"/>
      <c r="BD61" s="86"/>
      <c r="BE61" s="86"/>
      <c r="BF61" s="86"/>
      <c r="BG61" s="88"/>
    </row>
    <row r="62" spans="9:59">
      <c r="I62" s="115">
        <v>19</v>
      </c>
      <c r="J62" s="61">
        <v>66</v>
      </c>
      <c r="K62" s="61">
        <v>66</v>
      </c>
      <c r="L62" s="61">
        <v>67</v>
      </c>
      <c r="M62" s="61">
        <v>67</v>
      </c>
      <c r="N62" s="61">
        <v>66</v>
      </c>
      <c r="O62" s="61">
        <v>66</v>
      </c>
      <c r="P62" s="61">
        <v>66</v>
      </c>
      <c r="Q62" s="61">
        <v>66</v>
      </c>
      <c r="R62" s="81"/>
      <c r="S62" s="82"/>
      <c r="T62" s="82"/>
      <c r="U62" s="82"/>
      <c r="V62" s="82"/>
      <c r="W62" s="82"/>
      <c r="X62" s="82"/>
      <c r="Y62" s="84"/>
      <c r="Z62" s="82"/>
      <c r="AA62" s="82"/>
      <c r="AB62" s="82"/>
      <c r="AC62" s="82"/>
      <c r="AD62" s="82"/>
      <c r="AE62" s="82"/>
      <c r="AF62" s="82"/>
      <c r="AG62" s="84"/>
      <c r="AI62" s="85">
        <v>19</v>
      </c>
      <c r="AJ62" s="61">
        <v>99</v>
      </c>
      <c r="AK62" s="61">
        <v>94</v>
      </c>
      <c r="AL62" s="61">
        <v>94</v>
      </c>
      <c r="AM62" s="61">
        <v>90</v>
      </c>
      <c r="AN62" s="61">
        <v>99</v>
      </c>
      <c r="AO62" s="61">
        <v>97</v>
      </c>
      <c r="AP62" s="61">
        <v>91</v>
      </c>
      <c r="AQ62" s="61">
        <v>91</v>
      </c>
      <c r="AR62" s="87"/>
      <c r="AS62" s="86"/>
      <c r="AT62" s="86"/>
      <c r="AU62" s="86"/>
      <c r="AV62" s="86"/>
      <c r="AW62" s="86"/>
      <c r="AX62" s="86"/>
      <c r="AY62" s="88"/>
      <c r="AZ62" s="86"/>
      <c r="BA62" s="86"/>
      <c r="BB62" s="86"/>
      <c r="BC62" s="86"/>
      <c r="BD62" s="86"/>
      <c r="BE62" s="86"/>
      <c r="BF62" s="86"/>
      <c r="BG62" s="88"/>
    </row>
    <row r="63" spans="9:59">
      <c r="I63" s="115">
        <v>18</v>
      </c>
      <c r="J63" s="61">
        <v>63</v>
      </c>
      <c r="K63" s="61">
        <v>63</v>
      </c>
      <c r="L63" s="61">
        <v>64</v>
      </c>
      <c r="M63" s="61">
        <v>64</v>
      </c>
      <c r="N63" s="61">
        <v>63</v>
      </c>
      <c r="O63" s="61">
        <v>63</v>
      </c>
      <c r="P63" s="61">
        <v>63</v>
      </c>
      <c r="Q63" s="61">
        <v>63</v>
      </c>
      <c r="R63" s="81"/>
      <c r="S63" s="82"/>
      <c r="T63" s="82"/>
      <c r="U63" s="82"/>
      <c r="V63" s="82"/>
      <c r="W63" s="82"/>
      <c r="X63" s="82"/>
      <c r="Y63" s="84"/>
      <c r="Z63" s="61">
        <v>76</v>
      </c>
      <c r="AA63" s="61">
        <v>76</v>
      </c>
      <c r="AB63" s="61">
        <v>76</v>
      </c>
      <c r="AC63" s="61">
        <v>76</v>
      </c>
      <c r="AD63" s="61">
        <v>77</v>
      </c>
      <c r="AE63" s="61">
        <v>77</v>
      </c>
      <c r="AF63" s="61">
        <v>77</v>
      </c>
      <c r="AG63" s="83">
        <v>81</v>
      </c>
      <c r="AI63" s="85">
        <v>18</v>
      </c>
      <c r="AJ63" s="61">
        <v>97</v>
      </c>
      <c r="AK63" s="61">
        <v>88</v>
      </c>
      <c r="AL63" s="61">
        <v>92</v>
      </c>
      <c r="AM63" s="61">
        <v>88</v>
      </c>
      <c r="AN63" s="61">
        <v>97</v>
      </c>
      <c r="AO63" s="61">
        <v>95</v>
      </c>
      <c r="AP63" s="61">
        <v>90</v>
      </c>
      <c r="AQ63" s="61">
        <v>90</v>
      </c>
      <c r="AR63" s="87"/>
      <c r="AS63" s="86"/>
      <c r="AT63" s="86"/>
      <c r="AU63" s="86"/>
      <c r="AV63" s="86"/>
      <c r="AW63" s="86"/>
      <c r="AX63" s="86"/>
      <c r="AY63" s="88"/>
      <c r="AZ63" s="61" t="s">
        <v>70</v>
      </c>
      <c r="BA63" s="61" t="s">
        <v>70</v>
      </c>
      <c r="BB63" s="61" t="s">
        <v>70</v>
      </c>
      <c r="BC63" s="61" t="s">
        <v>70</v>
      </c>
      <c r="BD63" s="61" t="s">
        <v>70</v>
      </c>
      <c r="BE63" s="61" t="s">
        <v>70</v>
      </c>
      <c r="BF63" s="61" t="s">
        <v>70</v>
      </c>
      <c r="BG63" s="89" t="s">
        <v>70</v>
      </c>
    </row>
    <row r="64" spans="9:59">
      <c r="I64" s="115">
        <v>17</v>
      </c>
      <c r="J64" s="61">
        <v>60</v>
      </c>
      <c r="K64" s="61">
        <v>60</v>
      </c>
      <c r="L64" s="61">
        <v>61</v>
      </c>
      <c r="M64" s="61">
        <v>61</v>
      </c>
      <c r="N64" s="61">
        <v>61</v>
      </c>
      <c r="O64" s="61">
        <v>61</v>
      </c>
      <c r="P64" s="61">
        <v>61</v>
      </c>
      <c r="Q64" s="61">
        <v>61</v>
      </c>
      <c r="R64" s="81"/>
      <c r="S64" s="82"/>
      <c r="T64" s="82"/>
      <c r="U64" s="82"/>
      <c r="V64" s="82"/>
      <c r="W64" s="82"/>
      <c r="X64" s="82"/>
      <c r="Y64" s="84"/>
      <c r="Z64" s="61">
        <v>73</v>
      </c>
      <c r="AA64" s="61">
        <v>73</v>
      </c>
      <c r="AB64" s="61">
        <v>73</v>
      </c>
      <c r="AC64" s="61">
        <v>73</v>
      </c>
      <c r="AD64" s="61">
        <v>74</v>
      </c>
      <c r="AE64" s="61">
        <v>74</v>
      </c>
      <c r="AF64" s="61">
        <v>74</v>
      </c>
      <c r="AG64" s="83">
        <v>78</v>
      </c>
      <c r="AI64" s="85">
        <v>17</v>
      </c>
      <c r="AJ64" s="61">
        <v>93</v>
      </c>
      <c r="AK64" s="61">
        <v>86</v>
      </c>
      <c r="AL64" s="61">
        <v>89</v>
      </c>
      <c r="AM64" s="61">
        <v>84</v>
      </c>
      <c r="AN64" s="61">
        <v>95</v>
      </c>
      <c r="AO64" s="61">
        <v>89</v>
      </c>
      <c r="AP64" s="61">
        <v>88</v>
      </c>
      <c r="AQ64" s="61">
        <v>87</v>
      </c>
      <c r="AR64" s="87"/>
      <c r="AS64" s="86"/>
      <c r="AT64" s="86"/>
      <c r="AU64" s="86"/>
      <c r="AV64" s="86"/>
      <c r="AW64" s="86"/>
      <c r="AX64" s="86"/>
      <c r="AY64" s="88"/>
      <c r="AZ64" s="61">
        <v>99</v>
      </c>
      <c r="BA64" s="61">
        <v>98</v>
      </c>
      <c r="BB64" s="61">
        <v>99</v>
      </c>
      <c r="BC64" s="61">
        <v>98</v>
      </c>
      <c r="BD64" s="61" t="s">
        <v>70</v>
      </c>
      <c r="BE64" s="61">
        <v>98</v>
      </c>
      <c r="BF64" s="61">
        <v>97</v>
      </c>
      <c r="BG64" s="89">
        <v>99</v>
      </c>
    </row>
    <row r="65" spans="9:59">
      <c r="I65" s="115">
        <v>16</v>
      </c>
      <c r="J65" s="61">
        <v>58</v>
      </c>
      <c r="K65" s="61">
        <v>58</v>
      </c>
      <c r="L65" s="61">
        <v>59</v>
      </c>
      <c r="M65" s="61">
        <v>59</v>
      </c>
      <c r="N65" s="61">
        <v>58</v>
      </c>
      <c r="O65" s="61">
        <v>58</v>
      </c>
      <c r="P65" s="61">
        <v>58</v>
      </c>
      <c r="Q65" s="61">
        <v>58</v>
      </c>
      <c r="R65" s="81"/>
      <c r="S65" s="82"/>
      <c r="T65" s="82"/>
      <c r="U65" s="82"/>
      <c r="V65" s="82"/>
      <c r="W65" s="82"/>
      <c r="X65" s="82"/>
      <c r="Y65" s="84"/>
      <c r="Z65" s="61">
        <v>70</v>
      </c>
      <c r="AA65" s="61">
        <v>70</v>
      </c>
      <c r="AB65" s="61">
        <v>70</v>
      </c>
      <c r="AC65" s="61">
        <v>70</v>
      </c>
      <c r="AD65" s="61">
        <v>71</v>
      </c>
      <c r="AE65" s="61">
        <v>71</v>
      </c>
      <c r="AF65" s="61">
        <v>71</v>
      </c>
      <c r="AG65" s="83">
        <v>74</v>
      </c>
      <c r="AI65" s="85">
        <v>16</v>
      </c>
      <c r="AJ65" s="61">
        <v>89</v>
      </c>
      <c r="AK65" s="61">
        <v>82</v>
      </c>
      <c r="AL65" s="61">
        <v>86</v>
      </c>
      <c r="AM65" s="61">
        <v>75</v>
      </c>
      <c r="AN65" s="61">
        <v>94</v>
      </c>
      <c r="AO65" s="61">
        <v>88</v>
      </c>
      <c r="AP65" s="61">
        <v>85</v>
      </c>
      <c r="AQ65" s="61">
        <v>83</v>
      </c>
      <c r="AR65" s="87"/>
      <c r="AS65" s="86"/>
      <c r="AT65" s="86"/>
      <c r="AU65" s="86"/>
      <c r="AV65" s="86"/>
      <c r="AW65" s="86"/>
      <c r="AX65" s="86"/>
      <c r="AY65" s="88"/>
      <c r="AZ65" s="61">
        <v>99</v>
      </c>
      <c r="BA65" s="61">
        <v>97</v>
      </c>
      <c r="BB65" s="61">
        <v>97</v>
      </c>
      <c r="BC65" s="61">
        <v>95</v>
      </c>
      <c r="BD65" s="61" t="s">
        <v>70</v>
      </c>
      <c r="BE65" s="61">
        <v>98</v>
      </c>
      <c r="BF65" s="61">
        <v>96</v>
      </c>
      <c r="BG65" s="89">
        <v>98</v>
      </c>
    </row>
    <row r="66" spans="9:59">
      <c r="I66" s="115">
        <v>15</v>
      </c>
      <c r="J66" s="61">
        <v>55</v>
      </c>
      <c r="K66" s="61">
        <v>55</v>
      </c>
      <c r="L66" s="61">
        <v>56</v>
      </c>
      <c r="M66" s="61">
        <v>56</v>
      </c>
      <c r="N66" s="61">
        <v>56</v>
      </c>
      <c r="O66" s="61">
        <v>56</v>
      </c>
      <c r="P66" s="61">
        <v>56</v>
      </c>
      <c r="Q66" s="61">
        <v>56</v>
      </c>
      <c r="R66" s="80">
        <v>73</v>
      </c>
      <c r="S66" s="61">
        <v>73</v>
      </c>
      <c r="T66" s="61">
        <v>73</v>
      </c>
      <c r="U66" s="61">
        <v>73</v>
      </c>
      <c r="V66" s="61">
        <v>77</v>
      </c>
      <c r="W66" s="61">
        <v>77</v>
      </c>
      <c r="X66" s="61">
        <v>77</v>
      </c>
      <c r="Y66" s="83">
        <v>82</v>
      </c>
      <c r="Z66" s="61">
        <v>67</v>
      </c>
      <c r="AA66" s="61">
        <v>67</v>
      </c>
      <c r="AB66" s="61">
        <v>67</v>
      </c>
      <c r="AC66" s="61">
        <v>67</v>
      </c>
      <c r="AD66" s="61">
        <v>67</v>
      </c>
      <c r="AE66" s="61">
        <v>67</v>
      </c>
      <c r="AF66" s="61">
        <v>67</v>
      </c>
      <c r="AG66" s="83">
        <v>71</v>
      </c>
      <c r="AI66" s="85">
        <v>15</v>
      </c>
      <c r="AJ66" s="61">
        <v>83</v>
      </c>
      <c r="AK66" s="61">
        <v>73</v>
      </c>
      <c r="AL66" s="61">
        <v>76</v>
      </c>
      <c r="AM66" s="61">
        <v>70</v>
      </c>
      <c r="AN66" s="61">
        <v>91</v>
      </c>
      <c r="AO66" s="61">
        <v>80</v>
      </c>
      <c r="AP66" s="61">
        <v>80</v>
      </c>
      <c r="AQ66" s="61">
        <v>78</v>
      </c>
      <c r="AR66" s="122" t="s">
        <v>70</v>
      </c>
      <c r="AS66" s="61" t="s">
        <v>70</v>
      </c>
      <c r="AT66" s="61" t="s">
        <v>70</v>
      </c>
      <c r="AU66" s="61" t="s">
        <v>70</v>
      </c>
      <c r="AV66" s="61" t="s">
        <v>70</v>
      </c>
      <c r="AW66" s="61" t="s">
        <v>70</v>
      </c>
      <c r="AX66" s="61" t="s">
        <v>70</v>
      </c>
      <c r="AY66" s="89" t="s">
        <v>70</v>
      </c>
      <c r="AZ66" s="61">
        <v>99</v>
      </c>
      <c r="BA66" s="61">
        <v>93</v>
      </c>
      <c r="BB66" s="61">
        <v>94</v>
      </c>
      <c r="BC66" s="61">
        <v>93</v>
      </c>
      <c r="BD66" s="61" t="s">
        <v>70</v>
      </c>
      <c r="BE66" s="61">
        <v>97</v>
      </c>
      <c r="BF66" s="61">
        <v>94</v>
      </c>
      <c r="BG66" s="89">
        <v>97</v>
      </c>
    </row>
    <row r="67" spans="9:59">
      <c r="I67" s="115">
        <v>14</v>
      </c>
      <c r="J67" s="61">
        <v>52</v>
      </c>
      <c r="K67" s="61">
        <v>52</v>
      </c>
      <c r="L67" s="61">
        <v>53</v>
      </c>
      <c r="M67" s="61">
        <v>53</v>
      </c>
      <c r="N67" s="61">
        <v>53</v>
      </c>
      <c r="O67" s="61">
        <v>53</v>
      </c>
      <c r="P67" s="61">
        <v>53</v>
      </c>
      <c r="Q67" s="61">
        <v>53</v>
      </c>
      <c r="R67" s="80">
        <v>69</v>
      </c>
      <c r="S67" s="61">
        <v>69</v>
      </c>
      <c r="T67" s="61">
        <v>69</v>
      </c>
      <c r="U67" s="61">
        <v>69</v>
      </c>
      <c r="V67" s="61">
        <v>73</v>
      </c>
      <c r="W67" s="61">
        <v>73</v>
      </c>
      <c r="X67" s="61">
        <v>73</v>
      </c>
      <c r="Y67" s="83">
        <v>78</v>
      </c>
      <c r="Z67" s="61">
        <v>63</v>
      </c>
      <c r="AA67" s="61">
        <v>63</v>
      </c>
      <c r="AB67" s="61">
        <v>63</v>
      </c>
      <c r="AC67" s="61">
        <v>63</v>
      </c>
      <c r="AD67" s="61">
        <v>64</v>
      </c>
      <c r="AE67" s="61">
        <v>64</v>
      </c>
      <c r="AF67" s="61">
        <v>64</v>
      </c>
      <c r="AG67" s="83">
        <v>67</v>
      </c>
      <c r="AI67" s="85">
        <v>14</v>
      </c>
      <c r="AJ67" s="61">
        <v>75</v>
      </c>
      <c r="AK67" s="61">
        <v>66</v>
      </c>
      <c r="AL67" s="61">
        <v>66</v>
      </c>
      <c r="AM67" s="61">
        <v>61</v>
      </c>
      <c r="AN67" s="61">
        <v>88</v>
      </c>
      <c r="AO67" s="61">
        <v>74</v>
      </c>
      <c r="AP67" s="61">
        <v>69</v>
      </c>
      <c r="AQ67" s="61">
        <v>69</v>
      </c>
      <c r="AR67" s="122">
        <v>98</v>
      </c>
      <c r="AS67" s="61">
        <v>97</v>
      </c>
      <c r="AT67" s="61">
        <v>99</v>
      </c>
      <c r="AU67" s="61">
        <v>96</v>
      </c>
      <c r="AV67" s="61">
        <v>99</v>
      </c>
      <c r="AW67" s="61">
        <v>99</v>
      </c>
      <c r="AX67" s="61">
        <v>99</v>
      </c>
      <c r="AY67" s="89">
        <v>99</v>
      </c>
      <c r="AZ67" s="61">
        <v>97</v>
      </c>
      <c r="BA67" s="61">
        <v>90</v>
      </c>
      <c r="BB67" s="61">
        <v>90</v>
      </c>
      <c r="BC67" s="61">
        <v>90</v>
      </c>
      <c r="BD67" s="61">
        <v>99</v>
      </c>
      <c r="BE67" s="61">
        <v>95</v>
      </c>
      <c r="BF67" s="61">
        <v>92</v>
      </c>
      <c r="BG67" s="89">
        <v>94</v>
      </c>
    </row>
    <row r="68" spans="9:59">
      <c r="I68" s="115">
        <v>13</v>
      </c>
      <c r="J68" s="61">
        <v>50</v>
      </c>
      <c r="K68" s="61">
        <v>50</v>
      </c>
      <c r="L68" s="61">
        <v>50</v>
      </c>
      <c r="M68" s="61">
        <v>50</v>
      </c>
      <c r="N68" s="61">
        <v>50</v>
      </c>
      <c r="O68" s="61">
        <v>50</v>
      </c>
      <c r="P68" s="61">
        <v>50</v>
      </c>
      <c r="Q68" s="61">
        <v>51</v>
      </c>
      <c r="R68" s="80">
        <v>66</v>
      </c>
      <c r="S68" s="61">
        <v>66</v>
      </c>
      <c r="T68" s="61">
        <v>66</v>
      </c>
      <c r="U68" s="61">
        <v>66</v>
      </c>
      <c r="V68" s="61">
        <v>69</v>
      </c>
      <c r="W68" s="61">
        <v>69</v>
      </c>
      <c r="X68" s="61">
        <v>69</v>
      </c>
      <c r="Y68" s="83">
        <v>74</v>
      </c>
      <c r="Z68" s="61">
        <v>60</v>
      </c>
      <c r="AA68" s="61">
        <v>60</v>
      </c>
      <c r="AB68" s="61">
        <v>60</v>
      </c>
      <c r="AC68" s="61">
        <v>60</v>
      </c>
      <c r="AD68" s="61">
        <v>61</v>
      </c>
      <c r="AE68" s="61">
        <v>61</v>
      </c>
      <c r="AF68" s="61">
        <v>61</v>
      </c>
      <c r="AG68" s="83">
        <v>64</v>
      </c>
      <c r="AI68" s="85">
        <v>13</v>
      </c>
      <c r="AJ68" s="61">
        <v>66</v>
      </c>
      <c r="AK68" s="61">
        <v>57</v>
      </c>
      <c r="AL68" s="61">
        <v>61</v>
      </c>
      <c r="AM68" s="61">
        <v>55</v>
      </c>
      <c r="AN68" s="61">
        <v>78</v>
      </c>
      <c r="AO68" s="61">
        <v>69</v>
      </c>
      <c r="AP68" s="61">
        <v>60</v>
      </c>
      <c r="AQ68" s="61">
        <v>61</v>
      </c>
      <c r="AR68" s="122">
        <v>97</v>
      </c>
      <c r="AS68" s="61">
        <v>94</v>
      </c>
      <c r="AT68" s="61">
        <v>96</v>
      </c>
      <c r="AU68" s="61">
        <v>94</v>
      </c>
      <c r="AV68" s="61">
        <v>99</v>
      </c>
      <c r="AW68" s="61">
        <v>97</v>
      </c>
      <c r="AX68" s="61">
        <v>96</v>
      </c>
      <c r="AY68" s="89">
        <v>97</v>
      </c>
      <c r="AZ68" s="61">
        <v>95</v>
      </c>
      <c r="BA68" s="61">
        <v>86</v>
      </c>
      <c r="BB68" s="61">
        <v>86</v>
      </c>
      <c r="BC68" s="61">
        <v>86</v>
      </c>
      <c r="BD68" s="61">
        <v>97</v>
      </c>
      <c r="BE68" s="61">
        <v>92</v>
      </c>
      <c r="BF68" s="61">
        <v>88</v>
      </c>
      <c r="BG68" s="89">
        <v>91</v>
      </c>
    </row>
    <row r="69" spans="9:59">
      <c r="I69" s="115">
        <v>12</v>
      </c>
      <c r="J69" s="61">
        <v>47</v>
      </c>
      <c r="K69" s="61">
        <v>47</v>
      </c>
      <c r="L69" s="61">
        <v>48</v>
      </c>
      <c r="M69" s="61">
        <v>48</v>
      </c>
      <c r="N69" s="61">
        <v>48</v>
      </c>
      <c r="O69" s="61">
        <v>48</v>
      </c>
      <c r="P69" s="61">
        <v>48</v>
      </c>
      <c r="Q69" s="61">
        <v>48</v>
      </c>
      <c r="R69" s="80">
        <v>62</v>
      </c>
      <c r="S69" s="61">
        <v>62</v>
      </c>
      <c r="T69" s="61">
        <v>62</v>
      </c>
      <c r="U69" s="61">
        <v>62</v>
      </c>
      <c r="V69" s="61">
        <v>65</v>
      </c>
      <c r="W69" s="61">
        <v>65</v>
      </c>
      <c r="X69" s="61">
        <v>65</v>
      </c>
      <c r="Y69" s="83">
        <v>70</v>
      </c>
      <c r="Z69" s="61">
        <v>57</v>
      </c>
      <c r="AA69" s="61">
        <v>57</v>
      </c>
      <c r="AB69" s="61">
        <v>57</v>
      </c>
      <c r="AC69" s="61">
        <v>58</v>
      </c>
      <c r="AD69" s="61">
        <v>58</v>
      </c>
      <c r="AE69" s="61">
        <v>58</v>
      </c>
      <c r="AF69" s="61">
        <v>58</v>
      </c>
      <c r="AG69" s="83">
        <v>60</v>
      </c>
      <c r="AI69" s="85">
        <v>12</v>
      </c>
      <c r="AJ69" s="61">
        <v>60</v>
      </c>
      <c r="AK69" s="61">
        <v>50</v>
      </c>
      <c r="AL69" s="61">
        <v>53</v>
      </c>
      <c r="AM69" s="61">
        <v>49</v>
      </c>
      <c r="AN69" s="61">
        <v>72</v>
      </c>
      <c r="AO69" s="61">
        <v>54</v>
      </c>
      <c r="AP69" s="61">
        <v>50</v>
      </c>
      <c r="AQ69" s="61">
        <v>54</v>
      </c>
      <c r="AR69" s="122">
        <v>96</v>
      </c>
      <c r="AS69" s="61">
        <v>91</v>
      </c>
      <c r="AT69" s="61">
        <v>95</v>
      </c>
      <c r="AU69" s="61">
        <v>90</v>
      </c>
      <c r="AV69" s="61">
        <v>97</v>
      </c>
      <c r="AW69" s="61">
        <v>93</v>
      </c>
      <c r="AX69" s="61">
        <v>94</v>
      </c>
      <c r="AY69" s="89">
        <v>95</v>
      </c>
      <c r="AZ69" s="61">
        <v>88</v>
      </c>
      <c r="BA69" s="61">
        <v>82</v>
      </c>
      <c r="BB69" s="61">
        <v>83</v>
      </c>
      <c r="BC69" s="61">
        <v>82</v>
      </c>
      <c r="BD69" s="61">
        <v>93</v>
      </c>
      <c r="BE69" s="61">
        <v>88</v>
      </c>
      <c r="BF69" s="61">
        <v>82</v>
      </c>
      <c r="BG69" s="89">
        <v>88</v>
      </c>
    </row>
    <row r="70" spans="9:59">
      <c r="I70" s="115">
        <v>11</v>
      </c>
      <c r="J70" s="61">
        <v>45</v>
      </c>
      <c r="K70" s="61">
        <v>45</v>
      </c>
      <c r="L70" s="61">
        <v>45</v>
      </c>
      <c r="M70" s="61">
        <v>45</v>
      </c>
      <c r="N70" s="61">
        <v>46</v>
      </c>
      <c r="O70" s="61">
        <v>46</v>
      </c>
      <c r="P70" s="61">
        <v>46</v>
      </c>
      <c r="Q70" s="61">
        <v>46</v>
      </c>
      <c r="R70" s="80">
        <v>58</v>
      </c>
      <c r="S70" s="61">
        <v>58</v>
      </c>
      <c r="T70" s="61">
        <v>58</v>
      </c>
      <c r="U70" s="61">
        <v>59</v>
      </c>
      <c r="V70" s="61">
        <v>61</v>
      </c>
      <c r="W70" s="61">
        <v>61</v>
      </c>
      <c r="X70" s="61">
        <v>61</v>
      </c>
      <c r="Y70" s="83">
        <v>65</v>
      </c>
      <c r="Z70" s="61">
        <v>54</v>
      </c>
      <c r="AA70" s="61">
        <v>54</v>
      </c>
      <c r="AB70" s="61">
        <v>54</v>
      </c>
      <c r="AC70" s="61">
        <v>55</v>
      </c>
      <c r="AD70" s="61">
        <v>57</v>
      </c>
      <c r="AE70" s="61">
        <v>57</v>
      </c>
      <c r="AF70" s="61">
        <v>57</v>
      </c>
      <c r="AG70" s="83">
        <v>57</v>
      </c>
      <c r="AI70" s="85">
        <v>11</v>
      </c>
      <c r="AJ70" s="61">
        <v>49</v>
      </c>
      <c r="AK70" s="61">
        <v>40</v>
      </c>
      <c r="AL70" s="61">
        <v>42</v>
      </c>
      <c r="AM70" s="61">
        <v>42</v>
      </c>
      <c r="AN70" s="61">
        <v>64</v>
      </c>
      <c r="AO70" s="61">
        <v>47</v>
      </c>
      <c r="AP70" s="61">
        <v>41</v>
      </c>
      <c r="AQ70" s="61">
        <v>46</v>
      </c>
      <c r="AR70" s="122">
        <v>90</v>
      </c>
      <c r="AS70" s="61">
        <v>84</v>
      </c>
      <c r="AT70" s="61">
        <v>89</v>
      </c>
      <c r="AU70" s="61">
        <v>86</v>
      </c>
      <c r="AV70" s="61">
        <v>95</v>
      </c>
      <c r="AW70" s="61">
        <v>90</v>
      </c>
      <c r="AX70" s="61">
        <v>92</v>
      </c>
      <c r="AY70" s="89">
        <v>93</v>
      </c>
      <c r="AZ70" s="61">
        <v>79</v>
      </c>
      <c r="BA70" s="61">
        <v>74</v>
      </c>
      <c r="BB70" s="61">
        <v>68</v>
      </c>
      <c r="BC70" s="61">
        <v>72</v>
      </c>
      <c r="BD70" s="61">
        <v>91</v>
      </c>
      <c r="BE70" s="61">
        <v>84</v>
      </c>
      <c r="BF70" s="61">
        <v>76</v>
      </c>
      <c r="BG70" s="89">
        <v>82</v>
      </c>
    </row>
    <row r="71" spans="9:59">
      <c r="I71" s="115">
        <v>10</v>
      </c>
      <c r="J71" s="61">
        <v>42</v>
      </c>
      <c r="K71" s="61">
        <v>42</v>
      </c>
      <c r="L71" s="61">
        <v>43</v>
      </c>
      <c r="M71" s="61">
        <v>43</v>
      </c>
      <c r="N71" s="61">
        <v>43</v>
      </c>
      <c r="O71" s="61">
        <v>43</v>
      </c>
      <c r="P71" s="61">
        <v>43</v>
      </c>
      <c r="Q71" s="61">
        <v>43</v>
      </c>
      <c r="R71" s="80">
        <v>54</v>
      </c>
      <c r="S71" s="61">
        <v>54</v>
      </c>
      <c r="T71" s="61">
        <v>54</v>
      </c>
      <c r="U71" s="61">
        <v>56</v>
      </c>
      <c r="V71" s="61">
        <v>57</v>
      </c>
      <c r="W71" s="61">
        <v>57</v>
      </c>
      <c r="X71" s="61">
        <v>57</v>
      </c>
      <c r="Y71" s="83">
        <v>61</v>
      </c>
      <c r="Z71" s="61">
        <v>50</v>
      </c>
      <c r="AA71" s="61">
        <v>50</v>
      </c>
      <c r="AB71" s="61">
        <v>51</v>
      </c>
      <c r="AC71" s="61">
        <v>52</v>
      </c>
      <c r="AD71" s="61">
        <v>53</v>
      </c>
      <c r="AE71" s="61">
        <v>53</v>
      </c>
      <c r="AF71" s="61">
        <v>53</v>
      </c>
      <c r="AG71" s="83">
        <v>53</v>
      </c>
      <c r="AI71" s="85">
        <v>10</v>
      </c>
      <c r="AJ71" s="61">
        <v>43</v>
      </c>
      <c r="AK71" s="61">
        <v>32</v>
      </c>
      <c r="AL71" s="61">
        <v>35</v>
      </c>
      <c r="AM71" s="61">
        <v>35</v>
      </c>
      <c r="AN71" s="61">
        <v>49</v>
      </c>
      <c r="AO71" s="61">
        <v>35</v>
      </c>
      <c r="AP71" s="61">
        <v>33</v>
      </c>
      <c r="AQ71" s="61">
        <v>37</v>
      </c>
      <c r="AR71" s="122">
        <v>80</v>
      </c>
      <c r="AS71" s="61">
        <v>75</v>
      </c>
      <c r="AT71" s="61">
        <v>82</v>
      </c>
      <c r="AU71" s="61">
        <v>77</v>
      </c>
      <c r="AV71" s="61">
        <v>91</v>
      </c>
      <c r="AW71" s="61">
        <v>85</v>
      </c>
      <c r="AX71" s="61">
        <v>89</v>
      </c>
      <c r="AY71" s="89">
        <v>89</v>
      </c>
      <c r="AZ71" s="61">
        <v>69</v>
      </c>
      <c r="BA71" s="61">
        <v>63</v>
      </c>
      <c r="BB71" s="61">
        <v>62</v>
      </c>
      <c r="BC71" s="61">
        <v>65</v>
      </c>
      <c r="BD71" s="61">
        <v>83</v>
      </c>
      <c r="BE71" s="61">
        <v>77</v>
      </c>
      <c r="BF71" s="61">
        <v>67</v>
      </c>
      <c r="BG71" s="89">
        <v>73</v>
      </c>
    </row>
    <row r="72" spans="9:59">
      <c r="I72" s="115">
        <v>9</v>
      </c>
      <c r="J72" s="61">
        <v>39</v>
      </c>
      <c r="K72" s="61">
        <v>39</v>
      </c>
      <c r="L72" s="61">
        <v>40</v>
      </c>
      <c r="M72" s="61">
        <v>40</v>
      </c>
      <c r="N72" s="61">
        <v>40</v>
      </c>
      <c r="O72" s="61">
        <v>40</v>
      </c>
      <c r="P72" s="61">
        <v>40</v>
      </c>
      <c r="Q72" s="61">
        <v>41</v>
      </c>
      <c r="R72" s="80">
        <v>50</v>
      </c>
      <c r="S72" s="61">
        <v>50</v>
      </c>
      <c r="T72" s="61">
        <v>50</v>
      </c>
      <c r="U72" s="61">
        <v>52</v>
      </c>
      <c r="V72" s="61">
        <v>53</v>
      </c>
      <c r="W72" s="61">
        <v>53</v>
      </c>
      <c r="X72" s="61">
        <v>53</v>
      </c>
      <c r="Y72" s="83">
        <v>57</v>
      </c>
      <c r="Z72" s="61">
        <v>47</v>
      </c>
      <c r="AA72" s="61">
        <v>47</v>
      </c>
      <c r="AB72" s="61">
        <v>48</v>
      </c>
      <c r="AC72" s="61">
        <v>49</v>
      </c>
      <c r="AD72" s="61">
        <v>49</v>
      </c>
      <c r="AE72" s="61">
        <v>49</v>
      </c>
      <c r="AF72" s="61">
        <v>49</v>
      </c>
      <c r="AG72" s="83">
        <v>50</v>
      </c>
      <c r="AI72" s="85">
        <v>9</v>
      </c>
      <c r="AJ72" s="61">
        <v>28</v>
      </c>
      <c r="AK72" s="61">
        <v>21</v>
      </c>
      <c r="AL72" s="61">
        <v>27</v>
      </c>
      <c r="AM72" s="61">
        <v>29</v>
      </c>
      <c r="AN72" s="61">
        <v>40</v>
      </c>
      <c r="AO72" s="61">
        <v>27</v>
      </c>
      <c r="AP72" s="61">
        <v>21</v>
      </c>
      <c r="AQ72" s="61">
        <v>27</v>
      </c>
      <c r="AR72" s="122">
        <v>62</v>
      </c>
      <c r="AS72" s="61">
        <v>56</v>
      </c>
      <c r="AT72" s="61">
        <v>62</v>
      </c>
      <c r="AU72" s="61">
        <v>62</v>
      </c>
      <c r="AV72" s="61">
        <v>84</v>
      </c>
      <c r="AW72" s="61">
        <v>65</v>
      </c>
      <c r="AX72" s="61">
        <v>77</v>
      </c>
      <c r="AY72" s="89">
        <v>82</v>
      </c>
      <c r="AZ72" s="61">
        <v>59</v>
      </c>
      <c r="BA72" s="61">
        <v>53</v>
      </c>
      <c r="BB72" s="61">
        <v>54</v>
      </c>
      <c r="BC72" s="61">
        <v>58</v>
      </c>
      <c r="BD72" s="61">
        <v>73</v>
      </c>
      <c r="BE72" s="61">
        <v>65</v>
      </c>
      <c r="BF72" s="61">
        <v>54</v>
      </c>
      <c r="BG72" s="89">
        <v>63</v>
      </c>
    </row>
    <row r="73" spans="9:59">
      <c r="I73" s="115">
        <v>8</v>
      </c>
      <c r="J73" s="61">
        <v>37</v>
      </c>
      <c r="K73" s="61">
        <v>37</v>
      </c>
      <c r="L73" s="61">
        <v>38</v>
      </c>
      <c r="M73" s="61">
        <v>38</v>
      </c>
      <c r="N73" s="61">
        <v>37</v>
      </c>
      <c r="O73" s="61">
        <v>37</v>
      </c>
      <c r="P73" s="61">
        <v>37</v>
      </c>
      <c r="Q73" s="61">
        <v>38</v>
      </c>
      <c r="R73" s="80">
        <v>46</v>
      </c>
      <c r="S73" s="61">
        <v>46</v>
      </c>
      <c r="T73" s="61">
        <v>46</v>
      </c>
      <c r="U73" s="61">
        <v>49</v>
      </c>
      <c r="V73" s="61">
        <v>49</v>
      </c>
      <c r="W73" s="61">
        <v>49</v>
      </c>
      <c r="X73" s="61">
        <v>49</v>
      </c>
      <c r="Y73" s="83">
        <v>53</v>
      </c>
      <c r="Z73" s="61">
        <v>45</v>
      </c>
      <c r="AA73" s="61">
        <v>45</v>
      </c>
      <c r="AB73" s="61">
        <v>45</v>
      </c>
      <c r="AC73" s="61">
        <v>46</v>
      </c>
      <c r="AD73" s="61">
        <v>46</v>
      </c>
      <c r="AE73" s="61">
        <v>46</v>
      </c>
      <c r="AF73" s="61">
        <v>46</v>
      </c>
      <c r="AG73" s="83">
        <v>46</v>
      </c>
      <c r="AI73" s="85">
        <v>8</v>
      </c>
      <c r="AJ73" s="61">
        <v>14</v>
      </c>
      <c r="AK73" s="61">
        <v>12</v>
      </c>
      <c r="AL73" s="61">
        <v>16</v>
      </c>
      <c r="AM73" s="61">
        <v>19</v>
      </c>
      <c r="AN73" s="61">
        <v>18</v>
      </c>
      <c r="AO73" s="61">
        <v>10</v>
      </c>
      <c r="AP73" s="61">
        <v>11</v>
      </c>
      <c r="AQ73" s="61">
        <v>13</v>
      </c>
      <c r="AR73" s="122">
        <v>45</v>
      </c>
      <c r="AS73" s="61">
        <v>47</v>
      </c>
      <c r="AT73" s="61">
        <v>44</v>
      </c>
      <c r="AU73" s="61">
        <v>51</v>
      </c>
      <c r="AV73" s="61">
        <v>71</v>
      </c>
      <c r="AW73" s="61">
        <v>58</v>
      </c>
      <c r="AX73" s="61">
        <v>63</v>
      </c>
      <c r="AY73" s="89">
        <v>76</v>
      </c>
      <c r="AZ73" s="61">
        <v>43</v>
      </c>
      <c r="BA73" s="61">
        <v>37</v>
      </c>
      <c r="BB73" s="61">
        <v>44</v>
      </c>
      <c r="BC73" s="61">
        <v>49</v>
      </c>
      <c r="BD73" s="61">
        <v>50</v>
      </c>
      <c r="BE73" s="61">
        <v>48</v>
      </c>
      <c r="BF73" s="61">
        <v>45</v>
      </c>
      <c r="BG73" s="89">
        <v>50</v>
      </c>
    </row>
    <row r="74" spans="9:59">
      <c r="I74" s="115">
        <v>7</v>
      </c>
      <c r="J74" s="82"/>
      <c r="K74" s="82"/>
      <c r="L74" s="82"/>
      <c r="M74" s="82"/>
      <c r="N74" s="82"/>
      <c r="O74" s="82"/>
      <c r="P74" s="82"/>
      <c r="Q74" s="82"/>
      <c r="R74" s="80">
        <v>44</v>
      </c>
      <c r="S74" s="61">
        <v>44</v>
      </c>
      <c r="T74" s="61">
        <v>44</v>
      </c>
      <c r="U74" s="61">
        <v>45</v>
      </c>
      <c r="V74" s="61">
        <v>47</v>
      </c>
      <c r="W74" s="61">
        <v>47</v>
      </c>
      <c r="X74" s="61">
        <v>47</v>
      </c>
      <c r="Y74" s="83">
        <v>49</v>
      </c>
      <c r="Z74" s="61">
        <v>42</v>
      </c>
      <c r="AA74" s="61">
        <v>42</v>
      </c>
      <c r="AB74" s="61">
        <v>42</v>
      </c>
      <c r="AC74" s="61">
        <v>43</v>
      </c>
      <c r="AD74" s="61">
        <v>42</v>
      </c>
      <c r="AE74" s="61">
        <v>42</v>
      </c>
      <c r="AF74" s="61">
        <v>42</v>
      </c>
      <c r="AG74" s="83">
        <v>43</v>
      </c>
      <c r="AI74" s="85">
        <v>7</v>
      </c>
      <c r="AJ74" s="86"/>
      <c r="AK74" s="86"/>
      <c r="AL74" s="86"/>
      <c r="AM74" s="86"/>
      <c r="AN74" s="86"/>
      <c r="AO74" s="86"/>
      <c r="AP74" s="86"/>
      <c r="AQ74" s="86"/>
      <c r="AR74" s="122">
        <v>37</v>
      </c>
      <c r="AS74" s="61">
        <v>36</v>
      </c>
      <c r="AT74" s="61">
        <v>37</v>
      </c>
      <c r="AU74" s="61">
        <v>44</v>
      </c>
      <c r="AV74" s="61">
        <v>55</v>
      </c>
      <c r="AW74" s="61">
        <v>46</v>
      </c>
      <c r="AX74" s="61">
        <v>52</v>
      </c>
      <c r="AY74" s="89">
        <v>64</v>
      </c>
      <c r="AZ74" s="61">
        <v>33</v>
      </c>
      <c r="BA74" s="61">
        <v>25</v>
      </c>
      <c r="BB74" s="61">
        <v>32</v>
      </c>
      <c r="BC74" s="61">
        <v>38</v>
      </c>
      <c r="BD74" s="61">
        <v>28</v>
      </c>
      <c r="BE74" s="61">
        <v>28</v>
      </c>
      <c r="BF74" s="61">
        <v>35</v>
      </c>
      <c r="BG74" s="89">
        <v>36</v>
      </c>
    </row>
    <row r="75" spans="9:59">
      <c r="I75" s="115">
        <v>6</v>
      </c>
      <c r="J75" s="82"/>
      <c r="K75" s="82"/>
      <c r="L75" s="82"/>
      <c r="M75" s="82"/>
      <c r="N75" s="82"/>
      <c r="O75" s="82"/>
      <c r="P75" s="82"/>
      <c r="Q75" s="82"/>
      <c r="R75" s="80">
        <v>39</v>
      </c>
      <c r="S75" s="61">
        <v>39</v>
      </c>
      <c r="T75" s="61">
        <v>40</v>
      </c>
      <c r="U75" s="61">
        <v>42</v>
      </c>
      <c r="V75" s="61">
        <v>41</v>
      </c>
      <c r="W75" s="61">
        <v>41</v>
      </c>
      <c r="X75" s="61">
        <v>42</v>
      </c>
      <c r="Y75" s="83">
        <v>44</v>
      </c>
      <c r="Z75" s="61">
        <v>38</v>
      </c>
      <c r="AA75" s="61">
        <v>38</v>
      </c>
      <c r="AB75" s="61">
        <v>39</v>
      </c>
      <c r="AC75" s="61">
        <v>40</v>
      </c>
      <c r="AD75" s="61">
        <v>37</v>
      </c>
      <c r="AE75" s="61">
        <v>38</v>
      </c>
      <c r="AF75" s="61">
        <v>39</v>
      </c>
      <c r="AG75" s="83">
        <v>39</v>
      </c>
      <c r="AI75" s="85">
        <v>6</v>
      </c>
      <c r="AJ75" s="86"/>
      <c r="AK75" s="86"/>
      <c r="AL75" s="86"/>
      <c r="AM75" s="86"/>
      <c r="AN75" s="86"/>
      <c r="AO75" s="86"/>
      <c r="AP75" s="86"/>
      <c r="AQ75" s="86"/>
      <c r="AR75" s="122">
        <v>25</v>
      </c>
      <c r="AS75" s="61">
        <v>19</v>
      </c>
      <c r="AT75" s="61">
        <v>27</v>
      </c>
      <c r="AU75" s="61">
        <v>36</v>
      </c>
      <c r="AV75" s="61">
        <v>35</v>
      </c>
      <c r="AW75" s="61">
        <v>29</v>
      </c>
      <c r="AX75" s="61">
        <v>36</v>
      </c>
      <c r="AY75" s="89">
        <v>45</v>
      </c>
      <c r="AZ75" s="61">
        <v>19</v>
      </c>
      <c r="BA75" s="61">
        <v>17</v>
      </c>
      <c r="BB75" s="61">
        <v>23</v>
      </c>
      <c r="BC75" s="61">
        <v>27</v>
      </c>
      <c r="BD75" s="61">
        <v>19</v>
      </c>
      <c r="BE75" s="61">
        <v>15</v>
      </c>
      <c r="BF75" s="61">
        <v>18</v>
      </c>
      <c r="BG75" s="89">
        <v>24</v>
      </c>
    </row>
    <row r="76" spans="9:59">
      <c r="I76" s="115">
        <v>5</v>
      </c>
      <c r="J76" s="82"/>
      <c r="K76" s="82"/>
      <c r="L76" s="82"/>
      <c r="M76" s="82"/>
      <c r="N76" s="82"/>
      <c r="O76" s="82"/>
      <c r="P76" s="82"/>
      <c r="Q76" s="82"/>
      <c r="R76" s="80">
        <v>35</v>
      </c>
      <c r="S76" s="61">
        <v>35</v>
      </c>
      <c r="T76" s="61">
        <v>36</v>
      </c>
      <c r="U76" s="61">
        <v>38</v>
      </c>
      <c r="V76" s="61">
        <v>38</v>
      </c>
      <c r="W76" s="61">
        <v>38</v>
      </c>
      <c r="X76" s="61">
        <v>38</v>
      </c>
      <c r="Y76" s="83">
        <v>40</v>
      </c>
      <c r="Z76" s="82"/>
      <c r="AA76" s="82"/>
      <c r="AB76" s="82"/>
      <c r="AC76" s="82"/>
      <c r="AD76" s="82"/>
      <c r="AE76" s="82"/>
      <c r="AF76" s="82"/>
      <c r="AG76" s="84"/>
      <c r="AI76" s="85">
        <v>5</v>
      </c>
      <c r="AJ76" s="86"/>
      <c r="AK76" s="86"/>
      <c r="AL76" s="86"/>
      <c r="AM76" s="86"/>
      <c r="AN76" s="86"/>
      <c r="AO76" s="86"/>
      <c r="AP76" s="86"/>
      <c r="AQ76" s="86"/>
      <c r="AR76" s="122">
        <v>14</v>
      </c>
      <c r="AS76" s="61">
        <v>10</v>
      </c>
      <c r="AT76" s="61">
        <v>17</v>
      </c>
      <c r="AU76" s="61">
        <v>26</v>
      </c>
      <c r="AV76" s="61">
        <v>20</v>
      </c>
      <c r="AW76" s="61">
        <v>14</v>
      </c>
      <c r="AX76" s="61">
        <v>19</v>
      </c>
      <c r="AY76" s="89">
        <v>28</v>
      </c>
      <c r="AZ76" s="86"/>
      <c r="BA76" s="86"/>
      <c r="BB76" s="86"/>
      <c r="BC76" s="86"/>
      <c r="BD76" s="86"/>
      <c r="BE76" s="86"/>
      <c r="BF76" s="86"/>
      <c r="BG76" s="88"/>
    </row>
    <row r="77" spans="9:59" ht="15.75" thickBot="1">
      <c r="I77" s="123">
        <v>4</v>
      </c>
      <c r="J77" s="124"/>
      <c r="K77" s="124"/>
      <c r="L77" s="124"/>
      <c r="M77" s="124"/>
      <c r="N77" s="124"/>
      <c r="O77" s="124"/>
      <c r="P77" s="124"/>
      <c r="Q77" s="124"/>
      <c r="R77" s="126"/>
      <c r="S77" s="124"/>
      <c r="T77" s="124"/>
      <c r="U77" s="124"/>
      <c r="V77" s="124"/>
      <c r="W77" s="124"/>
      <c r="X77" s="124"/>
      <c r="Y77" s="133"/>
      <c r="Z77" s="124"/>
      <c r="AA77" s="124"/>
      <c r="AB77" s="124"/>
      <c r="AC77" s="124"/>
      <c r="AD77" s="124"/>
      <c r="AE77" s="124"/>
      <c r="AF77" s="124"/>
      <c r="AG77" s="133"/>
      <c r="AI77" s="102">
        <v>4</v>
      </c>
      <c r="AJ77" s="103"/>
      <c r="AK77" s="103"/>
      <c r="AL77" s="103"/>
      <c r="AM77" s="103"/>
      <c r="AN77" s="103"/>
      <c r="AO77" s="103"/>
      <c r="AP77" s="103"/>
      <c r="AQ77" s="103"/>
      <c r="AR77" s="104"/>
      <c r="AS77" s="103"/>
      <c r="AT77" s="103"/>
      <c r="AU77" s="103"/>
      <c r="AV77" s="103"/>
      <c r="AW77" s="103"/>
      <c r="AX77" s="103"/>
      <c r="AY77" s="107"/>
      <c r="AZ77" s="103"/>
      <c r="BA77" s="103"/>
      <c r="BB77" s="103"/>
      <c r="BC77" s="103"/>
      <c r="BD77" s="103"/>
      <c r="BE77" s="103"/>
      <c r="BF77" s="103"/>
      <c r="BG77" s="107"/>
    </row>
    <row r="78" spans="9:59" ht="16.5" thickTop="1" thickBot="1">
      <c r="I78" s="126" t="s">
        <v>78</v>
      </c>
      <c r="J78" s="124">
        <v>7</v>
      </c>
      <c r="K78" s="124">
        <v>6</v>
      </c>
      <c r="L78" s="124">
        <v>6</v>
      </c>
      <c r="M78" s="124">
        <v>5</v>
      </c>
      <c r="N78" s="124">
        <v>7</v>
      </c>
      <c r="O78" s="124">
        <v>6</v>
      </c>
      <c r="P78" s="124">
        <v>6</v>
      </c>
      <c r="Q78" s="124">
        <v>5</v>
      </c>
      <c r="R78" s="126">
        <v>7</v>
      </c>
      <c r="S78" s="124">
        <v>7</v>
      </c>
      <c r="T78" s="124">
        <v>7</v>
      </c>
      <c r="U78" s="124">
        <v>5</v>
      </c>
      <c r="V78" s="124">
        <v>7</v>
      </c>
      <c r="W78" s="124">
        <v>6</v>
      </c>
      <c r="X78" s="124">
        <v>6</v>
      </c>
      <c r="Y78" s="133">
        <v>6</v>
      </c>
      <c r="Z78" s="124">
        <v>8</v>
      </c>
      <c r="AA78" s="124">
        <v>6</v>
      </c>
      <c r="AB78" s="124">
        <v>6</v>
      </c>
      <c r="AC78" s="124">
        <v>5</v>
      </c>
      <c r="AD78" s="124">
        <v>9</v>
      </c>
      <c r="AE78" s="124">
        <v>7</v>
      </c>
      <c r="AF78" s="124">
        <v>6</v>
      </c>
      <c r="AG78" s="133">
        <v>7</v>
      </c>
    </row>
    <row r="79" spans="9:59" ht="15.75" thickTop="1">
      <c r="I79" s="112"/>
      <c r="J79" s="273" t="s">
        <v>91</v>
      </c>
      <c r="K79" s="273"/>
      <c r="L79" s="273"/>
      <c r="M79" s="273"/>
      <c r="N79" s="273"/>
      <c r="O79" s="273"/>
      <c r="P79" s="273"/>
      <c r="Q79" s="274"/>
      <c r="R79" s="273" t="s">
        <v>92</v>
      </c>
      <c r="S79" s="273"/>
      <c r="T79" s="273"/>
      <c r="U79" s="273"/>
      <c r="V79" s="273"/>
      <c r="W79" s="273"/>
      <c r="X79" s="273"/>
      <c r="Y79" s="274"/>
      <c r="Z79" s="273" t="s">
        <v>93</v>
      </c>
      <c r="AA79" s="273"/>
      <c r="AB79" s="273"/>
      <c r="AC79" s="273"/>
      <c r="AD79" s="273"/>
      <c r="AE79" s="273"/>
      <c r="AF79" s="273"/>
      <c r="AG79" s="274"/>
      <c r="AI79" s="63"/>
      <c r="AJ79" s="271" t="s">
        <v>91</v>
      </c>
      <c r="AK79" s="267"/>
      <c r="AL79" s="267"/>
      <c r="AM79" s="267"/>
      <c r="AN79" s="267"/>
      <c r="AO79" s="267"/>
      <c r="AP79" s="267"/>
      <c r="AQ79" s="267"/>
      <c r="AR79" s="271" t="s">
        <v>92</v>
      </c>
      <c r="AS79" s="267"/>
      <c r="AT79" s="267"/>
      <c r="AU79" s="267"/>
      <c r="AV79" s="267"/>
      <c r="AW79" s="267"/>
      <c r="AX79" s="267"/>
      <c r="AY79" s="268"/>
      <c r="AZ79" s="267" t="s">
        <v>93</v>
      </c>
      <c r="BA79" s="267"/>
      <c r="BB79" s="267"/>
      <c r="BC79" s="267"/>
      <c r="BD79" s="267"/>
      <c r="BE79" s="267"/>
      <c r="BF79" s="267"/>
      <c r="BG79" s="268"/>
    </row>
    <row r="80" spans="9:59">
      <c r="I80" s="113"/>
      <c r="J80" s="269" t="s">
        <v>8</v>
      </c>
      <c r="K80" s="269"/>
      <c r="L80" s="269"/>
      <c r="M80" s="269"/>
      <c r="N80" s="269" t="s">
        <v>61</v>
      </c>
      <c r="O80" s="269"/>
      <c r="P80" s="269"/>
      <c r="Q80" s="275"/>
      <c r="R80" s="269" t="s">
        <v>8</v>
      </c>
      <c r="S80" s="269"/>
      <c r="T80" s="269"/>
      <c r="U80" s="269"/>
      <c r="V80" s="269" t="s">
        <v>61</v>
      </c>
      <c r="W80" s="269"/>
      <c r="X80" s="269"/>
      <c r="Y80" s="275"/>
      <c r="Z80" s="269" t="s">
        <v>8</v>
      </c>
      <c r="AA80" s="269"/>
      <c r="AB80" s="269"/>
      <c r="AC80" s="269"/>
      <c r="AD80" s="269" t="s">
        <v>61</v>
      </c>
      <c r="AE80" s="269"/>
      <c r="AF80" s="269"/>
      <c r="AG80" s="275"/>
      <c r="AI80" s="65"/>
      <c r="AJ80" s="272" t="s">
        <v>8</v>
      </c>
      <c r="AK80" s="269"/>
      <c r="AL80" s="269"/>
      <c r="AM80" s="269"/>
      <c r="AN80" s="269" t="s">
        <v>61</v>
      </c>
      <c r="AO80" s="269"/>
      <c r="AP80" s="269"/>
      <c r="AQ80" s="269"/>
      <c r="AR80" s="272" t="s">
        <v>8</v>
      </c>
      <c r="AS80" s="269"/>
      <c r="AT80" s="269"/>
      <c r="AU80" s="269"/>
      <c r="AV80" s="269" t="s">
        <v>61</v>
      </c>
      <c r="AW80" s="269"/>
      <c r="AX80" s="269"/>
      <c r="AY80" s="270"/>
      <c r="AZ80" s="269" t="s">
        <v>8</v>
      </c>
      <c r="BA80" s="269"/>
      <c r="BB80" s="269"/>
      <c r="BC80" s="269"/>
      <c r="BD80" s="269" t="s">
        <v>61</v>
      </c>
      <c r="BE80" s="269"/>
      <c r="BF80" s="269"/>
      <c r="BG80" s="270"/>
    </row>
    <row r="81" spans="9:59">
      <c r="I81" s="114" t="s">
        <v>66</v>
      </c>
      <c r="J81" s="70" t="s">
        <v>4</v>
      </c>
      <c r="K81" s="70" t="s">
        <v>67</v>
      </c>
      <c r="L81" s="70" t="s">
        <v>68</v>
      </c>
      <c r="M81" s="70" t="s">
        <v>51</v>
      </c>
      <c r="N81" s="70" t="s">
        <v>4</v>
      </c>
      <c r="O81" s="70" t="s">
        <v>67</v>
      </c>
      <c r="P81" s="70" t="s">
        <v>68</v>
      </c>
      <c r="Q81" s="71" t="s">
        <v>51</v>
      </c>
      <c r="R81" s="70" t="s">
        <v>4</v>
      </c>
      <c r="S81" s="70" t="s">
        <v>67</v>
      </c>
      <c r="T81" s="70" t="s">
        <v>68</v>
      </c>
      <c r="U81" s="70" t="s">
        <v>51</v>
      </c>
      <c r="V81" s="70" t="s">
        <v>4</v>
      </c>
      <c r="W81" s="70" t="s">
        <v>67</v>
      </c>
      <c r="X81" s="70" t="s">
        <v>68</v>
      </c>
      <c r="Y81" s="71" t="s">
        <v>51</v>
      </c>
      <c r="Z81" s="70" t="s">
        <v>4</v>
      </c>
      <c r="AA81" s="70" t="s">
        <v>67</v>
      </c>
      <c r="AB81" s="70" t="s">
        <v>68</v>
      </c>
      <c r="AC81" s="70" t="s">
        <v>51</v>
      </c>
      <c r="AD81" s="70" t="s">
        <v>4</v>
      </c>
      <c r="AE81" s="70" t="s">
        <v>67</v>
      </c>
      <c r="AF81" s="70" t="s">
        <v>68</v>
      </c>
      <c r="AG81" s="71" t="s">
        <v>51</v>
      </c>
      <c r="AI81" s="72" t="s">
        <v>66</v>
      </c>
      <c r="AJ81" s="73" t="s">
        <v>4</v>
      </c>
      <c r="AK81" s="70" t="s">
        <v>67</v>
      </c>
      <c r="AL81" s="70" t="s">
        <v>68</v>
      </c>
      <c r="AM81" s="70" t="s">
        <v>51</v>
      </c>
      <c r="AN81" s="70" t="s">
        <v>4</v>
      </c>
      <c r="AO81" s="70" t="s">
        <v>67</v>
      </c>
      <c r="AP81" s="70" t="s">
        <v>68</v>
      </c>
      <c r="AQ81" s="70" t="s">
        <v>51</v>
      </c>
      <c r="AR81" s="73" t="s">
        <v>4</v>
      </c>
      <c r="AS81" s="70" t="s">
        <v>67</v>
      </c>
      <c r="AT81" s="70" t="s">
        <v>68</v>
      </c>
      <c r="AU81" s="70" t="s">
        <v>51</v>
      </c>
      <c r="AV81" s="70" t="s">
        <v>4</v>
      </c>
      <c r="AW81" s="70" t="s">
        <v>67</v>
      </c>
      <c r="AX81" s="70" t="s">
        <v>68</v>
      </c>
      <c r="AY81" s="74" t="s">
        <v>51</v>
      </c>
      <c r="AZ81" s="70" t="s">
        <v>4</v>
      </c>
      <c r="BA81" s="70" t="s">
        <v>67</v>
      </c>
      <c r="BB81" s="70" t="s">
        <v>68</v>
      </c>
      <c r="BC81" s="70" t="s">
        <v>51</v>
      </c>
      <c r="BD81" s="70" t="s">
        <v>4</v>
      </c>
      <c r="BE81" s="70" t="s">
        <v>67</v>
      </c>
      <c r="BF81" s="70" t="s">
        <v>68</v>
      </c>
      <c r="BG81" s="74" t="s">
        <v>51</v>
      </c>
    </row>
    <row r="82" spans="9:59">
      <c r="I82" s="115">
        <v>96</v>
      </c>
      <c r="J82" s="82"/>
      <c r="K82" s="82"/>
      <c r="L82" s="82"/>
      <c r="M82" s="82"/>
      <c r="N82" s="82"/>
      <c r="O82" s="82"/>
      <c r="P82" s="82"/>
      <c r="Q82" s="84"/>
      <c r="R82" s="82"/>
      <c r="S82" s="82"/>
      <c r="T82" s="82"/>
      <c r="U82" s="82"/>
      <c r="V82" s="82"/>
      <c r="W82" s="82"/>
      <c r="X82" s="82"/>
      <c r="Y82" s="84"/>
      <c r="Z82" s="61">
        <v>80</v>
      </c>
      <c r="AA82" s="61">
        <v>80</v>
      </c>
      <c r="AB82" s="61">
        <v>82</v>
      </c>
      <c r="AC82" s="61">
        <v>82</v>
      </c>
      <c r="AD82" s="61">
        <v>87</v>
      </c>
      <c r="AE82" s="61">
        <v>87</v>
      </c>
      <c r="AF82" s="61">
        <v>87</v>
      </c>
      <c r="AG82" s="83">
        <v>87</v>
      </c>
      <c r="AI82" s="85">
        <v>96</v>
      </c>
      <c r="AJ82" s="87"/>
      <c r="AK82" s="86"/>
      <c r="AL82" s="86"/>
      <c r="AM82" s="86"/>
      <c r="AN82" s="86"/>
      <c r="AO82" s="86"/>
      <c r="AP82" s="86"/>
      <c r="AQ82" s="86"/>
      <c r="AR82" s="87"/>
      <c r="AS82" s="86"/>
      <c r="AT82" s="86"/>
      <c r="AU82" s="86"/>
      <c r="AV82" s="86"/>
      <c r="AW82" s="86"/>
      <c r="AX82" s="86"/>
      <c r="AY82" s="88"/>
      <c r="AZ82" s="61" t="s">
        <v>70</v>
      </c>
      <c r="BA82" s="61" t="s">
        <v>70</v>
      </c>
      <c r="BB82" s="61" t="s">
        <v>70</v>
      </c>
      <c r="BC82" s="61" t="s">
        <v>70</v>
      </c>
      <c r="BD82" s="61" t="s">
        <v>70</v>
      </c>
      <c r="BE82" s="61" t="s">
        <v>70</v>
      </c>
      <c r="BF82" s="61" t="s">
        <v>70</v>
      </c>
      <c r="BG82" s="89" t="s">
        <v>70</v>
      </c>
    </row>
    <row r="83" spans="9:59">
      <c r="I83" s="115">
        <f>I82-1</f>
        <v>95</v>
      </c>
      <c r="J83" s="82"/>
      <c r="K83" s="82"/>
      <c r="L83" s="82"/>
      <c r="M83" s="82"/>
      <c r="N83" s="82"/>
      <c r="O83" s="82"/>
      <c r="P83" s="82"/>
      <c r="Q83" s="84"/>
      <c r="R83" s="82"/>
      <c r="S83" s="82"/>
      <c r="T83" s="82"/>
      <c r="U83" s="82"/>
      <c r="V83" s="82"/>
      <c r="W83" s="82"/>
      <c r="X83" s="82"/>
      <c r="Y83" s="84"/>
      <c r="Z83" s="61">
        <v>79</v>
      </c>
      <c r="AA83" s="61">
        <v>79</v>
      </c>
      <c r="AB83" s="61">
        <v>82</v>
      </c>
      <c r="AC83" s="61">
        <v>82</v>
      </c>
      <c r="AD83" s="61">
        <v>86</v>
      </c>
      <c r="AE83" s="61">
        <v>86</v>
      </c>
      <c r="AF83" s="61">
        <v>86</v>
      </c>
      <c r="AG83" s="83">
        <v>86</v>
      </c>
      <c r="AI83" s="85">
        <f>AI82-1</f>
        <v>95</v>
      </c>
      <c r="AJ83" s="87"/>
      <c r="AK83" s="86"/>
      <c r="AL83" s="86"/>
      <c r="AM83" s="86"/>
      <c r="AN83" s="86"/>
      <c r="AO83" s="86"/>
      <c r="AP83" s="86"/>
      <c r="AQ83" s="86"/>
      <c r="AR83" s="87"/>
      <c r="AS83" s="86"/>
      <c r="AT83" s="86"/>
      <c r="AU83" s="86"/>
      <c r="AV83" s="86"/>
      <c r="AW83" s="86"/>
      <c r="AX83" s="86"/>
      <c r="AY83" s="88"/>
      <c r="AZ83" s="61" t="s">
        <v>70</v>
      </c>
      <c r="BA83" s="61" t="s">
        <v>70</v>
      </c>
      <c r="BB83" s="61" t="s">
        <v>70</v>
      </c>
      <c r="BC83" s="61" t="s">
        <v>70</v>
      </c>
      <c r="BD83" s="61" t="s">
        <v>70</v>
      </c>
      <c r="BE83" s="61" t="s">
        <v>70</v>
      </c>
      <c r="BF83" s="61" t="s">
        <v>70</v>
      </c>
      <c r="BG83" s="89" t="s">
        <v>70</v>
      </c>
    </row>
    <row r="84" spans="9:59">
      <c r="I84" s="115">
        <f t="shared" ref="I84:I147" si="0">I83-1</f>
        <v>94</v>
      </c>
      <c r="J84" s="82"/>
      <c r="K84" s="82"/>
      <c r="L84" s="82"/>
      <c r="M84" s="82"/>
      <c r="N84" s="82"/>
      <c r="O84" s="82"/>
      <c r="P84" s="82"/>
      <c r="Q84" s="84"/>
      <c r="R84" s="82"/>
      <c r="S84" s="82"/>
      <c r="T84" s="82"/>
      <c r="U84" s="82"/>
      <c r="V84" s="82"/>
      <c r="W84" s="82"/>
      <c r="X84" s="82"/>
      <c r="Y84" s="84"/>
      <c r="Z84" s="61">
        <v>78</v>
      </c>
      <c r="AA84" s="61">
        <v>78</v>
      </c>
      <c r="AB84" s="61">
        <v>81</v>
      </c>
      <c r="AC84" s="61">
        <v>81</v>
      </c>
      <c r="AD84" s="61">
        <v>85</v>
      </c>
      <c r="AE84" s="61">
        <v>85</v>
      </c>
      <c r="AF84" s="61">
        <v>85</v>
      </c>
      <c r="AG84" s="83">
        <v>85</v>
      </c>
      <c r="AI84" s="85">
        <f t="shared" ref="AI84:AI147" si="1">AI83-1</f>
        <v>94</v>
      </c>
      <c r="AJ84" s="87"/>
      <c r="AK84" s="86"/>
      <c r="AL84" s="86"/>
      <c r="AM84" s="86"/>
      <c r="AN84" s="86"/>
      <c r="AO84" s="86"/>
      <c r="AP84" s="86"/>
      <c r="AQ84" s="86"/>
      <c r="AR84" s="87"/>
      <c r="AS84" s="86"/>
      <c r="AT84" s="86"/>
      <c r="AU84" s="86"/>
      <c r="AV84" s="86"/>
      <c r="AW84" s="86"/>
      <c r="AX84" s="86"/>
      <c r="AY84" s="88"/>
      <c r="AZ84" s="61" t="s">
        <v>70</v>
      </c>
      <c r="BA84" s="61" t="s">
        <v>70</v>
      </c>
      <c r="BB84" s="61" t="s">
        <v>70</v>
      </c>
      <c r="BC84" s="61" t="s">
        <v>70</v>
      </c>
      <c r="BD84" s="61" t="s">
        <v>70</v>
      </c>
      <c r="BE84" s="61" t="s">
        <v>70</v>
      </c>
      <c r="BF84" s="61" t="s">
        <v>70</v>
      </c>
      <c r="BG84" s="89" t="s">
        <v>70</v>
      </c>
    </row>
    <row r="85" spans="9:59">
      <c r="I85" s="115">
        <f t="shared" si="0"/>
        <v>93</v>
      </c>
      <c r="J85" s="82"/>
      <c r="K85" s="82"/>
      <c r="L85" s="82"/>
      <c r="M85" s="82"/>
      <c r="N85" s="82"/>
      <c r="O85" s="82"/>
      <c r="P85" s="82"/>
      <c r="Q85" s="84"/>
      <c r="R85" s="82"/>
      <c r="S85" s="82"/>
      <c r="T85" s="82"/>
      <c r="U85" s="82"/>
      <c r="V85" s="82"/>
      <c r="W85" s="82"/>
      <c r="X85" s="82"/>
      <c r="Y85" s="84"/>
      <c r="Z85" s="61">
        <v>77</v>
      </c>
      <c r="AA85" s="61">
        <v>77</v>
      </c>
      <c r="AB85" s="61">
        <v>80</v>
      </c>
      <c r="AC85" s="61">
        <v>80</v>
      </c>
      <c r="AD85" s="61">
        <v>85</v>
      </c>
      <c r="AE85" s="61">
        <v>85</v>
      </c>
      <c r="AF85" s="61">
        <v>85</v>
      </c>
      <c r="AG85" s="83">
        <v>85</v>
      </c>
      <c r="AI85" s="85">
        <f t="shared" si="1"/>
        <v>93</v>
      </c>
      <c r="AJ85" s="87"/>
      <c r="AK85" s="86"/>
      <c r="AL85" s="86"/>
      <c r="AM85" s="86"/>
      <c r="AN85" s="86"/>
      <c r="AO85" s="86"/>
      <c r="AP85" s="86"/>
      <c r="AQ85" s="86"/>
      <c r="AR85" s="87"/>
      <c r="AS85" s="86"/>
      <c r="AT85" s="86"/>
      <c r="AU85" s="86"/>
      <c r="AV85" s="86"/>
      <c r="AW85" s="86"/>
      <c r="AX85" s="86"/>
      <c r="AY85" s="88"/>
      <c r="AZ85" s="61" t="s">
        <v>70</v>
      </c>
      <c r="BA85" s="61" t="s">
        <v>70</v>
      </c>
      <c r="BB85" s="61" t="s">
        <v>70</v>
      </c>
      <c r="BC85" s="61" t="s">
        <v>70</v>
      </c>
      <c r="BD85" s="61" t="s">
        <v>70</v>
      </c>
      <c r="BE85" s="61" t="s">
        <v>70</v>
      </c>
      <c r="BF85" s="61" t="s">
        <v>70</v>
      </c>
      <c r="BG85" s="89" t="s">
        <v>70</v>
      </c>
    </row>
    <row r="86" spans="9:59">
      <c r="I86" s="115">
        <f t="shared" si="0"/>
        <v>92</v>
      </c>
      <c r="J86" s="82"/>
      <c r="K86" s="82"/>
      <c r="L86" s="82"/>
      <c r="M86" s="82"/>
      <c r="N86" s="82"/>
      <c r="O86" s="82"/>
      <c r="P86" s="82"/>
      <c r="Q86" s="84"/>
      <c r="R86" s="82"/>
      <c r="S86" s="82"/>
      <c r="T86" s="82"/>
      <c r="U86" s="82"/>
      <c r="V86" s="82"/>
      <c r="W86" s="82"/>
      <c r="X86" s="82"/>
      <c r="Y86" s="84"/>
      <c r="Z86" s="61">
        <v>77</v>
      </c>
      <c r="AA86" s="61">
        <v>77</v>
      </c>
      <c r="AB86" s="61">
        <v>80</v>
      </c>
      <c r="AC86" s="61">
        <v>80</v>
      </c>
      <c r="AD86" s="61">
        <v>84</v>
      </c>
      <c r="AE86" s="61">
        <v>84</v>
      </c>
      <c r="AF86" s="61">
        <v>84</v>
      </c>
      <c r="AG86" s="83">
        <v>84</v>
      </c>
      <c r="AI86" s="85">
        <f t="shared" si="1"/>
        <v>92</v>
      </c>
      <c r="AJ86" s="87"/>
      <c r="AK86" s="86"/>
      <c r="AL86" s="86"/>
      <c r="AM86" s="86"/>
      <c r="AN86" s="86"/>
      <c r="AO86" s="86"/>
      <c r="AP86" s="86"/>
      <c r="AQ86" s="86"/>
      <c r="AR86" s="87"/>
      <c r="AS86" s="86"/>
      <c r="AT86" s="86"/>
      <c r="AU86" s="86"/>
      <c r="AV86" s="86"/>
      <c r="AW86" s="86"/>
      <c r="AX86" s="86"/>
      <c r="AY86" s="88"/>
      <c r="AZ86" s="61" t="s">
        <v>70</v>
      </c>
      <c r="BA86" s="61" t="s">
        <v>70</v>
      </c>
      <c r="BB86" s="61">
        <v>99</v>
      </c>
      <c r="BC86" s="61" t="s">
        <v>70</v>
      </c>
      <c r="BD86" s="61" t="s">
        <v>70</v>
      </c>
      <c r="BE86" s="61" t="s">
        <v>70</v>
      </c>
      <c r="BF86" s="61" t="s">
        <v>70</v>
      </c>
      <c r="BG86" s="89" t="s">
        <v>70</v>
      </c>
    </row>
    <row r="87" spans="9:59">
      <c r="I87" s="115">
        <f t="shared" si="0"/>
        <v>91</v>
      </c>
      <c r="J87" s="82"/>
      <c r="K87" s="82"/>
      <c r="L87" s="82"/>
      <c r="M87" s="82"/>
      <c r="N87" s="82"/>
      <c r="O87" s="82"/>
      <c r="P87" s="82"/>
      <c r="Q87" s="84"/>
      <c r="R87" s="82"/>
      <c r="S87" s="82"/>
      <c r="T87" s="82"/>
      <c r="U87" s="82"/>
      <c r="V87" s="82"/>
      <c r="W87" s="82"/>
      <c r="X87" s="82"/>
      <c r="Y87" s="84"/>
      <c r="Z87" s="61">
        <v>76</v>
      </c>
      <c r="AA87" s="61">
        <v>76</v>
      </c>
      <c r="AB87" s="61">
        <v>79</v>
      </c>
      <c r="AC87" s="61">
        <v>79</v>
      </c>
      <c r="AD87" s="61">
        <v>83</v>
      </c>
      <c r="AE87" s="61">
        <v>83</v>
      </c>
      <c r="AF87" s="61">
        <v>83</v>
      </c>
      <c r="AG87" s="83">
        <v>83</v>
      </c>
      <c r="AI87" s="85">
        <f t="shared" si="1"/>
        <v>91</v>
      </c>
      <c r="AJ87" s="87"/>
      <c r="AK87" s="86"/>
      <c r="AL87" s="86"/>
      <c r="AM87" s="86"/>
      <c r="AN87" s="86"/>
      <c r="AO87" s="86"/>
      <c r="AP87" s="86"/>
      <c r="AQ87" s="86"/>
      <c r="AR87" s="87"/>
      <c r="AS87" s="86"/>
      <c r="AT87" s="86"/>
      <c r="AU87" s="86"/>
      <c r="AV87" s="86"/>
      <c r="AW87" s="86"/>
      <c r="AX87" s="86"/>
      <c r="AY87" s="88"/>
      <c r="AZ87" s="61" t="s">
        <v>70</v>
      </c>
      <c r="BA87" s="61">
        <v>99</v>
      </c>
      <c r="BB87" s="61">
        <v>99</v>
      </c>
      <c r="BC87" s="61" t="s">
        <v>70</v>
      </c>
      <c r="BD87" s="61" t="s">
        <v>70</v>
      </c>
      <c r="BE87" s="61">
        <v>99</v>
      </c>
      <c r="BF87" s="61" t="s">
        <v>70</v>
      </c>
      <c r="BG87" s="89" t="s">
        <v>70</v>
      </c>
    </row>
    <row r="88" spans="9:59">
      <c r="I88" s="115">
        <f t="shared" si="0"/>
        <v>90</v>
      </c>
      <c r="J88" s="82"/>
      <c r="K88" s="82"/>
      <c r="L88" s="82"/>
      <c r="M88" s="82"/>
      <c r="N88" s="82"/>
      <c r="O88" s="82"/>
      <c r="P88" s="82"/>
      <c r="Q88" s="84"/>
      <c r="R88" s="82"/>
      <c r="S88" s="82"/>
      <c r="T88" s="82"/>
      <c r="U88" s="82"/>
      <c r="V88" s="82"/>
      <c r="W88" s="82"/>
      <c r="X88" s="82"/>
      <c r="Y88" s="84"/>
      <c r="Z88" s="61">
        <v>75</v>
      </c>
      <c r="AA88" s="61">
        <v>75</v>
      </c>
      <c r="AB88" s="61">
        <v>78</v>
      </c>
      <c r="AC88" s="61">
        <v>78</v>
      </c>
      <c r="AD88" s="61">
        <v>82</v>
      </c>
      <c r="AE88" s="61">
        <v>82</v>
      </c>
      <c r="AF88" s="61">
        <v>82</v>
      </c>
      <c r="AG88" s="83">
        <v>82</v>
      </c>
      <c r="AI88" s="85">
        <f t="shared" si="1"/>
        <v>90</v>
      </c>
      <c r="AJ88" s="87"/>
      <c r="AK88" s="86"/>
      <c r="AL88" s="86"/>
      <c r="AM88" s="86"/>
      <c r="AN88" s="86"/>
      <c r="AO88" s="86"/>
      <c r="AP88" s="86"/>
      <c r="AQ88" s="86"/>
      <c r="AR88" s="87"/>
      <c r="AS88" s="86"/>
      <c r="AT88" s="86"/>
      <c r="AU88" s="86"/>
      <c r="AV88" s="86"/>
      <c r="AW88" s="86"/>
      <c r="AX88" s="86"/>
      <c r="AY88" s="88"/>
      <c r="AZ88" s="61" t="s">
        <v>70</v>
      </c>
      <c r="BA88" s="61">
        <v>99</v>
      </c>
      <c r="BB88" s="61">
        <v>99</v>
      </c>
      <c r="BC88" s="61" t="s">
        <v>70</v>
      </c>
      <c r="BD88" s="61" t="s">
        <v>70</v>
      </c>
      <c r="BE88" s="61">
        <v>99</v>
      </c>
      <c r="BF88" s="61" t="s">
        <v>70</v>
      </c>
      <c r="BG88" s="89" t="s">
        <v>70</v>
      </c>
    </row>
    <row r="89" spans="9:59">
      <c r="I89" s="115">
        <f t="shared" si="0"/>
        <v>89</v>
      </c>
      <c r="J89" s="82"/>
      <c r="K89" s="82"/>
      <c r="L89" s="82"/>
      <c r="M89" s="82"/>
      <c r="N89" s="82"/>
      <c r="O89" s="82"/>
      <c r="P89" s="82"/>
      <c r="Q89" s="84"/>
      <c r="R89" s="82"/>
      <c r="S89" s="82"/>
      <c r="T89" s="82"/>
      <c r="U89" s="82"/>
      <c r="V89" s="82"/>
      <c r="W89" s="82"/>
      <c r="X89" s="82"/>
      <c r="Y89" s="84"/>
      <c r="Z89" s="61">
        <v>75</v>
      </c>
      <c r="AA89" s="61">
        <v>75</v>
      </c>
      <c r="AB89" s="61">
        <v>77</v>
      </c>
      <c r="AC89" s="61">
        <v>77</v>
      </c>
      <c r="AD89" s="61">
        <v>81</v>
      </c>
      <c r="AE89" s="61">
        <v>81</v>
      </c>
      <c r="AF89" s="61">
        <v>81</v>
      </c>
      <c r="AG89" s="83">
        <v>81</v>
      </c>
      <c r="AI89" s="85">
        <f t="shared" si="1"/>
        <v>89</v>
      </c>
      <c r="AJ89" s="87"/>
      <c r="AK89" s="86"/>
      <c r="AL89" s="86"/>
      <c r="AM89" s="86"/>
      <c r="AN89" s="86"/>
      <c r="AO89" s="86"/>
      <c r="AP89" s="86"/>
      <c r="AQ89" s="86"/>
      <c r="AR89" s="87"/>
      <c r="AS89" s="86"/>
      <c r="AT89" s="86"/>
      <c r="AU89" s="86"/>
      <c r="AV89" s="86"/>
      <c r="AW89" s="86"/>
      <c r="AX89" s="86"/>
      <c r="AY89" s="88"/>
      <c r="AZ89" s="61" t="s">
        <v>70</v>
      </c>
      <c r="BA89" s="61">
        <v>99</v>
      </c>
      <c r="BB89" s="61">
        <v>99</v>
      </c>
      <c r="BC89" s="61">
        <v>99</v>
      </c>
      <c r="BD89" s="61" t="s">
        <v>70</v>
      </c>
      <c r="BE89" s="61">
        <v>99</v>
      </c>
      <c r="BF89" s="61" t="s">
        <v>70</v>
      </c>
      <c r="BG89" s="89" t="s">
        <v>70</v>
      </c>
    </row>
    <row r="90" spans="9:59">
      <c r="I90" s="115">
        <f t="shared" si="0"/>
        <v>88</v>
      </c>
      <c r="J90" s="82"/>
      <c r="K90" s="82"/>
      <c r="L90" s="82"/>
      <c r="M90" s="82"/>
      <c r="N90" s="82"/>
      <c r="O90" s="82"/>
      <c r="P90" s="82"/>
      <c r="Q90" s="84"/>
      <c r="R90" s="82"/>
      <c r="S90" s="82"/>
      <c r="T90" s="82"/>
      <c r="U90" s="82"/>
      <c r="V90" s="82"/>
      <c r="W90" s="82"/>
      <c r="X90" s="82"/>
      <c r="Y90" s="84"/>
      <c r="Z90" s="61">
        <v>74</v>
      </c>
      <c r="AA90" s="61">
        <v>74</v>
      </c>
      <c r="AB90" s="61">
        <v>77</v>
      </c>
      <c r="AC90" s="61">
        <v>77</v>
      </c>
      <c r="AD90" s="61">
        <v>81</v>
      </c>
      <c r="AE90" s="61">
        <v>81</v>
      </c>
      <c r="AF90" s="61">
        <v>81</v>
      </c>
      <c r="AG90" s="83">
        <v>81</v>
      </c>
      <c r="AI90" s="85">
        <f t="shared" si="1"/>
        <v>88</v>
      </c>
      <c r="AJ90" s="87"/>
      <c r="AK90" s="86"/>
      <c r="AL90" s="86"/>
      <c r="AM90" s="86"/>
      <c r="AN90" s="86"/>
      <c r="AO90" s="86"/>
      <c r="AP90" s="86"/>
      <c r="AQ90" s="86"/>
      <c r="AR90" s="87"/>
      <c r="AS90" s="86"/>
      <c r="AT90" s="86"/>
      <c r="AU90" s="86"/>
      <c r="AV90" s="86"/>
      <c r="AW90" s="86"/>
      <c r="AX90" s="86"/>
      <c r="AY90" s="88"/>
      <c r="AZ90" s="61" t="s">
        <v>70</v>
      </c>
      <c r="BA90" s="61">
        <v>99</v>
      </c>
      <c r="BB90" s="61">
        <v>99</v>
      </c>
      <c r="BC90" s="61">
        <v>99</v>
      </c>
      <c r="BD90" s="61" t="s">
        <v>70</v>
      </c>
      <c r="BE90" s="61">
        <v>99</v>
      </c>
      <c r="BF90" s="61" t="s">
        <v>70</v>
      </c>
      <c r="BG90" s="89">
        <v>99</v>
      </c>
    </row>
    <row r="91" spans="9:59">
      <c r="I91" s="115">
        <f t="shared" si="0"/>
        <v>87</v>
      </c>
      <c r="J91" s="82"/>
      <c r="K91" s="82"/>
      <c r="L91" s="82"/>
      <c r="M91" s="82"/>
      <c r="N91" s="82"/>
      <c r="O91" s="82"/>
      <c r="P91" s="82"/>
      <c r="Q91" s="84"/>
      <c r="R91" s="82"/>
      <c r="S91" s="82"/>
      <c r="T91" s="82"/>
      <c r="U91" s="82"/>
      <c r="V91" s="82"/>
      <c r="W91" s="82"/>
      <c r="X91" s="82"/>
      <c r="Y91" s="84"/>
      <c r="Z91" s="61">
        <v>73</v>
      </c>
      <c r="AA91" s="61">
        <v>73</v>
      </c>
      <c r="AB91" s="61">
        <v>76</v>
      </c>
      <c r="AC91" s="61">
        <v>76</v>
      </c>
      <c r="AD91" s="61">
        <v>80</v>
      </c>
      <c r="AE91" s="61">
        <v>80</v>
      </c>
      <c r="AF91" s="61">
        <v>80</v>
      </c>
      <c r="AG91" s="83">
        <v>80</v>
      </c>
      <c r="AI91" s="85">
        <f t="shared" si="1"/>
        <v>87</v>
      </c>
      <c r="AJ91" s="87"/>
      <c r="AK91" s="86"/>
      <c r="AL91" s="86"/>
      <c r="AM91" s="86"/>
      <c r="AN91" s="86"/>
      <c r="AO91" s="86"/>
      <c r="AP91" s="86"/>
      <c r="AQ91" s="86"/>
      <c r="AR91" s="87"/>
      <c r="AS91" s="86"/>
      <c r="AT91" s="86"/>
      <c r="AU91" s="86"/>
      <c r="AV91" s="86"/>
      <c r="AW91" s="86"/>
      <c r="AX91" s="86"/>
      <c r="AY91" s="88"/>
      <c r="AZ91" s="61" t="s">
        <v>70</v>
      </c>
      <c r="BA91" s="61">
        <v>99</v>
      </c>
      <c r="BB91" s="61">
        <v>99</v>
      </c>
      <c r="BC91" s="61">
        <v>99</v>
      </c>
      <c r="BD91" s="61" t="s">
        <v>70</v>
      </c>
      <c r="BE91" s="61">
        <v>99</v>
      </c>
      <c r="BF91" s="61" t="s">
        <v>70</v>
      </c>
      <c r="BG91" s="89">
        <v>99</v>
      </c>
    </row>
    <row r="92" spans="9:59">
      <c r="I92" s="115">
        <f t="shared" si="0"/>
        <v>86</v>
      </c>
      <c r="J92" s="82"/>
      <c r="K92" s="82"/>
      <c r="L92" s="82"/>
      <c r="M92" s="82"/>
      <c r="N92" s="82"/>
      <c r="O92" s="82"/>
      <c r="P92" s="82"/>
      <c r="Q92" s="84"/>
      <c r="R92" s="82"/>
      <c r="S92" s="82"/>
      <c r="T92" s="82"/>
      <c r="U92" s="82"/>
      <c r="V92" s="82"/>
      <c r="W92" s="82"/>
      <c r="X92" s="82"/>
      <c r="Y92" s="84"/>
      <c r="Z92" s="61">
        <v>73</v>
      </c>
      <c r="AA92" s="61">
        <v>73</v>
      </c>
      <c r="AB92" s="61">
        <v>75</v>
      </c>
      <c r="AC92" s="61">
        <v>75</v>
      </c>
      <c r="AD92" s="61">
        <v>79</v>
      </c>
      <c r="AE92" s="61">
        <v>79</v>
      </c>
      <c r="AF92" s="61">
        <v>79</v>
      </c>
      <c r="AG92" s="83">
        <v>79</v>
      </c>
      <c r="AI92" s="85">
        <f t="shared" si="1"/>
        <v>86</v>
      </c>
      <c r="AJ92" s="87"/>
      <c r="AK92" s="86"/>
      <c r="AL92" s="86"/>
      <c r="AM92" s="86"/>
      <c r="AN92" s="86"/>
      <c r="AO92" s="86"/>
      <c r="AP92" s="86"/>
      <c r="AQ92" s="86"/>
      <c r="AR92" s="87"/>
      <c r="AS92" s="86"/>
      <c r="AT92" s="86"/>
      <c r="AU92" s="86"/>
      <c r="AV92" s="86"/>
      <c r="AW92" s="86"/>
      <c r="AX92" s="86"/>
      <c r="AY92" s="88"/>
      <c r="AZ92" s="61" t="s">
        <v>70</v>
      </c>
      <c r="BA92" s="61">
        <v>99</v>
      </c>
      <c r="BB92" s="61">
        <v>99</v>
      </c>
      <c r="BC92" s="61">
        <v>99</v>
      </c>
      <c r="BD92" s="61" t="s">
        <v>70</v>
      </c>
      <c r="BE92" s="61">
        <v>99</v>
      </c>
      <c r="BF92" s="61">
        <v>99</v>
      </c>
      <c r="BG92" s="89">
        <v>99</v>
      </c>
    </row>
    <row r="93" spans="9:59">
      <c r="I93" s="115">
        <f t="shared" si="0"/>
        <v>85</v>
      </c>
      <c r="J93" s="82"/>
      <c r="K93" s="82"/>
      <c r="L93" s="82"/>
      <c r="M93" s="82"/>
      <c r="N93" s="82"/>
      <c r="O93" s="82"/>
      <c r="P93" s="82"/>
      <c r="Q93" s="84"/>
      <c r="R93" s="82"/>
      <c r="S93" s="82"/>
      <c r="T93" s="82"/>
      <c r="U93" s="82"/>
      <c r="V93" s="82"/>
      <c r="W93" s="82"/>
      <c r="X93" s="82"/>
      <c r="Y93" s="84"/>
      <c r="Z93" s="61">
        <v>72</v>
      </c>
      <c r="AA93" s="61">
        <v>72</v>
      </c>
      <c r="AB93" s="61">
        <v>75</v>
      </c>
      <c r="AC93" s="61">
        <v>75</v>
      </c>
      <c r="AD93" s="61">
        <v>78</v>
      </c>
      <c r="AE93" s="61">
        <v>78</v>
      </c>
      <c r="AF93" s="61">
        <v>78</v>
      </c>
      <c r="AG93" s="83">
        <v>78</v>
      </c>
      <c r="AI93" s="85">
        <f t="shared" si="1"/>
        <v>85</v>
      </c>
      <c r="AJ93" s="87"/>
      <c r="AK93" s="86"/>
      <c r="AL93" s="86"/>
      <c r="AM93" s="86"/>
      <c r="AN93" s="86"/>
      <c r="AO93" s="86"/>
      <c r="AP93" s="86"/>
      <c r="AQ93" s="86"/>
      <c r="AR93" s="87"/>
      <c r="AS93" s="86"/>
      <c r="AT93" s="86"/>
      <c r="AU93" s="86"/>
      <c r="AV93" s="86"/>
      <c r="AW93" s="86"/>
      <c r="AX93" s="86"/>
      <c r="AY93" s="88"/>
      <c r="AZ93" s="61" t="s">
        <v>70</v>
      </c>
      <c r="BA93" s="61">
        <v>99</v>
      </c>
      <c r="BB93" s="61">
        <v>99</v>
      </c>
      <c r="BC93" s="61">
        <v>99</v>
      </c>
      <c r="BD93" s="61" t="s">
        <v>70</v>
      </c>
      <c r="BE93" s="61">
        <v>99</v>
      </c>
      <c r="BF93" s="61">
        <v>99</v>
      </c>
      <c r="BG93" s="89">
        <v>98</v>
      </c>
    </row>
    <row r="94" spans="9:59">
      <c r="I94" s="115">
        <f t="shared" si="0"/>
        <v>84</v>
      </c>
      <c r="J94" s="82"/>
      <c r="K94" s="82"/>
      <c r="L94" s="82"/>
      <c r="M94" s="82"/>
      <c r="N94" s="82"/>
      <c r="O94" s="82"/>
      <c r="P94" s="82"/>
      <c r="Q94" s="84"/>
      <c r="R94" s="82"/>
      <c r="S94" s="82"/>
      <c r="T94" s="82"/>
      <c r="U94" s="82"/>
      <c r="V94" s="82"/>
      <c r="W94" s="82"/>
      <c r="X94" s="82"/>
      <c r="Y94" s="84"/>
      <c r="Z94" s="61">
        <v>71</v>
      </c>
      <c r="AA94" s="61">
        <v>71</v>
      </c>
      <c r="AB94" s="61">
        <v>74</v>
      </c>
      <c r="AC94" s="61">
        <v>74</v>
      </c>
      <c r="AD94" s="61">
        <v>77</v>
      </c>
      <c r="AE94" s="61">
        <v>77</v>
      </c>
      <c r="AF94" s="61">
        <v>77</v>
      </c>
      <c r="AG94" s="83">
        <v>77</v>
      </c>
      <c r="AI94" s="85">
        <f t="shared" si="1"/>
        <v>84</v>
      </c>
      <c r="AJ94" s="87"/>
      <c r="AK94" s="86"/>
      <c r="AL94" s="86"/>
      <c r="AM94" s="86"/>
      <c r="AN94" s="86"/>
      <c r="AO94" s="86"/>
      <c r="AP94" s="86"/>
      <c r="AQ94" s="86"/>
      <c r="AR94" s="87"/>
      <c r="AS94" s="86"/>
      <c r="AT94" s="86"/>
      <c r="AU94" s="86"/>
      <c r="AV94" s="86"/>
      <c r="AW94" s="86"/>
      <c r="AX94" s="86"/>
      <c r="AY94" s="88"/>
      <c r="AZ94" s="61" t="s">
        <v>70</v>
      </c>
      <c r="BA94" s="61">
        <v>99</v>
      </c>
      <c r="BB94" s="61">
        <v>99</v>
      </c>
      <c r="BC94" s="61">
        <v>98</v>
      </c>
      <c r="BD94" s="61" t="s">
        <v>70</v>
      </c>
      <c r="BE94" s="61">
        <v>99</v>
      </c>
      <c r="BF94" s="61">
        <v>99</v>
      </c>
      <c r="BG94" s="89">
        <v>98</v>
      </c>
    </row>
    <row r="95" spans="9:59">
      <c r="I95" s="115">
        <f t="shared" si="0"/>
        <v>83</v>
      </c>
      <c r="J95" s="82"/>
      <c r="K95" s="82"/>
      <c r="L95" s="82"/>
      <c r="M95" s="82"/>
      <c r="N95" s="82"/>
      <c r="O95" s="82"/>
      <c r="P95" s="82"/>
      <c r="Q95" s="84"/>
      <c r="R95" s="82"/>
      <c r="S95" s="82"/>
      <c r="T95" s="82"/>
      <c r="U95" s="82"/>
      <c r="V95" s="82"/>
      <c r="W95" s="82"/>
      <c r="X95" s="82"/>
      <c r="Y95" s="84"/>
      <c r="Z95" s="61">
        <v>71</v>
      </c>
      <c r="AA95" s="61">
        <v>71</v>
      </c>
      <c r="AB95" s="61">
        <v>73</v>
      </c>
      <c r="AC95" s="61">
        <v>73</v>
      </c>
      <c r="AD95" s="61">
        <v>77</v>
      </c>
      <c r="AE95" s="61">
        <v>77</v>
      </c>
      <c r="AF95" s="61">
        <v>77</v>
      </c>
      <c r="AG95" s="83">
        <v>77</v>
      </c>
      <c r="AI95" s="85">
        <f t="shared" si="1"/>
        <v>83</v>
      </c>
      <c r="AJ95" s="87"/>
      <c r="AK95" s="86"/>
      <c r="AL95" s="86"/>
      <c r="AM95" s="86"/>
      <c r="AN95" s="86"/>
      <c r="AO95" s="86"/>
      <c r="AP95" s="86"/>
      <c r="AQ95" s="86"/>
      <c r="AR95" s="87"/>
      <c r="AS95" s="86"/>
      <c r="AT95" s="86"/>
      <c r="AU95" s="86"/>
      <c r="AV95" s="86"/>
      <c r="AW95" s="86"/>
      <c r="AX95" s="86"/>
      <c r="AY95" s="88"/>
      <c r="AZ95" s="61">
        <v>99</v>
      </c>
      <c r="BA95" s="61">
        <v>99</v>
      </c>
      <c r="BB95" s="61">
        <v>99</v>
      </c>
      <c r="BC95" s="61">
        <v>96</v>
      </c>
      <c r="BD95" s="61" t="s">
        <v>70</v>
      </c>
      <c r="BE95" s="61">
        <v>99</v>
      </c>
      <c r="BF95" s="61">
        <v>99</v>
      </c>
      <c r="BG95" s="89">
        <v>98</v>
      </c>
    </row>
    <row r="96" spans="9:59">
      <c r="I96" s="115">
        <f t="shared" si="0"/>
        <v>82</v>
      </c>
      <c r="J96" s="82"/>
      <c r="K96" s="82"/>
      <c r="L96" s="82"/>
      <c r="M96" s="82"/>
      <c r="N96" s="82"/>
      <c r="O96" s="82"/>
      <c r="P96" s="82"/>
      <c r="Q96" s="84"/>
      <c r="R96" s="82"/>
      <c r="S96" s="82"/>
      <c r="T96" s="82"/>
      <c r="U96" s="82"/>
      <c r="V96" s="82"/>
      <c r="W96" s="82"/>
      <c r="X96" s="82"/>
      <c r="Y96" s="84"/>
      <c r="Z96" s="61">
        <v>70</v>
      </c>
      <c r="AA96" s="61">
        <v>70</v>
      </c>
      <c r="AB96" s="61">
        <v>72</v>
      </c>
      <c r="AC96" s="61">
        <v>72</v>
      </c>
      <c r="AD96" s="61">
        <v>76</v>
      </c>
      <c r="AE96" s="61">
        <v>76</v>
      </c>
      <c r="AF96" s="61">
        <v>76</v>
      </c>
      <c r="AG96" s="83">
        <v>76</v>
      </c>
      <c r="AI96" s="85">
        <f t="shared" si="1"/>
        <v>82</v>
      </c>
      <c r="AJ96" s="87"/>
      <c r="AK96" s="86"/>
      <c r="AL96" s="86"/>
      <c r="AM96" s="86"/>
      <c r="AN96" s="86"/>
      <c r="AO96" s="86"/>
      <c r="AP96" s="86"/>
      <c r="AQ96" s="86"/>
      <c r="AR96" s="87"/>
      <c r="AS96" s="86"/>
      <c r="AT96" s="86"/>
      <c r="AU96" s="86"/>
      <c r="AV96" s="86"/>
      <c r="AW96" s="86"/>
      <c r="AX96" s="86"/>
      <c r="AY96" s="88"/>
      <c r="AZ96" s="61">
        <v>99</v>
      </c>
      <c r="BA96" s="61">
        <v>96</v>
      </c>
      <c r="BB96" s="61">
        <v>98</v>
      </c>
      <c r="BC96" s="61">
        <v>96</v>
      </c>
      <c r="BD96" s="61" t="s">
        <v>70</v>
      </c>
      <c r="BE96" s="61">
        <v>99</v>
      </c>
      <c r="BF96" s="61">
        <v>97</v>
      </c>
      <c r="BG96" s="89">
        <v>97</v>
      </c>
    </row>
    <row r="97" spans="9:59">
      <c r="I97" s="115">
        <f t="shared" si="0"/>
        <v>81</v>
      </c>
      <c r="J97" s="82"/>
      <c r="K97" s="82"/>
      <c r="L97" s="82"/>
      <c r="M97" s="82"/>
      <c r="N97" s="82"/>
      <c r="O97" s="82"/>
      <c r="P97" s="82"/>
      <c r="Q97" s="84"/>
      <c r="R97" s="82"/>
      <c r="S97" s="82"/>
      <c r="T97" s="82"/>
      <c r="U97" s="82"/>
      <c r="V97" s="82"/>
      <c r="W97" s="82"/>
      <c r="X97" s="82"/>
      <c r="Y97" s="84"/>
      <c r="Z97" s="61">
        <v>69</v>
      </c>
      <c r="AA97" s="61">
        <v>69</v>
      </c>
      <c r="AB97" s="61">
        <v>72</v>
      </c>
      <c r="AC97" s="61">
        <v>72</v>
      </c>
      <c r="AD97" s="61">
        <v>75</v>
      </c>
      <c r="AE97" s="61">
        <v>75</v>
      </c>
      <c r="AF97" s="61">
        <v>75</v>
      </c>
      <c r="AG97" s="83">
        <v>75</v>
      </c>
      <c r="AI97" s="85">
        <f t="shared" si="1"/>
        <v>81</v>
      </c>
      <c r="AJ97" s="87"/>
      <c r="AK97" s="86"/>
      <c r="AL97" s="86"/>
      <c r="AM97" s="86"/>
      <c r="AN97" s="86"/>
      <c r="AO97" s="86"/>
      <c r="AP97" s="86"/>
      <c r="AQ97" s="86"/>
      <c r="AR97" s="87"/>
      <c r="AS97" s="86"/>
      <c r="AT97" s="86"/>
      <c r="AU97" s="86"/>
      <c r="AV97" s="86"/>
      <c r="AW97" s="86"/>
      <c r="AX97" s="86"/>
      <c r="AY97" s="88"/>
      <c r="AZ97" s="61">
        <v>99</v>
      </c>
      <c r="BA97" s="61">
        <v>96</v>
      </c>
      <c r="BB97" s="61">
        <v>98</v>
      </c>
      <c r="BC97" s="61">
        <v>96</v>
      </c>
      <c r="BD97" s="61">
        <v>99</v>
      </c>
      <c r="BE97" s="61">
        <v>98</v>
      </c>
      <c r="BF97" s="61">
        <v>96</v>
      </c>
      <c r="BG97" s="89">
        <v>97</v>
      </c>
    </row>
    <row r="98" spans="9:59">
      <c r="I98" s="115">
        <f t="shared" si="0"/>
        <v>80</v>
      </c>
      <c r="J98" s="82"/>
      <c r="K98" s="82"/>
      <c r="L98" s="82"/>
      <c r="M98" s="82"/>
      <c r="N98" s="82"/>
      <c r="O98" s="82"/>
      <c r="P98" s="82"/>
      <c r="Q98" s="84"/>
      <c r="R98" s="82"/>
      <c r="S98" s="82"/>
      <c r="T98" s="82"/>
      <c r="U98" s="82"/>
      <c r="V98" s="82"/>
      <c r="W98" s="82"/>
      <c r="X98" s="82"/>
      <c r="Y98" s="84"/>
      <c r="Z98" s="61">
        <v>69</v>
      </c>
      <c r="AA98" s="61">
        <v>69</v>
      </c>
      <c r="AB98" s="61">
        <v>71</v>
      </c>
      <c r="AC98" s="61">
        <v>71</v>
      </c>
      <c r="AD98" s="61">
        <v>74</v>
      </c>
      <c r="AE98" s="61">
        <v>74</v>
      </c>
      <c r="AF98" s="61">
        <v>74</v>
      </c>
      <c r="AG98" s="83">
        <v>74</v>
      </c>
      <c r="AI98" s="85">
        <f t="shared" si="1"/>
        <v>80</v>
      </c>
      <c r="AJ98" s="87"/>
      <c r="AK98" s="86"/>
      <c r="AL98" s="86"/>
      <c r="AM98" s="86"/>
      <c r="AN98" s="86"/>
      <c r="AO98" s="86"/>
      <c r="AP98" s="86"/>
      <c r="AQ98" s="86"/>
      <c r="AR98" s="87"/>
      <c r="AS98" s="86"/>
      <c r="AT98" s="86"/>
      <c r="AU98" s="86"/>
      <c r="AV98" s="86"/>
      <c r="AW98" s="86"/>
      <c r="AX98" s="86"/>
      <c r="AY98" s="88"/>
      <c r="AZ98" s="61">
        <v>99</v>
      </c>
      <c r="BA98" s="61">
        <v>96</v>
      </c>
      <c r="BB98" s="61">
        <v>97</v>
      </c>
      <c r="BC98" s="61">
        <v>94</v>
      </c>
      <c r="BD98" s="61">
        <v>99</v>
      </c>
      <c r="BE98" s="61">
        <v>98</v>
      </c>
      <c r="BF98" s="61">
        <v>95</v>
      </c>
      <c r="BG98" s="89">
        <v>97</v>
      </c>
    </row>
    <row r="99" spans="9:59">
      <c r="I99" s="115">
        <f t="shared" si="0"/>
        <v>79</v>
      </c>
      <c r="J99" s="82"/>
      <c r="K99" s="82"/>
      <c r="L99" s="82"/>
      <c r="M99" s="82"/>
      <c r="N99" s="82"/>
      <c r="O99" s="82"/>
      <c r="P99" s="82"/>
      <c r="Q99" s="84"/>
      <c r="R99" s="82"/>
      <c r="S99" s="82"/>
      <c r="T99" s="82"/>
      <c r="U99" s="82"/>
      <c r="V99" s="82"/>
      <c r="W99" s="82"/>
      <c r="X99" s="82"/>
      <c r="Y99" s="84"/>
      <c r="Z99" s="61">
        <v>68</v>
      </c>
      <c r="AA99" s="61">
        <v>68</v>
      </c>
      <c r="AB99" s="61">
        <v>70</v>
      </c>
      <c r="AC99" s="61">
        <v>70</v>
      </c>
      <c r="AD99" s="61">
        <v>74</v>
      </c>
      <c r="AE99" s="61">
        <v>74</v>
      </c>
      <c r="AF99" s="61">
        <v>74</v>
      </c>
      <c r="AG99" s="83">
        <v>74</v>
      </c>
      <c r="AI99" s="85">
        <f t="shared" si="1"/>
        <v>79</v>
      </c>
      <c r="AJ99" s="87"/>
      <c r="AK99" s="86"/>
      <c r="AL99" s="86"/>
      <c r="AM99" s="86"/>
      <c r="AN99" s="86"/>
      <c r="AO99" s="86"/>
      <c r="AP99" s="86"/>
      <c r="AQ99" s="86"/>
      <c r="AR99" s="87"/>
      <c r="AS99" s="86"/>
      <c r="AT99" s="86"/>
      <c r="AU99" s="86"/>
      <c r="AV99" s="86"/>
      <c r="AW99" s="86"/>
      <c r="AX99" s="86"/>
      <c r="AY99" s="88"/>
      <c r="AZ99" s="61">
        <v>99</v>
      </c>
      <c r="BA99" s="61">
        <v>95</v>
      </c>
      <c r="BB99" s="61">
        <v>97</v>
      </c>
      <c r="BC99" s="61">
        <v>92</v>
      </c>
      <c r="BD99" s="61">
        <v>99</v>
      </c>
      <c r="BE99" s="61">
        <v>98</v>
      </c>
      <c r="BF99" s="61">
        <v>95</v>
      </c>
      <c r="BG99" s="89">
        <v>97</v>
      </c>
    </row>
    <row r="100" spans="9:59">
      <c r="I100" s="115">
        <f t="shared" si="0"/>
        <v>78</v>
      </c>
      <c r="J100" s="82"/>
      <c r="K100" s="82"/>
      <c r="L100" s="82"/>
      <c r="M100" s="82"/>
      <c r="N100" s="82"/>
      <c r="O100" s="82"/>
      <c r="P100" s="82"/>
      <c r="Q100" s="84"/>
      <c r="R100" s="82"/>
      <c r="S100" s="82"/>
      <c r="T100" s="82"/>
      <c r="U100" s="82"/>
      <c r="V100" s="82"/>
      <c r="W100" s="82"/>
      <c r="X100" s="82"/>
      <c r="Y100" s="84"/>
      <c r="Z100" s="61">
        <v>67</v>
      </c>
      <c r="AA100" s="61">
        <v>67</v>
      </c>
      <c r="AB100" s="61">
        <v>70</v>
      </c>
      <c r="AC100" s="61">
        <v>70</v>
      </c>
      <c r="AD100" s="61">
        <v>73</v>
      </c>
      <c r="AE100" s="61">
        <v>73</v>
      </c>
      <c r="AF100" s="61">
        <v>73</v>
      </c>
      <c r="AG100" s="83">
        <v>73</v>
      </c>
      <c r="AI100" s="85">
        <f t="shared" si="1"/>
        <v>78</v>
      </c>
      <c r="AJ100" s="87"/>
      <c r="AK100" s="86"/>
      <c r="AL100" s="86"/>
      <c r="AM100" s="86"/>
      <c r="AN100" s="86"/>
      <c r="AO100" s="86"/>
      <c r="AP100" s="86"/>
      <c r="AQ100" s="86"/>
      <c r="AR100" s="87"/>
      <c r="AS100" s="86"/>
      <c r="AT100" s="86"/>
      <c r="AU100" s="86"/>
      <c r="AV100" s="86"/>
      <c r="AW100" s="86"/>
      <c r="AX100" s="86"/>
      <c r="AY100" s="88"/>
      <c r="AZ100" s="61">
        <v>99</v>
      </c>
      <c r="BA100" s="61">
        <v>93</v>
      </c>
      <c r="BB100" s="61">
        <v>97</v>
      </c>
      <c r="BC100" s="61">
        <v>92</v>
      </c>
      <c r="BD100" s="61">
        <v>99</v>
      </c>
      <c r="BE100" s="61">
        <v>97</v>
      </c>
      <c r="BF100" s="61">
        <v>94</v>
      </c>
      <c r="BG100" s="89">
        <v>96</v>
      </c>
    </row>
    <row r="101" spans="9:59">
      <c r="I101" s="115">
        <f t="shared" si="0"/>
        <v>77</v>
      </c>
      <c r="J101" s="82"/>
      <c r="K101" s="82"/>
      <c r="L101" s="82"/>
      <c r="M101" s="82"/>
      <c r="N101" s="82"/>
      <c r="O101" s="82"/>
      <c r="P101" s="82"/>
      <c r="Q101" s="84"/>
      <c r="R101" s="82"/>
      <c r="S101" s="82"/>
      <c r="T101" s="82"/>
      <c r="U101" s="82"/>
      <c r="V101" s="82"/>
      <c r="W101" s="82"/>
      <c r="X101" s="82"/>
      <c r="Y101" s="84"/>
      <c r="Z101" s="61">
        <v>67</v>
      </c>
      <c r="AA101" s="61">
        <v>67</v>
      </c>
      <c r="AB101" s="61">
        <v>69</v>
      </c>
      <c r="AC101" s="61">
        <v>69</v>
      </c>
      <c r="AD101" s="61">
        <v>72</v>
      </c>
      <c r="AE101" s="61">
        <v>72</v>
      </c>
      <c r="AF101" s="61">
        <v>72</v>
      </c>
      <c r="AG101" s="83">
        <v>72</v>
      </c>
      <c r="AI101" s="85">
        <f t="shared" si="1"/>
        <v>77</v>
      </c>
      <c r="AJ101" s="87"/>
      <c r="AK101" s="86"/>
      <c r="AL101" s="86"/>
      <c r="AM101" s="86"/>
      <c r="AN101" s="86"/>
      <c r="AO101" s="86"/>
      <c r="AP101" s="86"/>
      <c r="AQ101" s="86"/>
      <c r="AR101" s="87"/>
      <c r="AS101" s="86"/>
      <c r="AT101" s="86"/>
      <c r="AU101" s="86"/>
      <c r="AV101" s="86"/>
      <c r="AW101" s="86"/>
      <c r="AX101" s="86"/>
      <c r="AY101" s="88"/>
      <c r="AZ101" s="61">
        <v>99</v>
      </c>
      <c r="BA101" s="61">
        <v>93</v>
      </c>
      <c r="BB101" s="61">
        <v>95</v>
      </c>
      <c r="BC101" s="61">
        <v>92</v>
      </c>
      <c r="BD101" s="61">
        <v>99</v>
      </c>
      <c r="BE101" s="61">
        <v>97</v>
      </c>
      <c r="BF101" s="61">
        <v>94</v>
      </c>
      <c r="BG101" s="89">
        <v>96</v>
      </c>
    </row>
    <row r="102" spans="9:59">
      <c r="I102" s="115">
        <f t="shared" si="0"/>
        <v>76</v>
      </c>
      <c r="J102" s="81"/>
      <c r="K102" s="82"/>
      <c r="L102" s="82"/>
      <c r="M102" s="82"/>
      <c r="N102" s="82"/>
      <c r="O102" s="82"/>
      <c r="P102" s="82"/>
      <c r="Q102" s="84"/>
      <c r="R102" s="81"/>
      <c r="S102" s="82"/>
      <c r="T102" s="82"/>
      <c r="U102" s="82"/>
      <c r="V102" s="82"/>
      <c r="W102" s="82"/>
      <c r="X102" s="82"/>
      <c r="Y102" s="84"/>
      <c r="Z102" s="80">
        <v>66</v>
      </c>
      <c r="AA102" s="61">
        <v>66</v>
      </c>
      <c r="AB102" s="61">
        <v>68</v>
      </c>
      <c r="AC102" s="61">
        <v>68</v>
      </c>
      <c r="AD102" s="61">
        <v>71</v>
      </c>
      <c r="AE102" s="61">
        <v>71</v>
      </c>
      <c r="AF102" s="61">
        <v>71</v>
      </c>
      <c r="AG102" s="83">
        <v>71</v>
      </c>
      <c r="AI102" s="85">
        <f t="shared" si="1"/>
        <v>76</v>
      </c>
      <c r="AJ102" s="87"/>
      <c r="AK102" s="86"/>
      <c r="AL102" s="86"/>
      <c r="AM102" s="86"/>
      <c r="AN102" s="86"/>
      <c r="AO102" s="86"/>
      <c r="AP102" s="86"/>
      <c r="AQ102" s="86"/>
      <c r="AR102" s="87"/>
      <c r="AS102" s="86"/>
      <c r="AT102" s="86"/>
      <c r="AU102" s="86"/>
      <c r="AV102" s="86"/>
      <c r="AW102" s="86"/>
      <c r="AX102" s="86"/>
      <c r="AY102" s="88"/>
      <c r="AZ102" s="61">
        <v>99</v>
      </c>
      <c r="BA102" s="61">
        <v>90</v>
      </c>
      <c r="BB102" s="61">
        <v>95</v>
      </c>
      <c r="BC102" s="61">
        <v>92</v>
      </c>
      <c r="BD102" s="61">
        <v>99</v>
      </c>
      <c r="BE102" s="61">
        <v>97</v>
      </c>
      <c r="BF102" s="61">
        <v>94</v>
      </c>
      <c r="BG102" s="89">
        <v>96</v>
      </c>
    </row>
    <row r="103" spans="9:59">
      <c r="I103" s="115">
        <f t="shared" si="0"/>
        <v>75</v>
      </c>
      <c r="J103" s="64"/>
      <c r="K103" s="128"/>
      <c r="L103" s="128"/>
      <c r="M103" s="128"/>
      <c r="N103" s="128"/>
      <c r="O103" s="128"/>
      <c r="P103" s="128"/>
      <c r="Q103" s="129"/>
      <c r="R103" s="64"/>
      <c r="S103" s="128"/>
      <c r="T103" s="128"/>
      <c r="U103" s="128"/>
      <c r="V103" s="128"/>
      <c r="W103" s="128"/>
      <c r="X103" s="128"/>
      <c r="Y103" s="129"/>
      <c r="Z103" s="80">
        <v>65</v>
      </c>
      <c r="AA103" s="61">
        <v>65</v>
      </c>
      <c r="AB103" s="61">
        <v>67</v>
      </c>
      <c r="AC103" s="61">
        <v>67</v>
      </c>
      <c r="AD103" s="61">
        <v>70</v>
      </c>
      <c r="AE103" s="61">
        <v>70</v>
      </c>
      <c r="AF103" s="61">
        <v>70</v>
      </c>
      <c r="AG103" s="83">
        <v>70</v>
      </c>
      <c r="AI103" s="85">
        <f t="shared" si="1"/>
        <v>75</v>
      </c>
      <c r="AJ103" s="130"/>
      <c r="AK103" s="131"/>
      <c r="AL103" s="131"/>
      <c r="AM103" s="131"/>
      <c r="AN103" s="131"/>
      <c r="AO103" s="131"/>
      <c r="AP103" s="131"/>
      <c r="AQ103" s="131"/>
      <c r="AR103" s="130"/>
      <c r="AS103" s="131"/>
      <c r="AT103" s="131"/>
      <c r="AU103" s="131"/>
      <c r="AV103" s="131"/>
      <c r="AW103" s="131"/>
      <c r="AX103" s="131"/>
      <c r="AY103" s="132"/>
      <c r="AZ103" s="61">
        <v>98</v>
      </c>
      <c r="BA103" s="61">
        <v>90</v>
      </c>
      <c r="BB103" s="61">
        <v>95</v>
      </c>
      <c r="BC103" s="61">
        <v>91</v>
      </c>
      <c r="BD103" s="61">
        <v>99</v>
      </c>
      <c r="BE103" s="61">
        <v>97</v>
      </c>
      <c r="BF103" s="61">
        <v>94</v>
      </c>
      <c r="BG103" s="89">
        <v>95</v>
      </c>
    </row>
    <row r="104" spans="9:59">
      <c r="I104" s="115">
        <f t="shared" si="0"/>
        <v>74</v>
      </c>
      <c r="J104" s="128"/>
      <c r="K104" s="128"/>
      <c r="L104" s="128"/>
      <c r="M104" s="128"/>
      <c r="N104" s="128"/>
      <c r="O104" s="128"/>
      <c r="P104" s="128"/>
      <c r="Q104" s="129"/>
      <c r="R104" s="128"/>
      <c r="S104" s="128"/>
      <c r="T104" s="128"/>
      <c r="U104" s="128"/>
      <c r="V104" s="128"/>
      <c r="W104" s="128"/>
      <c r="X104" s="128"/>
      <c r="Y104" s="129"/>
      <c r="Z104" s="80">
        <v>65</v>
      </c>
      <c r="AA104" s="61">
        <v>65</v>
      </c>
      <c r="AB104" s="61">
        <v>67</v>
      </c>
      <c r="AC104" s="61">
        <v>67</v>
      </c>
      <c r="AD104" s="61">
        <v>70</v>
      </c>
      <c r="AE104" s="61">
        <v>70</v>
      </c>
      <c r="AF104" s="61">
        <v>70</v>
      </c>
      <c r="AG104" s="83">
        <v>70</v>
      </c>
      <c r="AI104" s="85">
        <f t="shared" si="1"/>
        <v>74</v>
      </c>
      <c r="AJ104" s="130"/>
      <c r="AK104" s="131"/>
      <c r="AL104" s="131"/>
      <c r="AM104" s="131"/>
      <c r="AN104" s="131"/>
      <c r="AO104" s="131"/>
      <c r="AP104" s="131"/>
      <c r="AQ104" s="131"/>
      <c r="AR104" s="130"/>
      <c r="AS104" s="131"/>
      <c r="AT104" s="131"/>
      <c r="AU104" s="131"/>
      <c r="AV104" s="131"/>
      <c r="AW104" s="131"/>
      <c r="AX104" s="131"/>
      <c r="AY104" s="132"/>
      <c r="AZ104" s="61">
        <v>98</v>
      </c>
      <c r="BA104" s="61">
        <v>90</v>
      </c>
      <c r="BB104" s="61">
        <v>95</v>
      </c>
      <c r="BC104" s="61">
        <v>91</v>
      </c>
      <c r="BD104" s="61">
        <v>99</v>
      </c>
      <c r="BE104" s="61">
        <v>97</v>
      </c>
      <c r="BF104" s="61">
        <v>94</v>
      </c>
      <c r="BG104" s="89">
        <v>95</v>
      </c>
    </row>
    <row r="105" spans="9:59">
      <c r="I105" s="115">
        <f t="shared" si="0"/>
        <v>73</v>
      </c>
      <c r="J105" s="128"/>
      <c r="K105" s="128"/>
      <c r="L105" s="128"/>
      <c r="M105" s="128"/>
      <c r="N105" s="128"/>
      <c r="O105" s="128"/>
      <c r="P105" s="128"/>
      <c r="Q105" s="129"/>
      <c r="R105" s="128"/>
      <c r="S105" s="128"/>
      <c r="T105" s="128"/>
      <c r="U105" s="128"/>
      <c r="V105" s="128"/>
      <c r="W105" s="128"/>
      <c r="X105" s="128"/>
      <c r="Y105" s="129"/>
      <c r="Z105" s="80">
        <v>64</v>
      </c>
      <c r="AA105" s="61">
        <v>64</v>
      </c>
      <c r="AB105" s="61">
        <v>66</v>
      </c>
      <c r="AC105" s="61">
        <v>66</v>
      </c>
      <c r="AD105" s="61">
        <v>69</v>
      </c>
      <c r="AE105" s="61">
        <v>69</v>
      </c>
      <c r="AF105" s="61">
        <v>69</v>
      </c>
      <c r="AG105" s="83">
        <v>69</v>
      </c>
      <c r="AI105" s="85">
        <f t="shared" si="1"/>
        <v>73</v>
      </c>
      <c r="AJ105" s="130"/>
      <c r="AK105" s="131"/>
      <c r="AL105" s="131"/>
      <c r="AM105" s="131"/>
      <c r="AN105" s="131"/>
      <c r="AO105" s="131"/>
      <c r="AP105" s="131"/>
      <c r="AQ105" s="131"/>
      <c r="AR105" s="130"/>
      <c r="AS105" s="131"/>
      <c r="AT105" s="131"/>
      <c r="AU105" s="131"/>
      <c r="AV105" s="131"/>
      <c r="AW105" s="131"/>
      <c r="AX105" s="131"/>
      <c r="AY105" s="132"/>
      <c r="AZ105" s="61">
        <v>98</v>
      </c>
      <c r="BA105" s="61">
        <v>88</v>
      </c>
      <c r="BB105" s="61">
        <v>93</v>
      </c>
      <c r="BC105" s="61">
        <v>91</v>
      </c>
      <c r="BD105" s="61">
        <v>99</v>
      </c>
      <c r="BE105" s="61">
        <v>95</v>
      </c>
      <c r="BF105" s="61">
        <v>93</v>
      </c>
      <c r="BG105" s="89">
        <v>94</v>
      </c>
    </row>
    <row r="106" spans="9:59">
      <c r="I106" s="115">
        <f t="shared" si="0"/>
        <v>72</v>
      </c>
      <c r="J106" s="128"/>
      <c r="K106" s="128"/>
      <c r="L106" s="128"/>
      <c r="M106" s="128"/>
      <c r="N106" s="128"/>
      <c r="O106" s="128"/>
      <c r="P106" s="128"/>
      <c r="Q106" s="129"/>
      <c r="R106" s="128"/>
      <c r="S106" s="128"/>
      <c r="T106" s="128"/>
      <c r="U106" s="128"/>
      <c r="V106" s="128"/>
      <c r="W106" s="128"/>
      <c r="X106" s="128"/>
      <c r="Y106" s="129"/>
      <c r="Z106" s="80">
        <v>63</v>
      </c>
      <c r="AA106" s="61">
        <v>63</v>
      </c>
      <c r="AB106" s="61">
        <v>65</v>
      </c>
      <c r="AC106" s="61">
        <v>65</v>
      </c>
      <c r="AD106" s="61">
        <v>68</v>
      </c>
      <c r="AE106" s="61">
        <v>68</v>
      </c>
      <c r="AF106" s="61">
        <v>68</v>
      </c>
      <c r="AG106" s="83">
        <v>68</v>
      </c>
      <c r="AI106" s="85">
        <f t="shared" si="1"/>
        <v>72</v>
      </c>
      <c r="AJ106" s="130"/>
      <c r="AK106" s="131"/>
      <c r="AL106" s="131"/>
      <c r="AM106" s="131"/>
      <c r="AN106" s="131"/>
      <c r="AO106" s="131"/>
      <c r="AP106" s="131"/>
      <c r="AQ106" s="131"/>
      <c r="AR106" s="130"/>
      <c r="AS106" s="131"/>
      <c r="AT106" s="131"/>
      <c r="AU106" s="131"/>
      <c r="AV106" s="131"/>
      <c r="AW106" s="131"/>
      <c r="AX106" s="131"/>
      <c r="AY106" s="132"/>
      <c r="AZ106" s="61">
        <v>97</v>
      </c>
      <c r="BA106" s="61">
        <v>88</v>
      </c>
      <c r="BB106" s="61">
        <v>92</v>
      </c>
      <c r="BC106" s="61">
        <v>90</v>
      </c>
      <c r="BD106" s="61">
        <v>98</v>
      </c>
      <c r="BE106" s="61">
        <v>95</v>
      </c>
      <c r="BF106" s="61">
        <v>92</v>
      </c>
      <c r="BG106" s="89">
        <v>93</v>
      </c>
    </row>
    <row r="107" spans="9:59">
      <c r="I107" s="115">
        <f t="shared" si="0"/>
        <v>71</v>
      </c>
      <c r="J107" s="128"/>
      <c r="K107" s="128"/>
      <c r="L107" s="128"/>
      <c r="M107" s="128"/>
      <c r="N107" s="128"/>
      <c r="O107" s="128"/>
      <c r="P107" s="128"/>
      <c r="Q107" s="129"/>
      <c r="R107" s="128"/>
      <c r="S107" s="128"/>
      <c r="T107" s="128"/>
      <c r="U107" s="128"/>
      <c r="V107" s="128"/>
      <c r="W107" s="128"/>
      <c r="X107" s="128"/>
      <c r="Y107" s="129"/>
      <c r="Z107" s="80">
        <v>62</v>
      </c>
      <c r="AA107" s="61">
        <v>62</v>
      </c>
      <c r="AB107" s="61">
        <v>65</v>
      </c>
      <c r="AC107" s="61">
        <v>65</v>
      </c>
      <c r="AD107" s="61">
        <v>67</v>
      </c>
      <c r="AE107" s="61">
        <v>67</v>
      </c>
      <c r="AF107" s="61">
        <v>67</v>
      </c>
      <c r="AG107" s="83">
        <v>67</v>
      </c>
      <c r="AI107" s="85">
        <f t="shared" si="1"/>
        <v>71</v>
      </c>
      <c r="AJ107" s="130"/>
      <c r="AK107" s="131"/>
      <c r="AL107" s="131"/>
      <c r="AM107" s="131"/>
      <c r="AN107" s="131"/>
      <c r="AO107" s="131"/>
      <c r="AP107" s="131"/>
      <c r="AQ107" s="131"/>
      <c r="AR107" s="130"/>
      <c r="AS107" s="131"/>
      <c r="AT107" s="131"/>
      <c r="AU107" s="131"/>
      <c r="AV107" s="131"/>
      <c r="AW107" s="131"/>
      <c r="AX107" s="131"/>
      <c r="AY107" s="132"/>
      <c r="AZ107" s="61">
        <v>96</v>
      </c>
      <c r="BA107" s="61">
        <v>87</v>
      </c>
      <c r="BB107" s="61">
        <v>92</v>
      </c>
      <c r="BC107" s="61">
        <v>90</v>
      </c>
      <c r="BD107" s="61">
        <v>98</v>
      </c>
      <c r="BE107" s="61">
        <v>94</v>
      </c>
      <c r="BF107" s="61">
        <v>92</v>
      </c>
      <c r="BG107" s="89">
        <v>92</v>
      </c>
    </row>
    <row r="108" spans="9:59">
      <c r="I108" s="115">
        <f t="shared" si="0"/>
        <v>70</v>
      </c>
      <c r="J108" s="128"/>
      <c r="K108" s="128"/>
      <c r="L108" s="128"/>
      <c r="M108" s="128"/>
      <c r="N108" s="128"/>
      <c r="O108" s="128"/>
      <c r="P108" s="128"/>
      <c r="Q108" s="129"/>
      <c r="R108" s="128"/>
      <c r="S108" s="128"/>
      <c r="T108" s="128"/>
      <c r="U108" s="128"/>
      <c r="V108" s="128"/>
      <c r="W108" s="128"/>
      <c r="X108" s="128"/>
      <c r="Y108" s="129"/>
      <c r="Z108" s="80">
        <v>62</v>
      </c>
      <c r="AA108" s="61">
        <v>62</v>
      </c>
      <c r="AB108" s="61">
        <v>64</v>
      </c>
      <c r="AC108" s="61">
        <v>64</v>
      </c>
      <c r="AD108" s="61">
        <v>66</v>
      </c>
      <c r="AE108" s="61">
        <v>66</v>
      </c>
      <c r="AF108" s="61">
        <v>66</v>
      </c>
      <c r="AG108" s="83">
        <v>67</v>
      </c>
      <c r="AI108" s="85">
        <f t="shared" si="1"/>
        <v>70</v>
      </c>
      <c r="AJ108" s="130"/>
      <c r="AK108" s="131"/>
      <c r="AL108" s="131"/>
      <c r="AM108" s="131"/>
      <c r="AN108" s="131"/>
      <c r="AO108" s="131"/>
      <c r="AP108" s="131"/>
      <c r="AQ108" s="131"/>
      <c r="AR108" s="130"/>
      <c r="AS108" s="131"/>
      <c r="AT108" s="131"/>
      <c r="AU108" s="131"/>
      <c r="AV108" s="131"/>
      <c r="AW108" s="131"/>
      <c r="AX108" s="131"/>
      <c r="AY108" s="132"/>
      <c r="AZ108" s="61">
        <v>96</v>
      </c>
      <c r="BA108" s="61">
        <v>87</v>
      </c>
      <c r="BB108" s="61">
        <v>91</v>
      </c>
      <c r="BC108" s="61">
        <v>88</v>
      </c>
      <c r="BD108" s="61">
        <v>95</v>
      </c>
      <c r="BE108" s="61">
        <v>92</v>
      </c>
      <c r="BF108" s="61">
        <v>91</v>
      </c>
      <c r="BG108" s="89">
        <v>92</v>
      </c>
    </row>
    <row r="109" spans="9:59">
      <c r="I109" s="115">
        <f t="shared" si="0"/>
        <v>69</v>
      </c>
      <c r="J109" s="128"/>
      <c r="K109" s="128"/>
      <c r="L109" s="128"/>
      <c r="M109" s="128"/>
      <c r="N109" s="128"/>
      <c r="O109" s="128"/>
      <c r="P109" s="128"/>
      <c r="Q109" s="129"/>
      <c r="R109" s="128"/>
      <c r="S109" s="128"/>
      <c r="T109" s="128"/>
      <c r="U109" s="128"/>
      <c r="V109" s="128"/>
      <c r="W109" s="128"/>
      <c r="X109" s="128"/>
      <c r="Y109" s="129"/>
      <c r="Z109" s="80">
        <v>61</v>
      </c>
      <c r="AA109" s="61">
        <v>61</v>
      </c>
      <c r="AB109" s="61">
        <v>63</v>
      </c>
      <c r="AC109" s="61">
        <v>63</v>
      </c>
      <c r="AD109" s="61">
        <v>66</v>
      </c>
      <c r="AE109" s="61">
        <v>66</v>
      </c>
      <c r="AF109" s="61">
        <v>66</v>
      </c>
      <c r="AG109" s="83">
        <v>66</v>
      </c>
      <c r="AI109" s="85">
        <f t="shared" si="1"/>
        <v>69</v>
      </c>
      <c r="AJ109" s="130"/>
      <c r="AK109" s="131"/>
      <c r="AL109" s="131"/>
      <c r="AM109" s="131"/>
      <c r="AN109" s="131"/>
      <c r="AO109" s="131"/>
      <c r="AP109" s="131"/>
      <c r="AQ109" s="131"/>
      <c r="AR109" s="130"/>
      <c r="AS109" s="131"/>
      <c r="AT109" s="131"/>
      <c r="AU109" s="131"/>
      <c r="AV109" s="131"/>
      <c r="AW109" s="131"/>
      <c r="AX109" s="131"/>
      <c r="AY109" s="132"/>
      <c r="AZ109" s="61">
        <v>95</v>
      </c>
      <c r="BA109" s="61">
        <v>86</v>
      </c>
      <c r="BB109" s="61">
        <v>91</v>
      </c>
      <c r="BC109" s="61">
        <v>87</v>
      </c>
      <c r="BD109" s="61">
        <v>95</v>
      </c>
      <c r="BE109" s="61">
        <v>92</v>
      </c>
      <c r="BF109" s="61">
        <v>91</v>
      </c>
      <c r="BG109" s="89">
        <v>91</v>
      </c>
    </row>
    <row r="110" spans="9:59">
      <c r="I110" s="115">
        <f t="shared" si="0"/>
        <v>68</v>
      </c>
      <c r="J110" s="128"/>
      <c r="K110" s="128"/>
      <c r="L110" s="128"/>
      <c r="M110" s="128"/>
      <c r="N110" s="128"/>
      <c r="O110" s="128"/>
      <c r="P110" s="128"/>
      <c r="Q110" s="129"/>
      <c r="R110" s="128"/>
      <c r="S110" s="128"/>
      <c r="T110" s="128"/>
      <c r="U110" s="128"/>
      <c r="V110" s="128"/>
      <c r="W110" s="128"/>
      <c r="X110" s="128"/>
      <c r="Y110" s="129"/>
      <c r="Z110" s="80">
        <v>60</v>
      </c>
      <c r="AA110" s="61">
        <v>60</v>
      </c>
      <c r="AB110" s="61">
        <v>62</v>
      </c>
      <c r="AC110" s="61">
        <v>62</v>
      </c>
      <c r="AD110" s="61">
        <v>65</v>
      </c>
      <c r="AE110" s="61">
        <v>65</v>
      </c>
      <c r="AF110" s="61">
        <v>65</v>
      </c>
      <c r="AG110" s="83">
        <v>65</v>
      </c>
      <c r="AI110" s="85">
        <f t="shared" si="1"/>
        <v>68</v>
      </c>
      <c r="AJ110" s="130"/>
      <c r="AK110" s="131"/>
      <c r="AL110" s="131"/>
      <c r="AM110" s="131"/>
      <c r="AN110" s="131"/>
      <c r="AO110" s="131"/>
      <c r="AP110" s="131"/>
      <c r="AQ110" s="131"/>
      <c r="AR110" s="130"/>
      <c r="AS110" s="131"/>
      <c r="AT110" s="131"/>
      <c r="AU110" s="131"/>
      <c r="AV110" s="131"/>
      <c r="AW110" s="131"/>
      <c r="AX110" s="131"/>
      <c r="AY110" s="132"/>
      <c r="AZ110" s="61">
        <v>94</v>
      </c>
      <c r="BA110" s="61">
        <v>84</v>
      </c>
      <c r="BB110" s="61">
        <v>89</v>
      </c>
      <c r="BC110" s="61">
        <v>86</v>
      </c>
      <c r="BD110" s="61">
        <v>95</v>
      </c>
      <c r="BE110" s="61">
        <v>92</v>
      </c>
      <c r="BF110" s="61">
        <v>90</v>
      </c>
      <c r="BG110" s="89">
        <v>90</v>
      </c>
    </row>
    <row r="111" spans="9:59">
      <c r="I111" s="115">
        <f t="shared" si="0"/>
        <v>67</v>
      </c>
      <c r="J111" s="128"/>
      <c r="K111" s="128"/>
      <c r="L111" s="128"/>
      <c r="M111" s="128"/>
      <c r="N111" s="128"/>
      <c r="O111" s="128"/>
      <c r="P111" s="128"/>
      <c r="Q111" s="129"/>
      <c r="R111" s="128"/>
      <c r="S111" s="128"/>
      <c r="T111" s="128"/>
      <c r="U111" s="128"/>
      <c r="V111" s="128"/>
      <c r="W111" s="128"/>
      <c r="X111" s="128"/>
      <c r="Y111" s="129"/>
      <c r="Z111" s="80">
        <v>60</v>
      </c>
      <c r="AA111" s="61">
        <v>60</v>
      </c>
      <c r="AB111" s="61">
        <v>62</v>
      </c>
      <c r="AC111" s="61">
        <v>62</v>
      </c>
      <c r="AD111" s="61">
        <v>64</v>
      </c>
      <c r="AE111" s="61">
        <v>64</v>
      </c>
      <c r="AF111" s="61">
        <v>64</v>
      </c>
      <c r="AG111" s="83">
        <v>64</v>
      </c>
      <c r="AI111" s="85">
        <f t="shared" si="1"/>
        <v>67</v>
      </c>
      <c r="AJ111" s="130"/>
      <c r="AK111" s="131"/>
      <c r="AL111" s="131"/>
      <c r="AM111" s="131"/>
      <c r="AN111" s="131"/>
      <c r="AO111" s="131"/>
      <c r="AP111" s="131"/>
      <c r="AQ111" s="131"/>
      <c r="AR111" s="130"/>
      <c r="AS111" s="131"/>
      <c r="AT111" s="131"/>
      <c r="AU111" s="131"/>
      <c r="AV111" s="131"/>
      <c r="AW111" s="131"/>
      <c r="AX111" s="131"/>
      <c r="AY111" s="132"/>
      <c r="AZ111" s="61">
        <v>94</v>
      </c>
      <c r="BA111" s="61">
        <v>84</v>
      </c>
      <c r="BB111" s="61">
        <v>89</v>
      </c>
      <c r="BC111" s="61">
        <v>86</v>
      </c>
      <c r="BD111" s="61">
        <v>94</v>
      </c>
      <c r="BE111" s="61">
        <v>90</v>
      </c>
      <c r="BF111" s="61">
        <v>90</v>
      </c>
      <c r="BG111" s="89">
        <v>89</v>
      </c>
    </row>
    <row r="112" spans="9:59">
      <c r="I112" s="115">
        <f t="shared" si="0"/>
        <v>66</v>
      </c>
      <c r="J112" s="128"/>
      <c r="K112" s="128"/>
      <c r="L112" s="128"/>
      <c r="M112" s="128"/>
      <c r="N112" s="128"/>
      <c r="O112" s="128"/>
      <c r="P112" s="128"/>
      <c r="Q112" s="129"/>
      <c r="R112" s="128"/>
      <c r="S112" s="128"/>
      <c r="T112" s="128"/>
      <c r="U112" s="128"/>
      <c r="V112" s="128"/>
      <c r="W112" s="128"/>
      <c r="X112" s="128"/>
      <c r="Y112" s="129"/>
      <c r="Z112" s="80">
        <v>59</v>
      </c>
      <c r="AA112" s="61">
        <v>59</v>
      </c>
      <c r="AB112" s="61">
        <v>61</v>
      </c>
      <c r="AC112" s="61">
        <v>61</v>
      </c>
      <c r="AD112" s="61">
        <v>63</v>
      </c>
      <c r="AE112" s="61">
        <v>63</v>
      </c>
      <c r="AF112" s="61">
        <v>63</v>
      </c>
      <c r="AG112" s="83">
        <v>64</v>
      </c>
      <c r="AI112" s="85">
        <f t="shared" si="1"/>
        <v>66</v>
      </c>
      <c r="AJ112" s="130"/>
      <c r="AK112" s="131"/>
      <c r="AL112" s="131"/>
      <c r="AM112" s="131"/>
      <c r="AN112" s="131"/>
      <c r="AO112" s="131"/>
      <c r="AP112" s="131"/>
      <c r="AQ112" s="131"/>
      <c r="AR112" s="130"/>
      <c r="AS112" s="131"/>
      <c r="AT112" s="131"/>
      <c r="AU112" s="131"/>
      <c r="AV112" s="131"/>
      <c r="AW112" s="131"/>
      <c r="AX112" s="131"/>
      <c r="AY112" s="132"/>
      <c r="AZ112" s="61">
        <v>90</v>
      </c>
      <c r="BA112" s="61">
        <v>84</v>
      </c>
      <c r="BB112" s="61">
        <v>89</v>
      </c>
      <c r="BC112" s="61">
        <v>83</v>
      </c>
      <c r="BD112" s="61">
        <v>94</v>
      </c>
      <c r="BE112" s="61">
        <v>90</v>
      </c>
      <c r="BF112" s="61">
        <v>90</v>
      </c>
      <c r="BG112" s="89">
        <v>89</v>
      </c>
    </row>
    <row r="113" spans="9:59">
      <c r="I113" s="115">
        <f t="shared" si="0"/>
        <v>65</v>
      </c>
      <c r="J113" s="128"/>
      <c r="K113" s="128"/>
      <c r="L113" s="128"/>
      <c r="M113" s="128"/>
      <c r="N113" s="128"/>
      <c r="O113" s="128"/>
      <c r="P113" s="128"/>
      <c r="Q113" s="129"/>
      <c r="R113" s="128"/>
      <c r="S113" s="128"/>
      <c r="T113" s="128"/>
      <c r="U113" s="128"/>
      <c r="V113" s="128"/>
      <c r="W113" s="128"/>
      <c r="X113" s="128"/>
      <c r="Y113" s="129"/>
      <c r="Z113" s="80">
        <v>58</v>
      </c>
      <c r="AA113" s="61">
        <v>58</v>
      </c>
      <c r="AB113" s="61">
        <v>60</v>
      </c>
      <c r="AC113" s="61">
        <v>60</v>
      </c>
      <c r="AD113" s="61">
        <v>62</v>
      </c>
      <c r="AE113" s="61">
        <v>62</v>
      </c>
      <c r="AF113" s="61">
        <v>62</v>
      </c>
      <c r="AG113" s="83">
        <v>63</v>
      </c>
      <c r="AI113" s="85">
        <f t="shared" si="1"/>
        <v>65</v>
      </c>
      <c r="AJ113" s="130"/>
      <c r="AK113" s="131"/>
      <c r="AL113" s="131"/>
      <c r="AM113" s="131"/>
      <c r="AN113" s="131"/>
      <c r="AO113" s="131"/>
      <c r="AP113" s="131"/>
      <c r="AQ113" s="131"/>
      <c r="AR113" s="130"/>
      <c r="AS113" s="131"/>
      <c r="AT113" s="131"/>
      <c r="AU113" s="131"/>
      <c r="AV113" s="131"/>
      <c r="AW113" s="131"/>
      <c r="AX113" s="131"/>
      <c r="AY113" s="132"/>
      <c r="AZ113" s="61">
        <v>87</v>
      </c>
      <c r="BA113" s="61">
        <v>83</v>
      </c>
      <c r="BB113" s="61">
        <v>87</v>
      </c>
      <c r="BC113" s="61">
        <v>82</v>
      </c>
      <c r="BD113" s="61">
        <v>93</v>
      </c>
      <c r="BE113" s="61">
        <v>89</v>
      </c>
      <c r="BF113" s="61">
        <v>88</v>
      </c>
      <c r="BG113" s="89">
        <v>88</v>
      </c>
    </row>
    <row r="114" spans="9:59">
      <c r="I114" s="115">
        <f t="shared" si="0"/>
        <v>64</v>
      </c>
      <c r="J114" s="128"/>
      <c r="K114" s="128"/>
      <c r="L114" s="128"/>
      <c r="M114" s="128"/>
      <c r="N114" s="128"/>
      <c r="O114" s="128"/>
      <c r="P114" s="128"/>
      <c r="Q114" s="129"/>
      <c r="R114" s="128"/>
      <c r="S114" s="128"/>
      <c r="T114" s="128"/>
      <c r="U114" s="128"/>
      <c r="V114" s="128"/>
      <c r="W114" s="128"/>
      <c r="X114" s="128"/>
      <c r="Y114" s="129"/>
      <c r="Z114" s="80">
        <v>58</v>
      </c>
      <c r="AA114" s="61">
        <v>58</v>
      </c>
      <c r="AB114" s="61">
        <v>60</v>
      </c>
      <c r="AC114" s="61">
        <v>60</v>
      </c>
      <c r="AD114" s="61">
        <v>62</v>
      </c>
      <c r="AE114" s="61">
        <v>62</v>
      </c>
      <c r="AF114" s="61">
        <v>62</v>
      </c>
      <c r="AG114" s="83">
        <v>62</v>
      </c>
      <c r="AI114" s="85">
        <f t="shared" si="1"/>
        <v>64</v>
      </c>
      <c r="AJ114" s="130"/>
      <c r="AK114" s="131"/>
      <c r="AL114" s="131"/>
      <c r="AM114" s="131"/>
      <c r="AN114" s="131"/>
      <c r="AO114" s="131"/>
      <c r="AP114" s="131"/>
      <c r="AQ114" s="131"/>
      <c r="AR114" s="130"/>
      <c r="AS114" s="131"/>
      <c r="AT114" s="131"/>
      <c r="AU114" s="131"/>
      <c r="AV114" s="131"/>
      <c r="AW114" s="131"/>
      <c r="AX114" s="131"/>
      <c r="AY114" s="132"/>
      <c r="AZ114" s="61">
        <v>87</v>
      </c>
      <c r="BA114" s="61">
        <v>83</v>
      </c>
      <c r="BB114" s="61">
        <v>87</v>
      </c>
      <c r="BC114" s="61">
        <v>82</v>
      </c>
      <c r="BD114" s="61">
        <v>93</v>
      </c>
      <c r="BE114" s="61">
        <v>89</v>
      </c>
      <c r="BF114" s="61">
        <v>88</v>
      </c>
      <c r="BG114" s="89">
        <v>88</v>
      </c>
    </row>
    <row r="115" spans="9:59">
      <c r="I115" s="115">
        <f t="shared" si="0"/>
        <v>63</v>
      </c>
      <c r="J115" s="128"/>
      <c r="K115" s="128"/>
      <c r="L115" s="128"/>
      <c r="M115" s="128"/>
      <c r="N115" s="128"/>
      <c r="O115" s="128"/>
      <c r="P115" s="128"/>
      <c r="Q115" s="129"/>
      <c r="R115" s="128"/>
      <c r="S115" s="128"/>
      <c r="T115" s="128"/>
      <c r="U115" s="128"/>
      <c r="V115" s="128"/>
      <c r="W115" s="128"/>
      <c r="X115" s="128"/>
      <c r="Y115" s="129"/>
      <c r="Z115" s="80">
        <v>57</v>
      </c>
      <c r="AA115" s="61">
        <v>57</v>
      </c>
      <c r="AB115" s="61">
        <v>59</v>
      </c>
      <c r="AC115" s="61">
        <v>59</v>
      </c>
      <c r="AD115" s="61">
        <v>61</v>
      </c>
      <c r="AE115" s="61">
        <v>61</v>
      </c>
      <c r="AF115" s="61">
        <v>61</v>
      </c>
      <c r="AG115" s="83">
        <v>61</v>
      </c>
      <c r="AI115" s="85">
        <f t="shared" si="1"/>
        <v>63</v>
      </c>
      <c r="AJ115" s="130"/>
      <c r="AK115" s="131"/>
      <c r="AL115" s="131"/>
      <c r="AM115" s="131"/>
      <c r="AN115" s="131"/>
      <c r="AO115" s="131"/>
      <c r="AP115" s="131"/>
      <c r="AQ115" s="131"/>
      <c r="AR115" s="130"/>
      <c r="AS115" s="131"/>
      <c r="AT115" s="131"/>
      <c r="AU115" s="131"/>
      <c r="AV115" s="131"/>
      <c r="AW115" s="131"/>
      <c r="AX115" s="131"/>
      <c r="AY115" s="132"/>
      <c r="AZ115" s="61">
        <v>83</v>
      </c>
      <c r="BA115" s="61">
        <v>79</v>
      </c>
      <c r="BB115" s="61">
        <v>83</v>
      </c>
      <c r="BC115" s="61">
        <v>79</v>
      </c>
      <c r="BD115" s="61">
        <v>92</v>
      </c>
      <c r="BE115" s="61">
        <v>84</v>
      </c>
      <c r="BF115" s="61">
        <v>85</v>
      </c>
      <c r="BG115" s="89">
        <v>87</v>
      </c>
    </row>
    <row r="116" spans="9:59">
      <c r="I116" s="115">
        <f t="shared" si="0"/>
        <v>62</v>
      </c>
      <c r="J116" s="128"/>
      <c r="K116" s="128"/>
      <c r="L116" s="128"/>
      <c r="M116" s="128"/>
      <c r="N116" s="128"/>
      <c r="O116" s="128"/>
      <c r="P116" s="128"/>
      <c r="Q116" s="129"/>
      <c r="R116" s="128"/>
      <c r="S116" s="128"/>
      <c r="T116" s="128"/>
      <c r="U116" s="128"/>
      <c r="V116" s="128"/>
      <c r="W116" s="128"/>
      <c r="X116" s="128"/>
      <c r="Y116" s="129"/>
      <c r="Z116" s="80">
        <v>56</v>
      </c>
      <c r="AA116" s="61">
        <v>56</v>
      </c>
      <c r="AB116" s="61">
        <v>58</v>
      </c>
      <c r="AC116" s="61">
        <v>58</v>
      </c>
      <c r="AD116" s="61">
        <v>60</v>
      </c>
      <c r="AE116" s="61">
        <v>60</v>
      </c>
      <c r="AF116" s="61">
        <v>60</v>
      </c>
      <c r="AG116" s="83">
        <v>61</v>
      </c>
      <c r="AI116" s="85">
        <f t="shared" si="1"/>
        <v>62</v>
      </c>
      <c r="AJ116" s="130"/>
      <c r="AK116" s="131"/>
      <c r="AL116" s="131"/>
      <c r="AM116" s="131"/>
      <c r="AN116" s="131"/>
      <c r="AO116" s="131"/>
      <c r="AP116" s="131"/>
      <c r="AQ116" s="131"/>
      <c r="AR116" s="130"/>
      <c r="AS116" s="131"/>
      <c r="AT116" s="131"/>
      <c r="AU116" s="131"/>
      <c r="AV116" s="131"/>
      <c r="AW116" s="131"/>
      <c r="AX116" s="131"/>
      <c r="AY116" s="132"/>
      <c r="AZ116" s="61">
        <v>82</v>
      </c>
      <c r="BA116" s="61">
        <v>77</v>
      </c>
      <c r="BB116" s="61">
        <v>81</v>
      </c>
      <c r="BC116" s="61">
        <v>77</v>
      </c>
      <c r="BD116" s="61">
        <v>92</v>
      </c>
      <c r="BE116" s="61">
        <v>83</v>
      </c>
      <c r="BF116" s="61">
        <v>82</v>
      </c>
      <c r="BG116" s="89">
        <v>87</v>
      </c>
    </row>
    <row r="117" spans="9:59">
      <c r="I117" s="115">
        <f t="shared" si="0"/>
        <v>61</v>
      </c>
      <c r="J117" s="128"/>
      <c r="K117" s="128"/>
      <c r="L117" s="128"/>
      <c r="M117" s="128"/>
      <c r="N117" s="128"/>
      <c r="O117" s="128"/>
      <c r="P117" s="128"/>
      <c r="Q117" s="129"/>
      <c r="R117" s="128"/>
      <c r="S117" s="128"/>
      <c r="T117" s="128"/>
      <c r="U117" s="128"/>
      <c r="V117" s="128"/>
      <c r="W117" s="128"/>
      <c r="X117" s="128"/>
      <c r="Y117" s="129"/>
      <c r="Z117" s="80">
        <v>56</v>
      </c>
      <c r="AA117" s="61">
        <v>56</v>
      </c>
      <c r="AB117" s="61">
        <v>58</v>
      </c>
      <c r="AC117" s="61">
        <v>58</v>
      </c>
      <c r="AD117" s="61">
        <v>59</v>
      </c>
      <c r="AE117" s="61">
        <v>59</v>
      </c>
      <c r="AF117" s="61">
        <v>59</v>
      </c>
      <c r="AG117" s="83">
        <v>60</v>
      </c>
      <c r="AI117" s="85">
        <f t="shared" si="1"/>
        <v>61</v>
      </c>
      <c r="AJ117" s="130"/>
      <c r="AK117" s="131"/>
      <c r="AL117" s="131"/>
      <c r="AM117" s="131"/>
      <c r="AN117" s="131"/>
      <c r="AO117" s="131"/>
      <c r="AP117" s="131"/>
      <c r="AQ117" s="131"/>
      <c r="AR117" s="130"/>
      <c r="AS117" s="131"/>
      <c r="AT117" s="131"/>
      <c r="AU117" s="131"/>
      <c r="AV117" s="131"/>
      <c r="AW117" s="131"/>
      <c r="AX117" s="131"/>
      <c r="AY117" s="132"/>
      <c r="AZ117" s="61">
        <v>82</v>
      </c>
      <c r="BA117" s="61">
        <v>77</v>
      </c>
      <c r="BB117" s="61">
        <v>81</v>
      </c>
      <c r="BC117" s="61">
        <v>77</v>
      </c>
      <c r="BD117" s="61">
        <v>92</v>
      </c>
      <c r="BE117" s="61">
        <v>81</v>
      </c>
      <c r="BF117" s="61">
        <v>80</v>
      </c>
      <c r="BG117" s="89">
        <v>86</v>
      </c>
    </row>
    <row r="118" spans="9:59">
      <c r="I118" s="115">
        <f t="shared" si="0"/>
        <v>60</v>
      </c>
      <c r="J118" s="128"/>
      <c r="K118" s="128"/>
      <c r="L118" s="128"/>
      <c r="M118" s="128"/>
      <c r="N118" s="128"/>
      <c r="O118" s="128"/>
      <c r="P118" s="128"/>
      <c r="Q118" s="129"/>
      <c r="R118" s="128"/>
      <c r="S118" s="128"/>
      <c r="T118" s="128"/>
      <c r="U118" s="128"/>
      <c r="V118" s="128"/>
      <c r="W118" s="128"/>
      <c r="X118" s="128"/>
      <c r="Y118" s="129"/>
      <c r="Z118" s="80">
        <v>55</v>
      </c>
      <c r="AA118" s="61">
        <v>55</v>
      </c>
      <c r="AB118" s="61">
        <v>57</v>
      </c>
      <c r="AC118" s="61">
        <v>57</v>
      </c>
      <c r="AD118" s="61">
        <v>58</v>
      </c>
      <c r="AE118" s="61">
        <v>58</v>
      </c>
      <c r="AF118" s="61">
        <v>58</v>
      </c>
      <c r="AG118" s="83">
        <v>59</v>
      </c>
      <c r="AI118" s="85">
        <f t="shared" si="1"/>
        <v>60</v>
      </c>
      <c r="AJ118" s="130"/>
      <c r="AK118" s="131"/>
      <c r="AL118" s="131"/>
      <c r="AM118" s="131"/>
      <c r="AN118" s="131"/>
      <c r="AO118" s="131"/>
      <c r="AP118" s="131"/>
      <c r="AQ118" s="131"/>
      <c r="AR118" s="130"/>
      <c r="AS118" s="131"/>
      <c r="AT118" s="131"/>
      <c r="AU118" s="131"/>
      <c r="AV118" s="131"/>
      <c r="AW118" s="131"/>
      <c r="AX118" s="131"/>
      <c r="AY118" s="132"/>
      <c r="AZ118" s="61">
        <v>78</v>
      </c>
      <c r="BA118" s="61">
        <v>72</v>
      </c>
      <c r="BB118" s="61">
        <v>76</v>
      </c>
      <c r="BC118" s="61">
        <v>73</v>
      </c>
      <c r="BD118" s="61">
        <v>91</v>
      </c>
      <c r="BE118" s="61">
        <v>80</v>
      </c>
      <c r="BF118" s="61">
        <v>80</v>
      </c>
      <c r="BG118" s="89">
        <v>83</v>
      </c>
    </row>
    <row r="119" spans="9:59">
      <c r="I119" s="115">
        <f t="shared" si="0"/>
        <v>59</v>
      </c>
      <c r="J119" s="128"/>
      <c r="K119" s="128"/>
      <c r="L119" s="128"/>
      <c r="M119" s="128"/>
      <c r="N119" s="128"/>
      <c r="O119" s="128"/>
      <c r="P119" s="128"/>
      <c r="Q119" s="129"/>
      <c r="R119" s="128"/>
      <c r="S119" s="128"/>
      <c r="T119" s="128"/>
      <c r="U119" s="128"/>
      <c r="V119" s="128"/>
      <c r="W119" s="128"/>
      <c r="X119" s="128"/>
      <c r="Y119" s="129"/>
      <c r="Z119" s="80">
        <v>54</v>
      </c>
      <c r="AA119" s="61">
        <v>54</v>
      </c>
      <c r="AB119" s="61">
        <v>56</v>
      </c>
      <c r="AC119" s="61">
        <v>56</v>
      </c>
      <c r="AD119" s="61">
        <v>58</v>
      </c>
      <c r="AE119" s="61">
        <v>58</v>
      </c>
      <c r="AF119" s="61">
        <v>58</v>
      </c>
      <c r="AG119" s="83">
        <v>58</v>
      </c>
      <c r="AI119" s="85">
        <f t="shared" si="1"/>
        <v>59</v>
      </c>
      <c r="AJ119" s="130"/>
      <c r="AK119" s="131"/>
      <c r="AL119" s="131"/>
      <c r="AM119" s="131"/>
      <c r="AN119" s="131"/>
      <c r="AO119" s="131"/>
      <c r="AP119" s="131"/>
      <c r="AQ119" s="131"/>
      <c r="AR119" s="130"/>
      <c r="AS119" s="131"/>
      <c r="AT119" s="131"/>
      <c r="AU119" s="131"/>
      <c r="AV119" s="131"/>
      <c r="AW119" s="131"/>
      <c r="AX119" s="131"/>
      <c r="AY119" s="132"/>
      <c r="AZ119" s="61">
        <v>76</v>
      </c>
      <c r="BA119" s="61">
        <v>71</v>
      </c>
      <c r="BB119" s="61">
        <v>74</v>
      </c>
      <c r="BC119" s="61">
        <v>72</v>
      </c>
      <c r="BD119" s="61">
        <v>91</v>
      </c>
      <c r="BE119" s="61">
        <v>80</v>
      </c>
      <c r="BF119" s="61">
        <v>80</v>
      </c>
      <c r="BG119" s="89">
        <v>82</v>
      </c>
    </row>
    <row r="120" spans="9:59">
      <c r="I120" s="115">
        <f t="shared" si="0"/>
        <v>58</v>
      </c>
      <c r="J120" s="128"/>
      <c r="K120" s="128"/>
      <c r="L120" s="128"/>
      <c r="M120" s="128"/>
      <c r="N120" s="128"/>
      <c r="O120" s="128"/>
      <c r="P120" s="128"/>
      <c r="Q120" s="129"/>
      <c r="R120" s="128"/>
      <c r="S120" s="128"/>
      <c r="T120" s="128"/>
      <c r="U120" s="128"/>
      <c r="V120" s="128"/>
      <c r="W120" s="128"/>
      <c r="X120" s="128"/>
      <c r="Y120" s="129"/>
      <c r="Z120" s="80">
        <v>54</v>
      </c>
      <c r="AA120" s="61">
        <v>54</v>
      </c>
      <c r="AB120" s="61">
        <v>55</v>
      </c>
      <c r="AC120" s="61">
        <v>55</v>
      </c>
      <c r="AD120" s="61">
        <v>57</v>
      </c>
      <c r="AE120" s="61">
        <v>57</v>
      </c>
      <c r="AF120" s="61">
        <v>57</v>
      </c>
      <c r="AG120" s="83">
        <v>58</v>
      </c>
      <c r="AI120" s="85">
        <f t="shared" si="1"/>
        <v>58</v>
      </c>
      <c r="AJ120" s="130"/>
      <c r="AK120" s="131"/>
      <c r="AL120" s="131"/>
      <c r="AM120" s="131"/>
      <c r="AN120" s="131"/>
      <c r="AO120" s="131"/>
      <c r="AP120" s="131"/>
      <c r="AQ120" s="131"/>
      <c r="AR120" s="130"/>
      <c r="AS120" s="131"/>
      <c r="AT120" s="131"/>
      <c r="AU120" s="131"/>
      <c r="AV120" s="131"/>
      <c r="AW120" s="131"/>
      <c r="AX120" s="131"/>
      <c r="AY120" s="132"/>
      <c r="AZ120" s="61">
        <v>76</v>
      </c>
      <c r="BA120" s="61">
        <v>71</v>
      </c>
      <c r="BB120" s="61">
        <v>72</v>
      </c>
      <c r="BC120" s="61">
        <v>69</v>
      </c>
      <c r="BD120" s="61">
        <v>89</v>
      </c>
      <c r="BE120" s="61">
        <v>77</v>
      </c>
      <c r="BF120" s="61">
        <v>78</v>
      </c>
      <c r="BG120" s="89">
        <v>82</v>
      </c>
    </row>
    <row r="121" spans="9:59">
      <c r="I121" s="115">
        <f t="shared" si="0"/>
        <v>57</v>
      </c>
      <c r="J121" s="128"/>
      <c r="K121" s="128"/>
      <c r="L121" s="128"/>
      <c r="M121" s="128"/>
      <c r="N121" s="128"/>
      <c r="O121" s="128"/>
      <c r="P121" s="128"/>
      <c r="Q121" s="129"/>
      <c r="R121" s="128"/>
      <c r="S121" s="128"/>
      <c r="T121" s="128"/>
      <c r="U121" s="128"/>
      <c r="V121" s="128"/>
      <c r="W121" s="128"/>
      <c r="X121" s="128"/>
      <c r="Y121" s="129"/>
      <c r="Z121" s="80">
        <v>53</v>
      </c>
      <c r="AA121" s="61">
        <v>53</v>
      </c>
      <c r="AB121" s="61">
        <v>54</v>
      </c>
      <c r="AC121" s="61">
        <v>54</v>
      </c>
      <c r="AD121" s="61">
        <v>56</v>
      </c>
      <c r="AE121" s="61">
        <v>56</v>
      </c>
      <c r="AF121" s="61">
        <v>56</v>
      </c>
      <c r="AG121" s="83">
        <v>57</v>
      </c>
      <c r="AI121" s="85">
        <f t="shared" si="1"/>
        <v>57</v>
      </c>
      <c r="AJ121" s="130"/>
      <c r="AK121" s="131"/>
      <c r="AL121" s="131"/>
      <c r="AM121" s="131"/>
      <c r="AN121" s="131"/>
      <c r="AO121" s="131"/>
      <c r="AP121" s="131"/>
      <c r="AQ121" s="131"/>
      <c r="AR121" s="130"/>
      <c r="AS121" s="131"/>
      <c r="AT121" s="131"/>
      <c r="AU121" s="131"/>
      <c r="AV121" s="131"/>
      <c r="AW121" s="131"/>
      <c r="AX121" s="131"/>
      <c r="AY121" s="132"/>
      <c r="AZ121" s="61">
        <v>74</v>
      </c>
      <c r="BA121" s="61">
        <v>66</v>
      </c>
      <c r="BB121" s="61">
        <v>70</v>
      </c>
      <c r="BC121" s="61">
        <v>67</v>
      </c>
      <c r="BD121" s="61">
        <v>87</v>
      </c>
      <c r="BE121" s="61">
        <v>77</v>
      </c>
      <c r="BF121" s="61">
        <v>78</v>
      </c>
      <c r="BG121" s="89">
        <v>80</v>
      </c>
    </row>
    <row r="122" spans="9:59">
      <c r="I122" s="115">
        <f t="shared" si="0"/>
        <v>56</v>
      </c>
      <c r="J122" s="128"/>
      <c r="K122" s="128"/>
      <c r="L122" s="128"/>
      <c r="M122" s="128"/>
      <c r="N122" s="128"/>
      <c r="O122" s="128"/>
      <c r="P122" s="128"/>
      <c r="Q122" s="129"/>
      <c r="R122" s="128"/>
      <c r="S122" s="128"/>
      <c r="T122" s="128"/>
      <c r="U122" s="128"/>
      <c r="V122" s="128"/>
      <c r="W122" s="128"/>
      <c r="X122" s="128"/>
      <c r="Y122" s="129"/>
      <c r="Z122" s="80">
        <v>52</v>
      </c>
      <c r="AA122" s="61">
        <v>52</v>
      </c>
      <c r="AB122" s="61">
        <v>53</v>
      </c>
      <c r="AC122" s="61">
        <v>53</v>
      </c>
      <c r="AD122" s="61">
        <v>55</v>
      </c>
      <c r="AE122" s="61">
        <v>55</v>
      </c>
      <c r="AF122" s="61">
        <v>55</v>
      </c>
      <c r="AG122" s="83">
        <v>56</v>
      </c>
      <c r="AI122" s="85">
        <f t="shared" si="1"/>
        <v>56</v>
      </c>
      <c r="AJ122" s="130"/>
      <c r="AK122" s="131"/>
      <c r="AL122" s="131"/>
      <c r="AM122" s="131"/>
      <c r="AN122" s="131"/>
      <c r="AO122" s="131"/>
      <c r="AP122" s="131"/>
      <c r="AQ122" s="131"/>
      <c r="AR122" s="130"/>
      <c r="AS122" s="131"/>
      <c r="AT122" s="131"/>
      <c r="AU122" s="131"/>
      <c r="AV122" s="131"/>
      <c r="AW122" s="131"/>
      <c r="AX122" s="131"/>
      <c r="AY122" s="132"/>
      <c r="AZ122" s="61">
        <v>72</v>
      </c>
      <c r="BA122" s="61">
        <v>61</v>
      </c>
      <c r="BB122" s="61">
        <v>66</v>
      </c>
      <c r="BC122" s="61">
        <v>65</v>
      </c>
      <c r="BD122" s="61">
        <v>84</v>
      </c>
      <c r="BE122" s="61">
        <v>76</v>
      </c>
      <c r="BF122" s="61">
        <v>76</v>
      </c>
      <c r="BG122" s="89">
        <v>78</v>
      </c>
    </row>
    <row r="123" spans="9:59">
      <c r="I123" s="115">
        <f t="shared" si="0"/>
        <v>55</v>
      </c>
      <c r="J123" s="128"/>
      <c r="K123" s="128"/>
      <c r="L123" s="128"/>
      <c r="M123" s="128"/>
      <c r="N123" s="128"/>
      <c r="O123" s="128"/>
      <c r="P123" s="128"/>
      <c r="Q123" s="129"/>
      <c r="R123" s="128"/>
      <c r="S123" s="128"/>
      <c r="T123" s="128"/>
      <c r="U123" s="128"/>
      <c r="V123" s="128"/>
      <c r="W123" s="128"/>
      <c r="X123" s="128"/>
      <c r="Y123" s="129"/>
      <c r="Z123" s="80">
        <v>52</v>
      </c>
      <c r="AA123" s="61">
        <v>52</v>
      </c>
      <c r="AB123" s="61">
        <v>53</v>
      </c>
      <c r="AC123" s="61">
        <v>53</v>
      </c>
      <c r="AD123" s="61">
        <v>54</v>
      </c>
      <c r="AE123" s="61">
        <v>54</v>
      </c>
      <c r="AF123" s="61">
        <v>54</v>
      </c>
      <c r="AG123" s="83">
        <v>56</v>
      </c>
      <c r="AI123" s="85">
        <f t="shared" si="1"/>
        <v>55</v>
      </c>
      <c r="AJ123" s="130"/>
      <c r="AK123" s="131"/>
      <c r="AL123" s="131"/>
      <c r="AM123" s="131"/>
      <c r="AN123" s="131"/>
      <c r="AO123" s="131"/>
      <c r="AP123" s="131"/>
      <c r="AQ123" s="131"/>
      <c r="AR123" s="130"/>
      <c r="AS123" s="131"/>
      <c r="AT123" s="131"/>
      <c r="AU123" s="131"/>
      <c r="AV123" s="131"/>
      <c r="AW123" s="131"/>
      <c r="AX123" s="131"/>
      <c r="AY123" s="132"/>
      <c r="AZ123" s="61">
        <v>72</v>
      </c>
      <c r="BA123" s="61">
        <v>61</v>
      </c>
      <c r="BB123" s="61">
        <v>66</v>
      </c>
      <c r="BC123" s="61">
        <v>65</v>
      </c>
      <c r="BD123" s="61">
        <v>84</v>
      </c>
      <c r="BE123" s="61">
        <v>72</v>
      </c>
      <c r="BF123" s="61">
        <v>73</v>
      </c>
      <c r="BG123" s="89">
        <v>78</v>
      </c>
    </row>
    <row r="124" spans="9:59">
      <c r="I124" s="115">
        <f t="shared" si="0"/>
        <v>54</v>
      </c>
      <c r="J124" s="128"/>
      <c r="K124" s="128"/>
      <c r="L124" s="128"/>
      <c r="M124" s="128"/>
      <c r="N124" s="128"/>
      <c r="O124" s="128"/>
      <c r="P124" s="128"/>
      <c r="Q124" s="129"/>
      <c r="R124" s="128"/>
      <c r="S124" s="128"/>
      <c r="T124" s="128"/>
      <c r="U124" s="128"/>
      <c r="V124" s="128"/>
      <c r="W124" s="128"/>
      <c r="X124" s="128"/>
      <c r="Y124" s="129"/>
      <c r="Z124" s="80">
        <v>51</v>
      </c>
      <c r="AA124" s="61">
        <v>51</v>
      </c>
      <c r="AB124" s="61">
        <v>52</v>
      </c>
      <c r="AC124" s="61">
        <v>52</v>
      </c>
      <c r="AD124" s="61">
        <v>54</v>
      </c>
      <c r="AE124" s="61">
        <v>54</v>
      </c>
      <c r="AF124" s="61">
        <v>54</v>
      </c>
      <c r="AG124" s="83">
        <v>55</v>
      </c>
      <c r="AI124" s="85">
        <f t="shared" si="1"/>
        <v>54</v>
      </c>
      <c r="AJ124" s="130"/>
      <c r="AK124" s="131"/>
      <c r="AL124" s="131"/>
      <c r="AM124" s="131"/>
      <c r="AN124" s="131"/>
      <c r="AO124" s="131"/>
      <c r="AP124" s="131"/>
      <c r="AQ124" s="131"/>
      <c r="AR124" s="130"/>
      <c r="AS124" s="131"/>
      <c r="AT124" s="131"/>
      <c r="AU124" s="131"/>
      <c r="AV124" s="131"/>
      <c r="AW124" s="131"/>
      <c r="AX124" s="131"/>
      <c r="AY124" s="132"/>
      <c r="AZ124" s="61">
        <v>66</v>
      </c>
      <c r="BA124" s="61">
        <v>57</v>
      </c>
      <c r="BB124" s="61">
        <v>62</v>
      </c>
      <c r="BC124" s="61">
        <v>61</v>
      </c>
      <c r="BD124" s="61">
        <v>84</v>
      </c>
      <c r="BE124" s="61">
        <v>72</v>
      </c>
      <c r="BF124" s="61">
        <v>73</v>
      </c>
      <c r="BG124" s="89">
        <v>74</v>
      </c>
    </row>
    <row r="125" spans="9:59">
      <c r="I125" s="115">
        <f t="shared" si="0"/>
        <v>53</v>
      </c>
      <c r="J125" s="128"/>
      <c r="K125" s="128"/>
      <c r="L125" s="128"/>
      <c r="M125" s="128"/>
      <c r="N125" s="128"/>
      <c r="O125" s="128"/>
      <c r="P125" s="128"/>
      <c r="Q125" s="129"/>
      <c r="R125" s="128"/>
      <c r="S125" s="128"/>
      <c r="T125" s="128"/>
      <c r="U125" s="128"/>
      <c r="V125" s="128"/>
      <c r="W125" s="128"/>
      <c r="X125" s="128"/>
      <c r="Y125" s="129"/>
      <c r="Z125" s="80">
        <v>50</v>
      </c>
      <c r="AA125" s="61">
        <v>50</v>
      </c>
      <c r="AB125" s="61">
        <v>52</v>
      </c>
      <c r="AC125" s="61">
        <v>52</v>
      </c>
      <c r="AD125" s="61">
        <v>53</v>
      </c>
      <c r="AE125" s="61">
        <v>53</v>
      </c>
      <c r="AF125" s="61">
        <v>53</v>
      </c>
      <c r="AG125" s="83">
        <v>54</v>
      </c>
      <c r="AI125" s="85">
        <f t="shared" si="1"/>
        <v>53</v>
      </c>
      <c r="AJ125" s="130"/>
      <c r="AK125" s="131"/>
      <c r="AL125" s="131"/>
      <c r="AM125" s="131"/>
      <c r="AN125" s="131"/>
      <c r="AO125" s="131"/>
      <c r="AP125" s="131"/>
      <c r="AQ125" s="131"/>
      <c r="AR125" s="130"/>
      <c r="AS125" s="131"/>
      <c r="AT125" s="131"/>
      <c r="AU125" s="131"/>
      <c r="AV125" s="131"/>
      <c r="AW125" s="131"/>
      <c r="AX125" s="131"/>
      <c r="AY125" s="132"/>
      <c r="AZ125" s="61">
        <v>66</v>
      </c>
      <c r="BA125" s="61">
        <v>54</v>
      </c>
      <c r="BB125" s="61">
        <v>62</v>
      </c>
      <c r="BC125" s="61">
        <v>61</v>
      </c>
      <c r="BD125" s="61">
        <v>80</v>
      </c>
      <c r="BE125" s="61">
        <v>68</v>
      </c>
      <c r="BF125" s="61">
        <v>68</v>
      </c>
      <c r="BG125" s="89">
        <v>74</v>
      </c>
    </row>
    <row r="126" spans="9:59">
      <c r="I126" s="115">
        <f t="shared" si="0"/>
        <v>52</v>
      </c>
      <c r="J126" s="128"/>
      <c r="K126" s="128"/>
      <c r="L126" s="128"/>
      <c r="M126" s="128"/>
      <c r="N126" s="128"/>
      <c r="O126" s="128"/>
      <c r="P126" s="128"/>
      <c r="Q126" s="129"/>
      <c r="R126" s="128"/>
      <c r="S126" s="128"/>
      <c r="T126" s="128"/>
      <c r="U126" s="128"/>
      <c r="V126" s="128"/>
      <c r="W126" s="128"/>
      <c r="X126" s="128"/>
      <c r="Y126" s="129"/>
      <c r="Z126" s="80">
        <v>50</v>
      </c>
      <c r="AA126" s="61">
        <v>50</v>
      </c>
      <c r="AB126" s="61">
        <v>51</v>
      </c>
      <c r="AC126" s="61">
        <v>51</v>
      </c>
      <c r="AD126" s="61">
        <v>52</v>
      </c>
      <c r="AE126" s="61">
        <v>52</v>
      </c>
      <c r="AF126" s="61">
        <v>52</v>
      </c>
      <c r="AG126" s="83">
        <v>53</v>
      </c>
      <c r="AI126" s="85">
        <f t="shared" si="1"/>
        <v>52</v>
      </c>
      <c r="AJ126" s="130"/>
      <c r="AK126" s="131"/>
      <c r="AL126" s="131"/>
      <c r="AM126" s="131"/>
      <c r="AN126" s="131"/>
      <c r="AO126" s="131"/>
      <c r="AP126" s="131"/>
      <c r="AQ126" s="131"/>
      <c r="AR126" s="130"/>
      <c r="AS126" s="131"/>
      <c r="AT126" s="131"/>
      <c r="AU126" s="131"/>
      <c r="AV126" s="131"/>
      <c r="AW126" s="131"/>
      <c r="AX126" s="131"/>
      <c r="AY126" s="132"/>
      <c r="AZ126" s="61">
        <v>66</v>
      </c>
      <c r="BA126" s="61">
        <v>54</v>
      </c>
      <c r="BB126" s="61">
        <v>62</v>
      </c>
      <c r="BC126" s="61">
        <v>59</v>
      </c>
      <c r="BD126" s="61">
        <v>75</v>
      </c>
      <c r="BE126" s="61">
        <v>67</v>
      </c>
      <c r="BF126" s="61">
        <v>62</v>
      </c>
      <c r="BG126" s="89">
        <v>74</v>
      </c>
    </row>
    <row r="127" spans="9:59">
      <c r="I127" s="115">
        <f t="shared" si="0"/>
        <v>51</v>
      </c>
      <c r="J127" s="128"/>
      <c r="K127" s="128"/>
      <c r="L127" s="128"/>
      <c r="M127" s="128"/>
      <c r="N127" s="128"/>
      <c r="O127" s="128"/>
      <c r="P127" s="128"/>
      <c r="Q127" s="129"/>
      <c r="R127" s="128"/>
      <c r="S127" s="128"/>
      <c r="T127" s="128"/>
      <c r="U127" s="128"/>
      <c r="V127" s="128"/>
      <c r="W127" s="128"/>
      <c r="X127" s="128"/>
      <c r="Y127" s="129"/>
      <c r="Z127" s="80">
        <v>49</v>
      </c>
      <c r="AA127" s="61">
        <v>49</v>
      </c>
      <c r="AB127" s="61">
        <v>50</v>
      </c>
      <c r="AC127" s="61">
        <v>50</v>
      </c>
      <c r="AD127" s="61">
        <v>51</v>
      </c>
      <c r="AE127" s="61">
        <v>51</v>
      </c>
      <c r="AF127" s="61">
        <v>51</v>
      </c>
      <c r="AG127" s="83">
        <v>53</v>
      </c>
      <c r="AI127" s="85">
        <f t="shared" si="1"/>
        <v>51</v>
      </c>
      <c r="AJ127" s="130"/>
      <c r="AK127" s="131"/>
      <c r="AL127" s="131"/>
      <c r="AM127" s="131"/>
      <c r="AN127" s="131"/>
      <c r="AO127" s="131"/>
      <c r="AP127" s="131"/>
      <c r="AQ127" s="131"/>
      <c r="AR127" s="130"/>
      <c r="AS127" s="131"/>
      <c r="AT127" s="131"/>
      <c r="AU127" s="131"/>
      <c r="AV127" s="131"/>
      <c r="AW127" s="131"/>
      <c r="AX127" s="131"/>
      <c r="AY127" s="132"/>
      <c r="AZ127" s="61">
        <v>60</v>
      </c>
      <c r="BA127" s="61">
        <v>49</v>
      </c>
      <c r="BB127" s="61">
        <v>57</v>
      </c>
      <c r="BC127" s="61">
        <v>57</v>
      </c>
      <c r="BD127" s="61">
        <v>73</v>
      </c>
      <c r="BE127" s="61">
        <v>63</v>
      </c>
      <c r="BF127" s="61">
        <v>60</v>
      </c>
      <c r="BG127" s="89">
        <v>74</v>
      </c>
    </row>
    <row r="128" spans="9:59">
      <c r="I128" s="115">
        <f t="shared" si="0"/>
        <v>50</v>
      </c>
      <c r="J128" s="128"/>
      <c r="K128" s="128"/>
      <c r="L128" s="128"/>
      <c r="M128" s="128"/>
      <c r="N128" s="128"/>
      <c r="O128" s="128"/>
      <c r="P128" s="128"/>
      <c r="Q128" s="129"/>
      <c r="R128" s="128"/>
      <c r="S128" s="128"/>
      <c r="T128" s="128"/>
      <c r="U128" s="128"/>
      <c r="V128" s="128"/>
      <c r="W128" s="128"/>
      <c r="X128" s="128"/>
      <c r="Y128" s="129"/>
      <c r="Z128" s="80">
        <v>48</v>
      </c>
      <c r="AA128" s="61">
        <v>48</v>
      </c>
      <c r="AB128" s="61">
        <v>50</v>
      </c>
      <c r="AC128" s="61">
        <v>50</v>
      </c>
      <c r="AD128" s="61">
        <v>51</v>
      </c>
      <c r="AE128" s="61">
        <v>51</v>
      </c>
      <c r="AF128" s="61">
        <v>51</v>
      </c>
      <c r="AG128" s="83">
        <v>52</v>
      </c>
      <c r="AI128" s="85">
        <f t="shared" si="1"/>
        <v>50</v>
      </c>
      <c r="AJ128" s="130"/>
      <c r="AK128" s="131"/>
      <c r="AL128" s="131"/>
      <c r="AM128" s="131"/>
      <c r="AN128" s="131"/>
      <c r="AO128" s="131"/>
      <c r="AP128" s="131"/>
      <c r="AQ128" s="131"/>
      <c r="AR128" s="130"/>
      <c r="AS128" s="131"/>
      <c r="AT128" s="131"/>
      <c r="AU128" s="131"/>
      <c r="AV128" s="131"/>
      <c r="AW128" s="131"/>
      <c r="AX128" s="131"/>
      <c r="AY128" s="132"/>
      <c r="AZ128" s="61">
        <v>58</v>
      </c>
      <c r="BA128" s="61">
        <v>47</v>
      </c>
      <c r="BB128" s="61">
        <v>57</v>
      </c>
      <c r="BC128" s="61">
        <v>57</v>
      </c>
      <c r="BD128" s="61">
        <v>73</v>
      </c>
      <c r="BE128" s="61">
        <v>63</v>
      </c>
      <c r="BF128" s="61">
        <v>60</v>
      </c>
      <c r="BG128" s="89">
        <v>70</v>
      </c>
    </row>
    <row r="129" spans="9:59">
      <c r="I129" s="115">
        <f t="shared" si="0"/>
        <v>49</v>
      </c>
      <c r="J129" s="128"/>
      <c r="K129" s="128"/>
      <c r="L129" s="128"/>
      <c r="M129" s="128"/>
      <c r="N129" s="128"/>
      <c r="O129" s="128"/>
      <c r="P129" s="128"/>
      <c r="Q129" s="129"/>
      <c r="R129" s="82"/>
      <c r="S129" s="82"/>
      <c r="T129" s="82"/>
      <c r="U129" s="82"/>
      <c r="V129" s="82"/>
      <c r="W129" s="82"/>
      <c r="X129" s="82"/>
      <c r="Y129" s="84"/>
      <c r="Z129" s="80">
        <v>47</v>
      </c>
      <c r="AA129" s="61">
        <v>47</v>
      </c>
      <c r="AB129" s="61">
        <v>49</v>
      </c>
      <c r="AC129" s="61">
        <v>49</v>
      </c>
      <c r="AD129" s="61">
        <v>50</v>
      </c>
      <c r="AE129" s="61">
        <v>50</v>
      </c>
      <c r="AF129" s="61">
        <v>50</v>
      </c>
      <c r="AG129" s="83">
        <v>51</v>
      </c>
      <c r="AI129" s="85">
        <f t="shared" si="1"/>
        <v>49</v>
      </c>
      <c r="AJ129" s="130"/>
      <c r="AK129" s="131"/>
      <c r="AL129" s="131"/>
      <c r="AM129" s="131"/>
      <c r="AN129" s="131"/>
      <c r="AO129" s="131"/>
      <c r="AP129" s="131"/>
      <c r="AQ129" s="131"/>
      <c r="AR129" s="130"/>
      <c r="AS129" s="131"/>
      <c r="AT129" s="131"/>
      <c r="AU129" s="131"/>
      <c r="AV129" s="131"/>
      <c r="AW129" s="131"/>
      <c r="AX129" s="131"/>
      <c r="AY129" s="132"/>
      <c r="AZ129" s="61">
        <v>56</v>
      </c>
      <c r="BA129" s="61">
        <v>45</v>
      </c>
      <c r="BB129" s="61">
        <v>53</v>
      </c>
      <c r="BC129" s="61">
        <v>52</v>
      </c>
      <c r="BD129" s="61">
        <v>71</v>
      </c>
      <c r="BE129" s="61">
        <v>58</v>
      </c>
      <c r="BF129" s="61">
        <v>53</v>
      </c>
      <c r="BG129" s="89">
        <v>66</v>
      </c>
    </row>
    <row r="130" spans="9:59">
      <c r="I130" s="115">
        <f t="shared" si="0"/>
        <v>48</v>
      </c>
      <c r="J130" s="128"/>
      <c r="K130" s="128"/>
      <c r="L130" s="128"/>
      <c r="M130" s="128"/>
      <c r="N130" s="128"/>
      <c r="O130" s="128"/>
      <c r="P130" s="128"/>
      <c r="Q130" s="129"/>
      <c r="R130" s="61">
        <v>88</v>
      </c>
      <c r="S130" s="61">
        <v>90</v>
      </c>
      <c r="T130" s="61">
        <v>90</v>
      </c>
      <c r="U130" s="61">
        <v>90</v>
      </c>
      <c r="V130" s="61" t="s">
        <v>69</v>
      </c>
      <c r="W130" s="61" t="s">
        <v>69</v>
      </c>
      <c r="X130" s="61" t="s">
        <v>69</v>
      </c>
      <c r="Y130" s="83" t="s">
        <v>69</v>
      </c>
      <c r="Z130" s="80">
        <v>47</v>
      </c>
      <c r="AA130" s="61">
        <v>47</v>
      </c>
      <c r="AB130" s="61">
        <v>48</v>
      </c>
      <c r="AC130" s="61">
        <v>48</v>
      </c>
      <c r="AD130" s="61">
        <v>49</v>
      </c>
      <c r="AE130" s="61">
        <v>49</v>
      </c>
      <c r="AF130" s="61">
        <v>49</v>
      </c>
      <c r="AG130" s="83">
        <v>50</v>
      </c>
      <c r="AI130" s="85">
        <f t="shared" si="1"/>
        <v>48</v>
      </c>
      <c r="AJ130" s="130"/>
      <c r="AK130" s="131"/>
      <c r="AL130" s="131"/>
      <c r="AM130" s="131"/>
      <c r="AN130" s="131"/>
      <c r="AO130" s="131"/>
      <c r="AP130" s="131"/>
      <c r="AQ130" s="131"/>
      <c r="AR130" s="122" t="s">
        <v>70</v>
      </c>
      <c r="AS130" s="61" t="s">
        <v>70</v>
      </c>
      <c r="AT130" s="61" t="s">
        <v>70</v>
      </c>
      <c r="AU130" s="61" t="s">
        <v>70</v>
      </c>
      <c r="AV130" s="61" t="s">
        <v>70</v>
      </c>
      <c r="AW130" s="61" t="s">
        <v>70</v>
      </c>
      <c r="AX130" s="61" t="s">
        <v>70</v>
      </c>
      <c r="AY130" s="89" t="s">
        <v>70</v>
      </c>
      <c r="AZ130" s="61">
        <v>56</v>
      </c>
      <c r="BA130" s="61">
        <v>45</v>
      </c>
      <c r="BB130" s="61">
        <v>50</v>
      </c>
      <c r="BC130" s="61">
        <v>50</v>
      </c>
      <c r="BD130" s="61">
        <v>68</v>
      </c>
      <c r="BE130" s="61">
        <v>53</v>
      </c>
      <c r="BF130" s="61">
        <v>49</v>
      </c>
      <c r="BG130" s="89">
        <v>63</v>
      </c>
    </row>
    <row r="131" spans="9:59">
      <c r="I131" s="115">
        <f t="shared" si="0"/>
        <v>47</v>
      </c>
      <c r="J131" s="128"/>
      <c r="K131" s="128"/>
      <c r="L131" s="128"/>
      <c r="M131" s="128"/>
      <c r="N131" s="128"/>
      <c r="O131" s="128"/>
      <c r="P131" s="128"/>
      <c r="Q131" s="129"/>
      <c r="R131" s="61">
        <v>86</v>
      </c>
      <c r="S131" s="61">
        <v>88</v>
      </c>
      <c r="T131" s="61">
        <v>89</v>
      </c>
      <c r="U131" s="61">
        <v>89</v>
      </c>
      <c r="V131" s="61" t="s">
        <v>69</v>
      </c>
      <c r="W131" s="61" t="s">
        <v>69</v>
      </c>
      <c r="X131" s="61" t="s">
        <v>69</v>
      </c>
      <c r="Y131" s="83" t="s">
        <v>69</v>
      </c>
      <c r="Z131" s="80">
        <v>46</v>
      </c>
      <c r="AA131" s="61">
        <v>46</v>
      </c>
      <c r="AB131" s="61">
        <v>48</v>
      </c>
      <c r="AC131" s="61">
        <v>48</v>
      </c>
      <c r="AD131" s="61">
        <v>48</v>
      </c>
      <c r="AE131" s="61">
        <v>48</v>
      </c>
      <c r="AF131" s="61">
        <v>48</v>
      </c>
      <c r="AG131" s="83">
        <v>50</v>
      </c>
      <c r="AI131" s="85">
        <f t="shared" si="1"/>
        <v>47</v>
      </c>
      <c r="AJ131" s="130"/>
      <c r="AK131" s="131"/>
      <c r="AL131" s="131"/>
      <c r="AM131" s="131"/>
      <c r="AN131" s="131"/>
      <c r="AO131" s="131"/>
      <c r="AP131" s="131"/>
      <c r="AQ131" s="131"/>
      <c r="AR131" s="122" t="s">
        <v>70</v>
      </c>
      <c r="AS131" s="61" t="s">
        <v>70</v>
      </c>
      <c r="AT131" s="61" t="s">
        <v>70</v>
      </c>
      <c r="AU131" s="61" t="s">
        <v>70</v>
      </c>
      <c r="AV131" s="61" t="s">
        <v>70</v>
      </c>
      <c r="AW131" s="61" t="s">
        <v>70</v>
      </c>
      <c r="AX131" s="61" t="s">
        <v>70</v>
      </c>
      <c r="AY131" s="89" t="s">
        <v>70</v>
      </c>
      <c r="AZ131" s="61">
        <v>49</v>
      </c>
      <c r="BA131" s="61">
        <v>41</v>
      </c>
      <c r="BB131" s="61">
        <v>50</v>
      </c>
      <c r="BC131" s="61">
        <v>50</v>
      </c>
      <c r="BD131" s="61">
        <v>66</v>
      </c>
      <c r="BE131" s="61">
        <v>52</v>
      </c>
      <c r="BF131" s="61">
        <v>48</v>
      </c>
      <c r="BG131" s="89">
        <v>63</v>
      </c>
    </row>
    <row r="132" spans="9:59">
      <c r="I132" s="115">
        <f t="shared" si="0"/>
        <v>46</v>
      </c>
      <c r="J132" s="128"/>
      <c r="K132" s="128"/>
      <c r="L132" s="128"/>
      <c r="M132" s="128"/>
      <c r="N132" s="128"/>
      <c r="O132" s="128"/>
      <c r="P132" s="128"/>
      <c r="Q132" s="129"/>
      <c r="R132" s="61">
        <v>85</v>
      </c>
      <c r="S132" s="61">
        <v>87</v>
      </c>
      <c r="T132" s="61">
        <v>87</v>
      </c>
      <c r="U132" s="61">
        <v>87</v>
      </c>
      <c r="V132" s="61">
        <v>89</v>
      </c>
      <c r="W132" s="61">
        <v>89</v>
      </c>
      <c r="X132" s="61" t="s">
        <v>69</v>
      </c>
      <c r="Y132" s="83" t="s">
        <v>69</v>
      </c>
      <c r="Z132" s="80">
        <v>45</v>
      </c>
      <c r="AA132" s="61">
        <v>45</v>
      </c>
      <c r="AB132" s="61">
        <v>47</v>
      </c>
      <c r="AC132" s="61">
        <v>47</v>
      </c>
      <c r="AD132" s="61">
        <v>47</v>
      </c>
      <c r="AE132" s="61">
        <v>47</v>
      </c>
      <c r="AF132" s="61">
        <v>47</v>
      </c>
      <c r="AG132" s="83">
        <v>49</v>
      </c>
      <c r="AI132" s="85">
        <f t="shared" si="1"/>
        <v>46</v>
      </c>
      <c r="AJ132" s="130"/>
      <c r="AK132" s="131"/>
      <c r="AL132" s="131"/>
      <c r="AM132" s="131"/>
      <c r="AN132" s="131"/>
      <c r="AO132" s="131"/>
      <c r="AP132" s="131"/>
      <c r="AQ132" s="131"/>
      <c r="AR132" s="122" t="s">
        <v>70</v>
      </c>
      <c r="AS132" s="61" t="s">
        <v>70</v>
      </c>
      <c r="AT132" s="61" t="s">
        <v>70</v>
      </c>
      <c r="AU132" s="61" t="s">
        <v>70</v>
      </c>
      <c r="AV132" s="61" t="s">
        <v>70</v>
      </c>
      <c r="AW132" s="61" t="s">
        <v>70</v>
      </c>
      <c r="AX132" s="61" t="s">
        <v>70</v>
      </c>
      <c r="AY132" s="89" t="s">
        <v>70</v>
      </c>
      <c r="AZ132" s="61">
        <v>45</v>
      </c>
      <c r="BA132" s="61">
        <v>40</v>
      </c>
      <c r="BB132" s="61">
        <v>46</v>
      </c>
      <c r="BC132" s="61">
        <v>46</v>
      </c>
      <c r="BD132" s="61">
        <v>62</v>
      </c>
      <c r="BE132" s="61">
        <v>47</v>
      </c>
      <c r="BF132" s="61">
        <v>47</v>
      </c>
      <c r="BG132" s="89">
        <v>55</v>
      </c>
    </row>
    <row r="133" spans="9:59">
      <c r="I133" s="115">
        <f t="shared" si="0"/>
        <v>45</v>
      </c>
      <c r="J133" s="128"/>
      <c r="K133" s="128"/>
      <c r="L133" s="128"/>
      <c r="M133" s="128"/>
      <c r="N133" s="128"/>
      <c r="O133" s="128"/>
      <c r="P133" s="128"/>
      <c r="Q133" s="129"/>
      <c r="R133" s="61">
        <v>83</v>
      </c>
      <c r="S133" s="61">
        <v>85</v>
      </c>
      <c r="T133" s="61">
        <v>86</v>
      </c>
      <c r="U133" s="61">
        <v>86</v>
      </c>
      <c r="V133" s="61">
        <v>87</v>
      </c>
      <c r="W133" s="61">
        <v>87</v>
      </c>
      <c r="X133" s="61">
        <v>89</v>
      </c>
      <c r="Y133" s="83">
        <v>89</v>
      </c>
      <c r="Z133" s="80">
        <v>45</v>
      </c>
      <c r="AA133" s="61">
        <v>45</v>
      </c>
      <c r="AB133" s="61">
        <v>46</v>
      </c>
      <c r="AC133" s="61">
        <v>47</v>
      </c>
      <c r="AD133" s="61">
        <v>47</v>
      </c>
      <c r="AE133" s="61">
        <v>47</v>
      </c>
      <c r="AF133" s="61">
        <v>47</v>
      </c>
      <c r="AG133" s="83">
        <v>48</v>
      </c>
      <c r="AI133" s="85">
        <f t="shared" si="1"/>
        <v>45</v>
      </c>
      <c r="AJ133" s="130"/>
      <c r="AK133" s="131"/>
      <c r="AL133" s="131"/>
      <c r="AM133" s="131"/>
      <c r="AN133" s="131"/>
      <c r="AO133" s="131"/>
      <c r="AP133" s="131"/>
      <c r="AQ133" s="131"/>
      <c r="AR133" s="122" t="s">
        <v>70</v>
      </c>
      <c r="AS133" s="61" t="s">
        <v>70</v>
      </c>
      <c r="AT133" s="61" t="s">
        <v>70</v>
      </c>
      <c r="AU133" s="61" t="s">
        <v>70</v>
      </c>
      <c r="AV133" s="61" t="s">
        <v>70</v>
      </c>
      <c r="AW133" s="61" t="s">
        <v>70</v>
      </c>
      <c r="AX133" s="61" t="s">
        <v>70</v>
      </c>
      <c r="AY133" s="89" t="s">
        <v>70</v>
      </c>
      <c r="AZ133" s="61">
        <v>45</v>
      </c>
      <c r="BA133" s="61">
        <v>40</v>
      </c>
      <c r="BB133" s="61">
        <v>44</v>
      </c>
      <c r="BC133" s="61">
        <v>46</v>
      </c>
      <c r="BD133" s="61">
        <v>62</v>
      </c>
      <c r="BE133" s="61">
        <v>47</v>
      </c>
      <c r="BF133" s="61">
        <v>47</v>
      </c>
      <c r="BG133" s="89">
        <v>54</v>
      </c>
    </row>
    <row r="134" spans="9:59">
      <c r="I134" s="115">
        <f t="shared" si="0"/>
        <v>44</v>
      </c>
      <c r="J134" s="128"/>
      <c r="K134" s="128"/>
      <c r="L134" s="128"/>
      <c r="M134" s="128"/>
      <c r="N134" s="128"/>
      <c r="O134" s="128"/>
      <c r="P134" s="128"/>
      <c r="Q134" s="129"/>
      <c r="R134" s="61">
        <v>82</v>
      </c>
      <c r="S134" s="61">
        <v>84</v>
      </c>
      <c r="T134" s="61">
        <v>84</v>
      </c>
      <c r="U134" s="61">
        <v>84</v>
      </c>
      <c r="V134" s="61">
        <v>86</v>
      </c>
      <c r="W134" s="61">
        <v>86</v>
      </c>
      <c r="X134" s="61">
        <v>87</v>
      </c>
      <c r="Y134" s="83">
        <v>87</v>
      </c>
      <c r="Z134" s="80">
        <v>44</v>
      </c>
      <c r="AA134" s="61">
        <v>44</v>
      </c>
      <c r="AB134" s="61">
        <v>45</v>
      </c>
      <c r="AC134" s="61">
        <v>46</v>
      </c>
      <c r="AD134" s="61">
        <v>46</v>
      </c>
      <c r="AE134" s="61">
        <v>46</v>
      </c>
      <c r="AF134" s="61">
        <v>46</v>
      </c>
      <c r="AG134" s="83">
        <v>48</v>
      </c>
      <c r="AI134" s="85">
        <f t="shared" si="1"/>
        <v>44</v>
      </c>
      <c r="AJ134" s="130"/>
      <c r="AK134" s="131"/>
      <c r="AL134" s="131"/>
      <c r="AM134" s="131"/>
      <c r="AN134" s="131"/>
      <c r="AO134" s="131"/>
      <c r="AP134" s="131"/>
      <c r="AQ134" s="131"/>
      <c r="AR134" s="122">
        <v>99</v>
      </c>
      <c r="AS134" s="61" t="s">
        <v>70</v>
      </c>
      <c r="AT134" s="61">
        <v>99</v>
      </c>
      <c r="AU134" s="61" t="s">
        <v>70</v>
      </c>
      <c r="AV134" s="61" t="s">
        <v>70</v>
      </c>
      <c r="AW134" s="61" t="s">
        <v>70</v>
      </c>
      <c r="AX134" s="61" t="s">
        <v>70</v>
      </c>
      <c r="AY134" s="89" t="s">
        <v>70</v>
      </c>
      <c r="AZ134" s="61">
        <v>38</v>
      </c>
      <c r="BA134" s="61">
        <v>36</v>
      </c>
      <c r="BB134" s="61">
        <v>40</v>
      </c>
      <c r="BC134" s="61">
        <v>43</v>
      </c>
      <c r="BD134" s="61">
        <v>56</v>
      </c>
      <c r="BE134" s="61">
        <v>41</v>
      </c>
      <c r="BF134" s="61">
        <v>43</v>
      </c>
      <c r="BG134" s="89">
        <v>54</v>
      </c>
    </row>
    <row r="135" spans="9:59">
      <c r="I135" s="115">
        <f t="shared" si="0"/>
        <v>43</v>
      </c>
      <c r="J135" s="128"/>
      <c r="K135" s="128"/>
      <c r="L135" s="128"/>
      <c r="M135" s="128"/>
      <c r="N135" s="128"/>
      <c r="O135" s="128"/>
      <c r="P135" s="128"/>
      <c r="Q135" s="129"/>
      <c r="R135" s="61">
        <v>80</v>
      </c>
      <c r="S135" s="61">
        <v>82</v>
      </c>
      <c r="T135" s="61">
        <v>82</v>
      </c>
      <c r="U135" s="61">
        <v>83</v>
      </c>
      <c r="V135" s="61">
        <v>84</v>
      </c>
      <c r="W135" s="61">
        <v>84</v>
      </c>
      <c r="X135" s="61">
        <v>85</v>
      </c>
      <c r="Y135" s="83">
        <v>85</v>
      </c>
      <c r="Z135" s="80">
        <v>43</v>
      </c>
      <c r="AA135" s="61">
        <v>43</v>
      </c>
      <c r="AB135" s="61">
        <v>45</v>
      </c>
      <c r="AC135" s="61">
        <v>45</v>
      </c>
      <c r="AD135" s="61">
        <v>45</v>
      </c>
      <c r="AE135" s="61">
        <v>45</v>
      </c>
      <c r="AF135" s="61">
        <v>45</v>
      </c>
      <c r="AG135" s="83">
        <v>47</v>
      </c>
      <c r="AI135" s="85">
        <f t="shared" si="1"/>
        <v>43</v>
      </c>
      <c r="AJ135" s="130"/>
      <c r="AK135" s="131"/>
      <c r="AL135" s="131"/>
      <c r="AM135" s="131"/>
      <c r="AN135" s="131"/>
      <c r="AO135" s="131"/>
      <c r="AP135" s="131"/>
      <c r="AQ135" s="131"/>
      <c r="AR135" s="122">
        <v>99</v>
      </c>
      <c r="AS135" s="61">
        <v>99</v>
      </c>
      <c r="AT135" s="61">
        <v>99</v>
      </c>
      <c r="AU135" s="61" t="s">
        <v>70</v>
      </c>
      <c r="AV135" s="61" t="s">
        <v>70</v>
      </c>
      <c r="AW135" s="61" t="s">
        <v>70</v>
      </c>
      <c r="AX135" s="61" t="s">
        <v>70</v>
      </c>
      <c r="AY135" s="89">
        <v>99</v>
      </c>
      <c r="AZ135" s="61">
        <v>34</v>
      </c>
      <c r="BA135" s="61">
        <v>34</v>
      </c>
      <c r="BB135" s="61">
        <v>40</v>
      </c>
      <c r="BC135" s="61">
        <v>42</v>
      </c>
      <c r="BD135" s="61">
        <v>50</v>
      </c>
      <c r="BE135" s="61">
        <v>37</v>
      </c>
      <c r="BF135" s="61">
        <v>39</v>
      </c>
      <c r="BG135" s="89">
        <v>48</v>
      </c>
    </row>
    <row r="136" spans="9:59">
      <c r="I136" s="115">
        <f t="shared" si="0"/>
        <v>42</v>
      </c>
      <c r="J136" s="128"/>
      <c r="K136" s="128"/>
      <c r="L136" s="128"/>
      <c r="M136" s="128"/>
      <c r="N136" s="128"/>
      <c r="O136" s="128"/>
      <c r="P136" s="128"/>
      <c r="Q136" s="129"/>
      <c r="R136" s="61">
        <v>79</v>
      </c>
      <c r="S136" s="61">
        <v>80</v>
      </c>
      <c r="T136" s="61">
        <v>81</v>
      </c>
      <c r="U136" s="61">
        <v>81</v>
      </c>
      <c r="V136" s="61">
        <v>82</v>
      </c>
      <c r="W136" s="61">
        <v>82</v>
      </c>
      <c r="X136" s="61">
        <v>84</v>
      </c>
      <c r="Y136" s="83">
        <v>84</v>
      </c>
      <c r="Z136" s="80">
        <v>43</v>
      </c>
      <c r="AA136" s="61">
        <v>43</v>
      </c>
      <c r="AB136" s="61">
        <v>44</v>
      </c>
      <c r="AC136" s="61">
        <v>45</v>
      </c>
      <c r="AD136" s="61">
        <v>44</v>
      </c>
      <c r="AE136" s="61">
        <v>44</v>
      </c>
      <c r="AF136" s="61">
        <v>45</v>
      </c>
      <c r="AG136" s="83">
        <v>46</v>
      </c>
      <c r="AI136" s="85">
        <f t="shared" si="1"/>
        <v>42</v>
      </c>
      <c r="AJ136" s="130"/>
      <c r="AK136" s="131"/>
      <c r="AL136" s="131"/>
      <c r="AM136" s="131"/>
      <c r="AN136" s="131"/>
      <c r="AO136" s="131"/>
      <c r="AP136" s="131"/>
      <c r="AQ136" s="131"/>
      <c r="AR136" s="122">
        <v>99</v>
      </c>
      <c r="AS136" s="61">
        <v>99</v>
      </c>
      <c r="AT136" s="61">
        <v>99</v>
      </c>
      <c r="AU136" s="61" t="s">
        <v>70</v>
      </c>
      <c r="AV136" s="61" t="s">
        <v>70</v>
      </c>
      <c r="AW136" s="61" t="s">
        <v>70</v>
      </c>
      <c r="AX136" s="61" t="s">
        <v>70</v>
      </c>
      <c r="AY136" s="89">
        <v>99</v>
      </c>
      <c r="AZ136" s="61">
        <v>34</v>
      </c>
      <c r="BA136" s="61">
        <v>34</v>
      </c>
      <c r="BB136" s="61">
        <v>34</v>
      </c>
      <c r="BC136" s="61">
        <v>42</v>
      </c>
      <c r="BD136" s="61">
        <v>46</v>
      </c>
      <c r="BE136" s="61">
        <v>35</v>
      </c>
      <c r="BF136" s="61">
        <v>39</v>
      </c>
      <c r="BG136" s="89">
        <v>45</v>
      </c>
    </row>
    <row r="137" spans="9:59">
      <c r="I137" s="115">
        <f t="shared" si="0"/>
        <v>41</v>
      </c>
      <c r="J137" s="128"/>
      <c r="K137" s="128"/>
      <c r="L137" s="128"/>
      <c r="M137" s="128"/>
      <c r="N137" s="128"/>
      <c r="O137" s="128"/>
      <c r="P137" s="128"/>
      <c r="Q137" s="129"/>
      <c r="R137" s="61">
        <v>77</v>
      </c>
      <c r="S137" s="61">
        <v>79</v>
      </c>
      <c r="T137" s="61">
        <v>79</v>
      </c>
      <c r="U137" s="61">
        <v>79</v>
      </c>
      <c r="V137" s="61">
        <v>81</v>
      </c>
      <c r="W137" s="61">
        <v>81</v>
      </c>
      <c r="X137" s="61">
        <v>82</v>
      </c>
      <c r="Y137" s="83">
        <v>82</v>
      </c>
      <c r="Z137" s="80">
        <v>42</v>
      </c>
      <c r="AA137" s="61">
        <v>42</v>
      </c>
      <c r="AB137" s="61">
        <v>43</v>
      </c>
      <c r="AC137" s="61">
        <v>44</v>
      </c>
      <c r="AD137" s="61">
        <v>43</v>
      </c>
      <c r="AE137" s="61">
        <v>43</v>
      </c>
      <c r="AF137" s="61">
        <v>44</v>
      </c>
      <c r="AG137" s="83">
        <v>45</v>
      </c>
      <c r="AI137" s="85">
        <f t="shared" si="1"/>
        <v>41</v>
      </c>
      <c r="AJ137" s="130"/>
      <c r="AK137" s="131"/>
      <c r="AL137" s="131"/>
      <c r="AM137" s="131"/>
      <c r="AN137" s="131"/>
      <c r="AO137" s="131"/>
      <c r="AP137" s="131"/>
      <c r="AQ137" s="131"/>
      <c r="AR137" s="122">
        <v>99</v>
      </c>
      <c r="AS137" s="61">
        <v>99</v>
      </c>
      <c r="AT137" s="61">
        <v>99</v>
      </c>
      <c r="AU137" s="61">
        <v>99</v>
      </c>
      <c r="AV137" s="61" t="s">
        <v>70</v>
      </c>
      <c r="AW137" s="61" t="s">
        <v>70</v>
      </c>
      <c r="AX137" s="61" t="s">
        <v>70</v>
      </c>
      <c r="AY137" s="89">
        <v>98</v>
      </c>
      <c r="AZ137" s="61">
        <v>30</v>
      </c>
      <c r="BA137" s="61">
        <v>26</v>
      </c>
      <c r="BB137" s="61">
        <v>31</v>
      </c>
      <c r="BC137" s="61">
        <v>38</v>
      </c>
      <c r="BD137" s="61">
        <v>39</v>
      </c>
      <c r="BE137" s="61">
        <v>31</v>
      </c>
      <c r="BF137" s="61">
        <v>35</v>
      </c>
      <c r="BG137" s="89">
        <v>42</v>
      </c>
    </row>
    <row r="138" spans="9:59">
      <c r="I138" s="115">
        <f t="shared" si="0"/>
        <v>40</v>
      </c>
      <c r="J138" s="128"/>
      <c r="K138" s="128"/>
      <c r="L138" s="128"/>
      <c r="M138" s="128"/>
      <c r="N138" s="128"/>
      <c r="O138" s="128"/>
      <c r="P138" s="128"/>
      <c r="Q138" s="129"/>
      <c r="R138" s="61">
        <v>76</v>
      </c>
      <c r="S138" s="61">
        <v>77</v>
      </c>
      <c r="T138" s="61">
        <v>78</v>
      </c>
      <c r="U138" s="61">
        <v>78</v>
      </c>
      <c r="V138" s="61">
        <v>79</v>
      </c>
      <c r="W138" s="61">
        <v>79</v>
      </c>
      <c r="X138" s="61">
        <v>80</v>
      </c>
      <c r="Y138" s="83">
        <v>80</v>
      </c>
      <c r="Z138" s="80">
        <v>41</v>
      </c>
      <c r="AA138" s="61">
        <v>41</v>
      </c>
      <c r="AB138" s="61">
        <v>43</v>
      </c>
      <c r="AC138" s="61">
        <v>43</v>
      </c>
      <c r="AD138" s="61">
        <v>43</v>
      </c>
      <c r="AE138" s="61">
        <v>43</v>
      </c>
      <c r="AF138" s="61">
        <v>43</v>
      </c>
      <c r="AG138" s="83">
        <v>45</v>
      </c>
      <c r="AI138" s="85">
        <f t="shared" si="1"/>
        <v>40</v>
      </c>
      <c r="AJ138" s="130"/>
      <c r="AK138" s="131"/>
      <c r="AL138" s="131"/>
      <c r="AM138" s="131"/>
      <c r="AN138" s="131"/>
      <c r="AO138" s="131"/>
      <c r="AP138" s="131"/>
      <c r="AQ138" s="131"/>
      <c r="AR138" s="122">
        <v>99</v>
      </c>
      <c r="AS138" s="61">
        <v>99</v>
      </c>
      <c r="AT138" s="61">
        <v>97</v>
      </c>
      <c r="AU138" s="61">
        <v>98</v>
      </c>
      <c r="AV138" s="61">
        <v>99</v>
      </c>
      <c r="AW138" s="61">
        <v>99</v>
      </c>
      <c r="AX138" s="61">
        <v>99</v>
      </c>
      <c r="AY138" s="89">
        <v>98</v>
      </c>
      <c r="AZ138" s="61">
        <v>24</v>
      </c>
      <c r="BA138" s="61">
        <v>24</v>
      </c>
      <c r="BB138" s="61">
        <v>31</v>
      </c>
      <c r="BC138" s="61">
        <v>36</v>
      </c>
      <c r="BD138" s="61">
        <v>39</v>
      </c>
      <c r="BE138" s="61">
        <v>31</v>
      </c>
      <c r="BF138" s="61">
        <v>33</v>
      </c>
      <c r="BG138" s="89">
        <v>42</v>
      </c>
    </row>
    <row r="139" spans="9:59">
      <c r="I139" s="115">
        <f t="shared" si="0"/>
        <v>39</v>
      </c>
      <c r="J139" s="128"/>
      <c r="K139" s="128"/>
      <c r="L139" s="128"/>
      <c r="M139" s="128"/>
      <c r="N139" s="128"/>
      <c r="O139" s="128"/>
      <c r="P139" s="128"/>
      <c r="Q139" s="129"/>
      <c r="R139" s="61">
        <v>74</v>
      </c>
      <c r="S139" s="61">
        <v>76</v>
      </c>
      <c r="T139" s="61">
        <v>76</v>
      </c>
      <c r="U139" s="61">
        <v>76</v>
      </c>
      <c r="V139" s="61">
        <v>76</v>
      </c>
      <c r="W139" s="61">
        <v>76</v>
      </c>
      <c r="X139" s="61">
        <v>79</v>
      </c>
      <c r="Y139" s="83">
        <v>79</v>
      </c>
      <c r="Z139" s="80">
        <v>41</v>
      </c>
      <c r="AA139" s="61">
        <v>41</v>
      </c>
      <c r="AB139" s="61">
        <v>42</v>
      </c>
      <c r="AC139" s="61">
        <v>43</v>
      </c>
      <c r="AD139" s="61">
        <v>42</v>
      </c>
      <c r="AE139" s="61">
        <v>42</v>
      </c>
      <c r="AF139" s="61">
        <v>42</v>
      </c>
      <c r="AG139" s="83">
        <v>44</v>
      </c>
      <c r="AI139" s="85">
        <f t="shared" si="1"/>
        <v>39</v>
      </c>
      <c r="AJ139" s="130"/>
      <c r="AK139" s="131"/>
      <c r="AL139" s="131"/>
      <c r="AM139" s="131"/>
      <c r="AN139" s="131"/>
      <c r="AO139" s="131"/>
      <c r="AP139" s="131"/>
      <c r="AQ139" s="131"/>
      <c r="AR139" s="122">
        <v>98</v>
      </c>
      <c r="AS139" s="61">
        <v>99</v>
      </c>
      <c r="AT139" s="61">
        <v>97</v>
      </c>
      <c r="AU139" s="61">
        <v>98</v>
      </c>
      <c r="AV139" s="61">
        <v>99</v>
      </c>
      <c r="AW139" s="61">
        <v>99</v>
      </c>
      <c r="AX139" s="61">
        <v>99</v>
      </c>
      <c r="AY139" s="89">
        <v>98</v>
      </c>
      <c r="AZ139" s="61">
        <v>24</v>
      </c>
      <c r="BA139" s="61">
        <v>24</v>
      </c>
      <c r="BB139" s="61">
        <v>28</v>
      </c>
      <c r="BC139" s="61">
        <v>36</v>
      </c>
      <c r="BD139" s="61">
        <v>31</v>
      </c>
      <c r="BE139" s="61">
        <v>26</v>
      </c>
      <c r="BF139" s="61">
        <v>31</v>
      </c>
      <c r="BG139" s="89">
        <v>35</v>
      </c>
    </row>
    <row r="140" spans="9:59">
      <c r="I140" s="115">
        <f t="shared" si="0"/>
        <v>38</v>
      </c>
      <c r="J140" s="128"/>
      <c r="K140" s="128"/>
      <c r="L140" s="128"/>
      <c r="M140" s="128"/>
      <c r="N140" s="128"/>
      <c r="O140" s="128"/>
      <c r="P140" s="128"/>
      <c r="Q140" s="129"/>
      <c r="R140" s="61">
        <v>73</v>
      </c>
      <c r="S140" s="61">
        <v>74</v>
      </c>
      <c r="T140" s="61">
        <v>75</v>
      </c>
      <c r="U140" s="61">
        <v>75</v>
      </c>
      <c r="V140" s="61">
        <v>74</v>
      </c>
      <c r="W140" s="61">
        <v>74</v>
      </c>
      <c r="X140" s="61">
        <v>77</v>
      </c>
      <c r="Y140" s="83">
        <v>77</v>
      </c>
      <c r="Z140" s="80">
        <v>40</v>
      </c>
      <c r="AA140" s="61">
        <v>40</v>
      </c>
      <c r="AB140" s="61">
        <v>41</v>
      </c>
      <c r="AC140" s="61">
        <v>42</v>
      </c>
      <c r="AD140" s="61">
        <v>41</v>
      </c>
      <c r="AE140" s="61">
        <v>41</v>
      </c>
      <c r="AF140" s="61">
        <v>42</v>
      </c>
      <c r="AG140" s="83">
        <v>43</v>
      </c>
      <c r="AI140" s="85">
        <f t="shared" si="1"/>
        <v>38</v>
      </c>
      <c r="AJ140" s="130"/>
      <c r="AK140" s="131"/>
      <c r="AL140" s="131"/>
      <c r="AM140" s="131"/>
      <c r="AN140" s="131"/>
      <c r="AO140" s="131"/>
      <c r="AP140" s="131"/>
      <c r="AQ140" s="131"/>
      <c r="AR140" s="122">
        <v>98</v>
      </c>
      <c r="AS140" s="61">
        <v>98</v>
      </c>
      <c r="AT140" s="61">
        <v>97</v>
      </c>
      <c r="AU140" s="61">
        <v>98</v>
      </c>
      <c r="AV140" s="61">
        <v>99</v>
      </c>
      <c r="AW140" s="61">
        <v>99</v>
      </c>
      <c r="AX140" s="61">
        <v>99</v>
      </c>
      <c r="AY140" s="89">
        <v>98</v>
      </c>
      <c r="AZ140" s="61">
        <v>21</v>
      </c>
      <c r="BA140" s="61">
        <v>21</v>
      </c>
      <c r="BB140" s="61">
        <v>27</v>
      </c>
      <c r="BC140" s="61">
        <v>33</v>
      </c>
      <c r="BD140" s="61">
        <v>26</v>
      </c>
      <c r="BE140" s="61">
        <v>22</v>
      </c>
      <c r="BF140" s="61">
        <v>31</v>
      </c>
      <c r="BG140" s="89">
        <v>31</v>
      </c>
    </row>
    <row r="141" spans="9:59">
      <c r="I141" s="115">
        <f t="shared" si="0"/>
        <v>37</v>
      </c>
      <c r="J141" s="128"/>
      <c r="K141" s="128"/>
      <c r="L141" s="128"/>
      <c r="M141" s="128"/>
      <c r="N141" s="128"/>
      <c r="O141" s="128"/>
      <c r="P141" s="128"/>
      <c r="Q141" s="129"/>
      <c r="R141" s="61">
        <v>71</v>
      </c>
      <c r="S141" s="61">
        <v>72</v>
      </c>
      <c r="T141" s="61">
        <v>73</v>
      </c>
      <c r="U141" s="61">
        <v>73</v>
      </c>
      <c r="V141" s="61">
        <v>73</v>
      </c>
      <c r="W141" s="61">
        <v>73</v>
      </c>
      <c r="X141" s="61">
        <v>75</v>
      </c>
      <c r="Y141" s="83">
        <v>75</v>
      </c>
      <c r="Z141" s="80">
        <v>39</v>
      </c>
      <c r="AA141" s="61">
        <v>39</v>
      </c>
      <c r="AB141" s="61">
        <v>41</v>
      </c>
      <c r="AC141" s="61">
        <v>41</v>
      </c>
      <c r="AD141" s="61">
        <v>40</v>
      </c>
      <c r="AE141" s="61">
        <v>40</v>
      </c>
      <c r="AF141" s="61">
        <v>41</v>
      </c>
      <c r="AG141" s="83">
        <v>42</v>
      </c>
      <c r="AI141" s="85">
        <f t="shared" si="1"/>
        <v>37</v>
      </c>
      <c r="AJ141" s="130"/>
      <c r="AK141" s="131"/>
      <c r="AL141" s="131"/>
      <c r="AM141" s="131"/>
      <c r="AN141" s="131"/>
      <c r="AO141" s="131"/>
      <c r="AP141" s="131"/>
      <c r="AQ141" s="131"/>
      <c r="AR141" s="122">
        <v>97</v>
      </c>
      <c r="AS141" s="61">
        <v>96</v>
      </c>
      <c r="AT141" s="61">
        <v>97</v>
      </c>
      <c r="AU141" s="61">
        <v>96</v>
      </c>
      <c r="AV141" s="61">
        <v>97</v>
      </c>
      <c r="AW141" s="61">
        <v>97</v>
      </c>
      <c r="AX141" s="61">
        <v>98</v>
      </c>
      <c r="AY141" s="89">
        <v>97</v>
      </c>
      <c r="AZ141" s="61">
        <v>20</v>
      </c>
      <c r="BA141" s="61">
        <v>19</v>
      </c>
      <c r="BB141" s="61">
        <v>27</v>
      </c>
      <c r="BC141" s="61">
        <v>32</v>
      </c>
      <c r="BD141" s="61">
        <v>23</v>
      </c>
      <c r="BE141" s="61">
        <v>20</v>
      </c>
      <c r="BF141" s="61">
        <v>26</v>
      </c>
      <c r="BG141" s="89">
        <v>28</v>
      </c>
    </row>
    <row r="142" spans="9:59">
      <c r="I142" s="115">
        <f t="shared" si="0"/>
        <v>36</v>
      </c>
      <c r="J142" s="61">
        <v>82</v>
      </c>
      <c r="K142" s="61">
        <v>82</v>
      </c>
      <c r="L142" s="61">
        <v>86</v>
      </c>
      <c r="M142" s="61">
        <v>86</v>
      </c>
      <c r="N142" s="61">
        <v>89</v>
      </c>
      <c r="O142" s="61" t="s">
        <v>69</v>
      </c>
      <c r="P142" s="61" t="s">
        <v>69</v>
      </c>
      <c r="Q142" s="83" t="s">
        <v>69</v>
      </c>
      <c r="R142" s="61">
        <v>70</v>
      </c>
      <c r="S142" s="61">
        <v>71</v>
      </c>
      <c r="T142" s="61">
        <v>72</v>
      </c>
      <c r="U142" s="61">
        <v>72</v>
      </c>
      <c r="V142" s="61">
        <v>71</v>
      </c>
      <c r="W142" s="61">
        <v>71</v>
      </c>
      <c r="X142" s="61">
        <v>73</v>
      </c>
      <c r="Y142" s="83">
        <v>73</v>
      </c>
      <c r="Z142" s="80">
        <v>39</v>
      </c>
      <c r="AA142" s="61">
        <v>39</v>
      </c>
      <c r="AB142" s="61">
        <v>40</v>
      </c>
      <c r="AC142" s="61">
        <v>41</v>
      </c>
      <c r="AD142" s="61">
        <v>40</v>
      </c>
      <c r="AE142" s="61">
        <v>40</v>
      </c>
      <c r="AF142" s="61">
        <v>40</v>
      </c>
      <c r="AG142" s="83">
        <v>42</v>
      </c>
      <c r="AI142" s="85">
        <f t="shared" si="1"/>
        <v>36</v>
      </c>
      <c r="AJ142" s="122" t="s">
        <v>70</v>
      </c>
      <c r="AK142" s="61" t="s">
        <v>70</v>
      </c>
      <c r="AL142" s="61" t="s">
        <v>70</v>
      </c>
      <c r="AM142" s="61" t="s">
        <v>70</v>
      </c>
      <c r="AN142" s="61" t="s">
        <v>70</v>
      </c>
      <c r="AO142" s="61" t="s">
        <v>70</v>
      </c>
      <c r="AP142" s="61" t="s">
        <v>70</v>
      </c>
      <c r="AQ142" s="61" t="s">
        <v>70</v>
      </c>
      <c r="AR142" s="122">
        <v>95</v>
      </c>
      <c r="AS142" s="61">
        <v>96</v>
      </c>
      <c r="AT142" s="61">
        <v>95</v>
      </c>
      <c r="AU142" s="61">
        <v>96</v>
      </c>
      <c r="AV142" s="61">
        <v>96</v>
      </c>
      <c r="AW142" s="61">
        <v>95</v>
      </c>
      <c r="AX142" s="61">
        <v>98</v>
      </c>
      <c r="AY142" s="89">
        <v>95</v>
      </c>
      <c r="AZ142" s="61">
        <v>20</v>
      </c>
      <c r="BA142" s="61">
        <v>19</v>
      </c>
      <c r="BB142" s="61">
        <v>22</v>
      </c>
      <c r="BC142" s="61">
        <v>32</v>
      </c>
      <c r="BD142" s="61">
        <v>23</v>
      </c>
      <c r="BE142" s="61">
        <v>20</v>
      </c>
      <c r="BF142" s="61">
        <v>21</v>
      </c>
      <c r="BG142" s="89">
        <v>28</v>
      </c>
    </row>
    <row r="143" spans="9:59">
      <c r="I143" s="115">
        <f t="shared" si="0"/>
        <v>35</v>
      </c>
      <c r="J143" s="61">
        <v>80</v>
      </c>
      <c r="K143" s="61">
        <v>80</v>
      </c>
      <c r="L143" s="61">
        <v>84</v>
      </c>
      <c r="M143" s="61">
        <v>84</v>
      </c>
      <c r="N143" s="61">
        <v>87</v>
      </c>
      <c r="O143" s="61">
        <v>88</v>
      </c>
      <c r="P143" s="61">
        <v>89</v>
      </c>
      <c r="Q143" s="83">
        <v>89</v>
      </c>
      <c r="R143" s="61">
        <v>68</v>
      </c>
      <c r="S143" s="61">
        <v>69</v>
      </c>
      <c r="T143" s="61">
        <v>70</v>
      </c>
      <c r="U143" s="61">
        <v>70</v>
      </c>
      <c r="V143" s="61">
        <v>69</v>
      </c>
      <c r="W143" s="61">
        <v>69</v>
      </c>
      <c r="X143" s="61">
        <v>72</v>
      </c>
      <c r="Y143" s="83">
        <v>72</v>
      </c>
      <c r="Z143" s="80">
        <v>38</v>
      </c>
      <c r="AA143" s="61">
        <v>38</v>
      </c>
      <c r="AB143" s="61">
        <v>39</v>
      </c>
      <c r="AC143" s="61">
        <v>40</v>
      </c>
      <c r="AD143" s="61">
        <v>39</v>
      </c>
      <c r="AE143" s="61">
        <v>39</v>
      </c>
      <c r="AF143" s="61">
        <v>39</v>
      </c>
      <c r="AG143" s="83">
        <v>41</v>
      </c>
      <c r="AI143" s="85">
        <f t="shared" si="1"/>
        <v>35</v>
      </c>
      <c r="AJ143" s="122" t="s">
        <v>70</v>
      </c>
      <c r="AK143" s="61" t="s">
        <v>70</v>
      </c>
      <c r="AL143" s="61" t="s">
        <v>70</v>
      </c>
      <c r="AM143" s="61" t="s">
        <v>70</v>
      </c>
      <c r="AN143" s="61" t="s">
        <v>70</v>
      </c>
      <c r="AO143" s="61" t="s">
        <v>70</v>
      </c>
      <c r="AP143" s="61" t="s">
        <v>70</v>
      </c>
      <c r="AQ143" s="61" t="s">
        <v>70</v>
      </c>
      <c r="AR143" s="122">
        <v>95</v>
      </c>
      <c r="AS143" s="61">
        <v>95</v>
      </c>
      <c r="AT143" s="61">
        <v>95</v>
      </c>
      <c r="AU143" s="61">
        <v>96</v>
      </c>
      <c r="AV143" s="61">
        <v>96</v>
      </c>
      <c r="AW143" s="61">
        <v>94</v>
      </c>
      <c r="AX143" s="61">
        <v>97</v>
      </c>
      <c r="AY143" s="89">
        <v>94</v>
      </c>
      <c r="AZ143" s="61">
        <v>15</v>
      </c>
      <c r="BA143" s="61">
        <v>14</v>
      </c>
      <c r="BB143" s="61">
        <v>20</v>
      </c>
      <c r="BC143" s="61">
        <v>25</v>
      </c>
      <c r="BD143" s="61">
        <v>15</v>
      </c>
      <c r="BE143" s="61">
        <v>12</v>
      </c>
      <c r="BF143" s="61">
        <v>18</v>
      </c>
      <c r="BG143" s="89">
        <v>22</v>
      </c>
    </row>
    <row r="144" spans="9:59">
      <c r="I144" s="115">
        <f t="shared" si="0"/>
        <v>34</v>
      </c>
      <c r="J144" s="61">
        <v>77</v>
      </c>
      <c r="K144" s="61">
        <v>77</v>
      </c>
      <c r="L144" s="61">
        <v>82</v>
      </c>
      <c r="M144" s="61">
        <v>82</v>
      </c>
      <c r="N144" s="61">
        <v>85</v>
      </c>
      <c r="O144" s="61">
        <v>86</v>
      </c>
      <c r="P144" s="61">
        <v>87</v>
      </c>
      <c r="Q144" s="83">
        <v>87</v>
      </c>
      <c r="R144" s="61">
        <v>67</v>
      </c>
      <c r="S144" s="61">
        <v>68</v>
      </c>
      <c r="T144" s="61">
        <v>69</v>
      </c>
      <c r="U144" s="61">
        <v>69</v>
      </c>
      <c r="V144" s="61">
        <v>68</v>
      </c>
      <c r="W144" s="61">
        <v>68</v>
      </c>
      <c r="X144" s="61">
        <v>70</v>
      </c>
      <c r="Y144" s="83">
        <v>70</v>
      </c>
      <c r="Z144" s="80">
        <v>37</v>
      </c>
      <c r="AA144" s="61">
        <v>37</v>
      </c>
      <c r="AB144" s="61">
        <v>38</v>
      </c>
      <c r="AC144" s="61">
        <v>40</v>
      </c>
      <c r="AD144" s="61">
        <v>38</v>
      </c>
      <c r="AE144" s="61">
        <v>38</v>
      </c>
      <c r="AF144" s="61">
        <v>39</v>
      </c>
      <c r="AG144" s="83">
        <v>40</v>
      </c>
      <c r="AI144" s="85">
        <f t="shared" si="1"/>
        <v>34</v>
      </c>
      <c r="AJ144" s="122" t="s">
        <v>70</v>
      </c>
      <c r="AK144" s="61">
        <v>99</v>
      </c>
      <c r="AL144" s="61" t="s">
        <v>70</v>
      </c>
      <c r="AM144" s="61" t="s">
        <v>70</v>
      </c>
      <c r="AN144" s="61" t="s">
        <v>70</v>
      </c>
      <c r="AO144" s="61" t="s">
        <v>70</v>
      </c>
      <c r="AP144" s="61">
        <v>99</v>
      </c>
      <c r="AQ144" s="61" t="s">
        <v>70</v>
      </c>
      <c r="AR144" s="122">
        <v>93</v>
      </c>
      <c r="AS144" s="61">
        <v>94</v>
      </c>
      <c r="AT144" s="61">
        <v>95</v>
      </c>
      <c r="AU144" s="61">
        <v>94</v>
      </c>
      <c r="AV144" s="61">
        <v>96</v>
      </c>
      <c r="AW144" s="61">
        <v>93</v>
      </c>
      <c r="AX144" s="61">
        <v>97</v>
      </c>
      <c r="AY144" s="89">
        <v>92</v>
      </c>
      <c r="AZ144" s="61">
        <v>12</v>
      </c>
      <c r="BA144" s="61">
        <v>12</v>
      </c>
      <c r="BB144" s="61">
        <v>18</v>
      </c>
      <c r="BC144" s="61">
        <v>25</v>
      </c>
      <c r="BD144" s="61">
        <v>11</v>
      </c>
      <c r="BE144" s="61">
        <v>11</v>
      </c>
      <c r="BF144" s="61">
        <v>18</v>
      </c>
      <c r="BG144" s="89">
        <v>17</v>
      </c>
    </row>
    <row r="145" spans="9:59">
      <c r="I145" s="115">
        <f t="shared" si="0"/>
        <v>33</v>
      </c>
      <c r="J145" s="61">
        <v>76</v>
      </c>
      <c r="K145" s="61">
        <v>76</v>
      </c>
      <c r="L145" s="61">
        <v>80</v>
      </c>
      <c r="M145" s="61">
        <v>80</v>
      </c>
      <c r="N145" s="61">
        <v>82</v>
      </c>
      <c r="O145" s="61">
        <v>84</v>
      </c>
      <c r="P145" s="61">
        <v>84</v>
      </c>
      <c r="Q145" s="83">
        <v>84</v>
      </c>
      <c r="R145" s="61">
        <v>65</v>
      </c>
      <c r="S145" s="61">
        <v>66</v>
      </c>
      <c r="T145" s="61">
        <v>67</v>
      </c>
      <c r="U145" s="61">
        <v>67</v>
      </c>
      <c r="V145" s="61">
        <v>66</v>
      </c>
      <c r="W145" s="61">
        <v>66</v>
      </c>
      <c r="X145" s="61">
        <v>68</v>
      </c>
      <c r="Y145" s="83">
        <v>68</v>
      </c>
      <c r="Z145" s="80">
        <v>36</v>
      </c>
      <c r="AA145" s="61">
        <v>37</v>
      </c>
      <c r="AB145" s="61">
        <v>38</v>
      </c>
      <c r="AC145" s="61">
        <v>39</v>
      </c>
      <c r="AD145" s="61">
        <v>38</v>
      </c>
      <c r="AE145" s="61">
        <v>38</v>
      </c>
      <c r="AF145" s="61">
        <v>38</v>
      </c>
      <c r="AG145" s="83">
        <v>39</v>
      </c>
      <c r="AI145" s="85">
        <f t="shared" si="1"/>
        <v>33</v>
      </c>
      <c r="AJ145" s="122" t="s">
        <v>70</v>
      </c>
      <c r="AK145" s="61">
        <v>99</v>
      </c>
      <c r="AL145" s="61">
        <v>99</v>
      </c>
      <c r="AM145" s="61" t="s">
        <v>70</v>
      </c>
      <c r="AN145" s="61" t="s">
        <v>70</v>
      </c>
      <c r="AO145" s="61" t="s">
        <v>70</v>
      </c>
      <c r="AP145" s="61">
        <v>99</v>
      </c>
      <c r="AQ145" s="61">
        <v>99</v>
      </c>
      <c r="AR145" s="122">
        <v>93</v>
      </c>
      <c r="AS145" s="61">
        <v>93</v>
      </c>
      <c r="AT145" s="61">
        <v>95</v>
      </c>
      <c r="AU145" s="61">
        <v>94</v>
      </c>
      <c r="AV145" s="61">
        <v>95</v>
      </c>
      <c r="AW145" s="61">
        <v>91</v>
      </c>
      <c r="AX145" s="61">
        <v>95</v>
      </c>
      <c r="AY145" s="89">
        <v>92</v>
      </c>
      <c r="AZ145" s="61">
        <v>6</v>
      </c>
      <c r="BA145" s="61">
        <v>12</v>
      </c>
      <c r="BB145" s="61">
        <v>18</v>
      </c>
      <c r="BC145" s="61">
        <v>15</v>
      </c>
      <c r="BD145" s="61">
        <v>11</v>
      </c>
      <c r="BE145" s="61">
        <v>11</v>
      </c>
      <c r="BF145" s="61">
        <v>8</v>
      </c>
      <c r="BG145" s="89">
        <v>13</v>
      </c>
    </row>
    <row r="146" spans="9:59">
      <c r="I146" s="115">
        <f t="shared" si="0"/>
        <v>32</v>
      </c>
      <c r="J146" s="61">
        <v>73</v>
      </c>
      <c r="K146" s="61">
        <v>73</v>
      </c>
      <c r="L146" s="61">
        <v>78</v>
      </c>
      <c r="M146" s="61">
        <v>78</v>
      </c>
      <c r="N146" s="61">
        <v>80</v>
      </c>
      <c r="O146" s="61">
        <v>82</v>
      </c>
      <c r="P146" s="61">
        <v>82</v>
      </c>
      <c r="Q146" s="83">
        <v>82</v>
      </c>
      <c r="R146" s="61">
        <v>63</v>
      </c>
      <c r="S146" s="61">
        <v>65</v>
      </c>
      <c r="T146" s="61">
        <v>65</v>
      </c>
      <c r="U146" s="61">
        <v>65</v>
      </c>
      <c r="V146" s="61">
        <v>65</v>
      </c>
      <c r="W146" s="61">
        <v>65</v>
      </c>
      <c r="X146" s="61">
        <v>66</v>
      </c>
      <c r="Y146" s="83">
        <v>66</v>
      </c>
      <c r="Z146" s="80">
        <v>35</v>
      </c>
      <c r="AA146" s="61">
        <v>36</v>
      </c>
      <c r="AB146" s="61">
        <v>37</v>
      </c>
      <c r="AC146" s="61">
        <v>38</v>
      </c>
      <c r="AD146" s="61">
        <v>36</v>
      </c>
      <c r="AE146" s="61">
        <v>36</v>
      </c>
      <c r="AF146" s="61">
        <v>37</v>
      </c>
      <c r="AG146" s="83">
        <v>39</v>
      </c>
      <c r="AI146" s="85">
        <f t="shared" si="1"/>
        <v>32</v>
      </c>
      <c r="AJ146" s="122">
        <v>99</v>
      </c>
      <c r="AK146" s="61">
        <v>99</v>
      </c>
      <c r="AL146" s="61">
        <v>99</v>
      </c>
      <c r="AM146" s="61" t="s">
        <v>70</v>
      </c>
      <c r="AN146" s="61" t="s">
        <v>70</v>
      </c>
      <c r="AO146" s="61" t="s">
        <v>70</v>
      </c>
      <c r="AP146" s="61">
        <v>99</v>
      </c>
      <c r="AQ146" s="61">
        <v>99</v>
      </c>
      <c r="AR146" s="122">
        <v>90</v>
      </c>
      <c r="AS146" s="61">
        <v>90</v>
      </c>
      <c r="AT146" s="61">
        <v>93</v>
      </c>
      <c r="AU146" s="61">
        <v>93</v>
      </c>
      <c r="AV146" s="61">
        <v>95</v>
      </c>
      <c r="AW146" s="61">
        <v>89</v>
      </c>
      <c r="AX146" s="61">
        <v>95</v>
      </c>
      <c r="AY146" s="89">
        <v>90</v>
      </c>
      <c r="AZ146" s="61">
        <v>3</v>
      </c>
      <c r="BA146" s="61">
        <v>2</v>
      </c>
      <c r="BB146" s="61">
        <v>6</v>
      </c>
      <c r="BC146" s="61">
        <v>10</v>
      </c>
      <c r="BD146" s="61">
        <v>6</v>
      </c>
      <c r="BE146" s="61">
        <v>3</v>
      </c>
      <c r="BF146" s="61">
        <v>3</v>
      </c>
      <c r="BG146" s="89">
        <v>13</v>
      </c>
    </row>
    <row r="147" spans="9:59">
      <c r="I147" s="115">
        <f t="shared" si="0"/>
        <v>31</v>
      </c>
      <c r="J147" s="61">
        <v>72</v>
      </c>
      <c r="K147" s="61">
        <v>72</v>
      </c>
      <c r="L147" s="61">
        <v>76</v>
      </c>
      <c r="M147" s="61">
        <v>76</v>
      </c>
      <c r="N147" s="61">
        <v>78</v>
      </c>
      <c r="O147" s="61">
        <v>79</v>
      </c>
      <c r="P147" s="61">
        <v>80</v>
      </c>
      <c r="Q147" s="83">
        <v>80</v>
      </c>
      <c r="R147" s="61">
        <v>62</v>
      </c>
      <c r="S147" s="61">
        <v>63</v>
      </c>
      <c r="T147" s="61">
        <v>64</v>
      </c>
      <c r="U147" s="61">
        <v>64</v>
      </c>
      <c r="V147" s="61">
        <v>63</v>
      </c>
      <c r="W147" s="61">
        <v>63</v>
      </c>
      <c r="X147" s="61">
        <v>65</v>
      </c>
      <c r="Y147" s="83">
        <v>65</v>
      </c>
      <c r="Z147" s="128"/>
      <c r="AA147" s="128"/>
      <c r="AB147" s="128"/>
      <c r="AC147" s="128"/>
      <c r="AD147" s="128"/>
      <c r="AE147" s="128"/>
      <c r="AF147" s="128"/>
      <c r="AG147" s="129"/>
      <c r="AI147" s="85">
        <f t="shared" si="1"/>
        <v>31</v>
      </c>
      <c r="AJ147" s="122">
        <v>97</v>
      </c>
      <c r="AK147" s="61">
        <v>97</v>
      </c>
      <c r="AL147" s="61">
        <v>99</v>
      </c>
      <c r="AM147" s="61">
        <v>99</v>
      </c>
      <c r="AN147" s="61">
        <v>99</v>
      </c>
      <c r="AO147" s="61" t="s">
        <v>70</v>
      </c>
      <c r="AP147" s="61">
        <v>99</v>
      </c>
      <c r="AQ147" s="61">
        <v>98</v>
      </c>
      <c r="AR147" s="122">
        <v>88</v>
      </c>
      <c r="AS147" s="61">
        <v>89</v>
      </c>
      <c r="AT147" s="61">
        <v>90</v>
      </c>
      <c r="AU147" s="61">
        <v>91</v>
      </c>
      <c r="AV147" s="61">
        <v>94</v>
      </c>
      <c r="AW147" s="61">
        <v>88</v>
      </c>
      <c r="AX147" s="61">
        <v>93</v>
      </c>
      <c r="AY147" s="89">
        <v>89</v>
      </c>
      <c r="AZ147" s="131"/>
      <c r="BA147" s="131"/>
      <c r="BB147" s="131"/>
      <c r="BC147" s="131"/>
      <c r="BD147" s="131"/>
      <c r="BE147" s="131"/>
      <c r="BF147" s="131"/>
      <c r="BG147" s="132"/>
    </row>
    <row r="148" spans="9:59">
      <c r="I148" s="115">
        <f t="shared" ref="I148:I166" si="2">I147-1</f>
        <v>30</v>
      </c>
      <c r="J148" s="61">
        <v>70</v>
      </c>
      <c r="K148" s="61">
        <v>70</v>
      </c>
      <c r="L148" s="61">
        <v>74</v>
      </c>
      <c r="M148" s="61">
        <v>74</v>
      </c>
      <c r="N148" s="61">
        <v>76</v>
      </c>
      <c r="O148" s="61">
        <v>77</v>
      </c>
      <c r="P148" s="61">
        <v>77</v>
      </c>
      <c r="Q148" s="83">
        <v>77</v>
      </c>
      <c r="R148" s="61">
        <v>60</v>
      </c>
      <c r="S148" s="61">
        <v>61</v>
      </c>
      <c r="T148" s="61">
        <v>62</v>
      </c>
      <c r="U148" s="61">
        <v>62</v>
      </c>
      <c r="V148" s="61">
        <v>61</v>
      </c>
      <c r="W148" s="61">
        <v>61</v>
      </c>
      <c r="X148" s="61">
        <v>63</v>
      </c>
      <c r="Y148" s="83">
        <v>63</v>
      </c>
      <c r="Z148" s="128"/>
      <c r="AA148" s="128"/>
      <c r="AB148" s="128"/>
      <c r="AC148" s="128"/>
      <c r="AD148" s="128"/>
      <c r="AE148" s="128"/>
      <c r="AF148" s="128"/>
      <c r="AG148" s="129"/>
      <c r="AI148" s="85">
        <f t="shared" ref="AI148:AI166" si="3">AI147-1</f>
        <v>30</v>
      </c>
      <c r="AJ148" s="122">
        <v>96</v>
      </c>
      <c r="AK148" s="61">
        <v>95</v>
      </c>
      <c r="AL148" s="61">
        <v>98</v>
      </c>
      <c r="AM148" s="61">
        <v>98</v>
      </c>
      <c r="AN148" s="61">
        <v>99</v>
      </c>
      <c r="AO148" s="61" t="s">
        <v>70</v>
      </c>
      <c r="AP148" s="61">
        <v>99</v>
      </c>
      <c r="AQ148" s="61">
        <v>98</v>
      </c>
      <c r="AR148" s="122">
        <v>84</v>
      </c>
      <c r="AS148" s="61">
        <v>86</v>
      </c>
      <c r="AT148" s="61">
        <v>88</v>
      </c>
      <c r="AU148" s="61">
        <v>88</v>
      </c>
      <c r="AV148" s="61">
        <v>91</v>
      </c>
      <c r="AW148" s="61">
        <v>88</v>
      </c>
      <c r="AX148" s="61">
        <v>90</v>
      </c>
      <c r="AY148" s="89">
        <v>87</v>
      </c>
      <c r="AZ148" s="131"/>
      <c r="BA148" s="131"/>
      <c r="BB148" s="131"/>
      <c r="BC148" s="131"/>
      <c r="BD148" s="131"/>
      <c r="BE148" s="131"/>
      <c r="BF148" s="131"/>
      <c r="BG148" s="132"/>
    </row>
    <row r="149" spans="9:59">
      <c r="I149" s="115">
        <f t="shared" si="2"/>
        <v>29</v>
      </c>
      <c r="J149" s="61">
        <v>68</v>
      </c>
      <c r="K149" s="61">
        <v>68</v>
      </c>
      <c r="L149" s="61">
        <v>72</v>
      </c>
      <c r="M149" s="61">
        <v>72</v>
      </c>
      <c r="N149" s="61">
        <v>74</v>
      </c>
      <c r="O149" s="61">
        <v>75</v>
      </c>
      <c r="P149" s="61">
        <v>75</v>
      </c>
      <c r="Q149" s="83">
        <v>75</v>
      </c>
      <c r="R149" s="61">
        <v>59</v>
      </c>
      <c r="S149" s="61">
        <v>60</v>
      </c>
      <c r="T149" s="61">
        <v>61</v>
      </c>
      <c r="U149" s="61">
        <v>61</v>
      </c>
      <c r="V149" s="61">
        <v>60</v>
      </c>
      <c r="W149" s="61">
        <v>60</v>
      </c>
      <c r="X149" s="61">
        <v>61</v>
      </c>
      <c r="Y149" s="83">
        <v>61</v>
      </c>
      <c r="Z149" s="128"/>
      <c r="AA149" s="128"/>
      <c r="AB149" s="128"/>
      <c r="AC149" s="128"/>
      <c r="AD149" s="128"/>
      <c r="AE149" s="128"/>
      <c r="AF149" s="128"/>
      <c r="AG149" s="129"/>
      <c r="AI149" s="85">
        <f t="shared" si="3"/>
        <v>29</v>
      </c>
      <c r="AJ149" s="122">
        <v>95</v>
      </c>
      <c r="AK149" s="61">
        <v>94</v>
      </c>
      <c r="AL149" s="61">
        <v>97</v>
      </c>
      <c r="AM149" s="61">
        <v>97</v>
      </c>
      <c r="AN149" s="61">
        <v>99</v>
      </c>
      <c r="AO149" s="61">
        <v>98</v>
      </c>
      <c r="AP149" s="61">
        <v>99</v>
      </c>
      <c r="AQ149" s="61">
        <v>98</v>
      </c>
      <c r="AR149" s="122">
        <v>83</v>
      </c>
      <c r="AS149" s="61">
        <v>83</v>
      </c>
      <c r="AT149" s="61">
        <v>86</v>
      </c>
      <c r="AU149" s="61">
        <v>85</v>
      </c>
      <c r="AV149" s="61">
        <v>90</v>
      </c>
      <c r="AW149" s="61">
        <v>84</v>
      </c>
      <c r="AX149" s="61">
        <v>86</v>
      </c>
      <c r="AY149" s="89">
        <v>86</v>
      </c>
      <c r="AZ149" s="131"/>
      <c r="BA149" s="131"/>
      <c r="BB149" s="131"/>
      <c r="BC149" s="131"/>
      <c r="BD149" s="131"/>
      <c r="BE149" s="131"/>
      <c r="BF149" s="131"/>
      <c r="BG149" s="132"/>
    </row>
    <row r="150" spans="9:59">
      <c r="I150" s="115">
        <f t="shared" si="2"/>
        <v>28</v>
      </c>
      <c r="J150" s="61">
        <v>66</v>
      </c>
      <c r="K150" s="61">
        <v>66</v>
      </c>
      <c r="L150" s="61">
        <v>70</v>
      </c>
      <c r="M150" s="61">
        <v>70</v>
      </c>
      <c r="N150" s="61">
        <v>71</v>
      </c>
      <c r="O150" s="61">
        <v>73</v>
      </c>
      <c r="P150" s="61">
        <v>73</v>
      </c>
      <c r="Q150" s="83">
        <v>73</v>
      </c>
      <c r="R150" s="61">
        <v>57</v>
      </c>
      <c r="S150" s="61">
        <v>58</v>
      </c>
      <c r="T150" s="61">
        <v>59</v>
      </c>
      <c r="U150" s="61">
        <v>59</v>
      </c>
      <c r="V150" s="61">
        <v>58</v>
      </c>
      <c r="W150" s="61">
        <v>58</v>
      </c>
      <c r="X150" s="61">
        <v>58</v>
      </c>
      <c r="Y150" s="83">
        <v>58</v>
      </c>
      <c r="Z150" s="128"/>
      <c r="AA150" s="128"/>
      <c r="AB150" s="128"/>
      <c r="AC150" s="128"/>
      <c r="AD150" s="128"/>
      <c r="AE150" s="128"/>
      <c r="AF150" s="128"/>
      <c r="AG150" s="129"/>
      <c r="AI150" s="85">
        <f t="shared" si="3"/>
        <v>28</v>
      </c>
      <c r="AJ150" s="122">
        <v>95</v>
      </c>
      <c r="AK150" s="61">
        <v>93</v>
      </c>
      <c r="AL150" s="61">
        <v>96</v>
      </c>
      <c r="AM150" s="61">
        <v>96</v>
      </c>
      <c r="AN150" s="61">
        <v>98</v>
      </c>
      <c r="AO150" s="61">
        <v>96</v>
      </c>
      <c r="AP150" s="61">
        <v>99</v>
      </c>
      <c r="AQ150" s="61">
        <v>97</v>
      </c>
      <c r="AR150" s="122">
        <v>79</v>
      </c>
      <c r="AS150" s="61">
        <v>80</v>
      </c>
      <c r="AT150" s="61">
        <v>85</v>
      </c>
      <c r="AU150" s="61">
        <v>83</v>
      </c>
      <c r="AV150" s="61">
        <v>86</v>
      </c>
      <c r="AW150" s="61">
        <v>81</v>
      </c>
      <c r="AX150" s="61">
        <v>81</v>
      </c>
      <c r="AY150" s="89">
        <v>83</v>
      </c>
      <c r="AZ150" s="131"/>
      <c r="BA150" s="131"/>
      <c r="BB150" s="131"/>
      <c r="BC150" s="131"/>
      <c r="BD150" s="131"/>
      <c r="BE150" s="131"/>
      <c r="BF150" s="131"/>
      <c r="BG150" s="132"/>
    </row>
    <row r="151" spans="9:59">
      <c r="I151" s="115">
        <f t="shared" si="2"/>
        <v>27</v>
      </c>
      <c r="J151" s="61">
        <v>64</v>
      </c>
      <c r="K151" s="61">
        <v>64</v>
      </c>
      <c r="L151" s="61">
        <v>68</v>
      </c>
      <c r="M151" s="61">
        <v>69</v>
      </c>
      <c r="N151" s="61">
        <v>69</v>
      </c>
      <c r="O151" s="61">
        <v>71</v>
      </c>
      <c r="P151" s="61">
        <v>71</v>
      </c>
      <c r="Q151" s="83">
        <v>71</v>
      </c>
      <c r="R151" s="61">
        <v>56</v>
      </c>
      <c r="S151" s="61">
        <v>57</v>
      </c>
      <c r="T151" s="61">
        <v>58</v>
      </c>
      <c r="U151" s="61">
        <v>58</v>
      </c>
      <c r="V151" s="61">
        <v>57</v>
      </c>
      <c r="W151" s="61">
        <v>57</v>
      </c>
      <c r="X151" s="61">
        <v>57</v>
      </c>
      <c r="Y151" s="83">
        <v>57</v>
      </c>
      <c r="Z151" s="128"/>
      <c r="AA151" s="128"/>
      <c r="AB151" s="128"/>
      <c r="AC151" s="128"/>
      <c r="AD151" s="128"/>
      <c r="AE151" s="128"/>
      <c r="AF151" s="128"/>
      <c r="AG151" s="129"/>
      <c r="AI151" s="85">
        <f t="shared" si="3"/>
        <v>27</v>
      </c>
      <c r="AJ151" s="122">
        <v>92</v>
      </c>
      <c r="AK151" s="61">
        <v>90</v>
      </c>
      <c r="AL151" s="61">
        <v>95</v>
      </c>
      <c r="AM151" s="61">
        <v>94</v>
      </c>
      <c r="AN151" s="61">
        <v>95</v>
      </c>
      <c r="AO151" s="61">
        <v>95</v>
      </c>
      <c r="AP151" s="61">
        <v>98</v>
      </c>
      <c r="AQ151" s="61">
        <v>95</v>
      </c>
      <c r="AR151" s="122">
        <v>77</v>
      </c>
      <c r="AS151" s="61">
        <v>78</v>
      </c>
      <c r="AT151" s="61">
        <v>81</v>
      </c>
      <c r="AU151" s="61">
        <v>82</v>
      </c>
      <c r="AV151" s="61">
        <v>82</v>
      </c>
      <c r="AW151" s="61">
        <v>79</v>
      </c>
      <c r="AX151" s="61">
        <v>80</v>
      </c>
      <c r="AY151" s="89">
        <v>81</v>
      </c>
      <c r="AZ151" s="131"/>
      <c r="BA151" s="131"/>
      <c r="BB151" s="131"/>
      <c r="BC151" s="131"/>
      <c r="BD151" s="131"/>
      <c r="BE151" s="131"/>
      <c r="BF151" s="131"/>
      <c r="BG151" s="132"/>
    </row>
    <row r="152" spans="9:59">
      <c r="I152" s="115">
        <f t="shared" si="2"/>
        <v>26</v>
      </c>
      <c r="J152" s="61">
        <v>62</v>
      </c>
      <c r="K152" s="61">
        <v>63</v>
      </c>
      <c r="L152" s="61">
        <v>66</v>
      </c>
      <c r="M152" s="61">
        <v>67</v>
      </c>
      <c r="N152" s="61">
        <v>67</v>
      </c>
      <c r="O152" s="61">
        <v>68</v>
      </c>
      <c r="P152" s="61">
        <v>69</v>
      </c>
      <c r="Q152" s="83">
        <v>69</v>
      </c>
      <c r="R152" s="61">
        <v>54</v>
      </c>
      <c r="S152" s="61">
        <v>55</v>
      </c>
      <c r="T152" s="61">
        <v>56</v>
      </c>
      <c r="U152" s="61">
        <v>56</v>
      </c>
      <c r="V152" s="61">
        <v>55</v>
      </c>
      <c r="W152" s="61">
        <v>55</v>
      </c>
      <c r="X152" s="61">
        <v>56</v>
      </c>
      <c r="Y152" s="83">
        <v>56</v>
      </c>
      <c r="Z152" s="128"/>
      <c r="AA152" s="128"/>
      <c r="AB152" s="128"/>
      <c r="AC152" s="128"/>
      <c r="AD152" s="128"/>
      <c r="AE152" s="128"/>
      <c r="AF152" s="128"/>
      <c r="AG152" s="129"/>
      <c r="AI152" s="85">
        <f t="shared" si="3"/>
        <v>26</v>
      </c>
      <c r="AJ152" s="122">
        <v>88</v>
      </c>
      <c r="AK152" s="61">
        <v>89</v>
      </c>
      <c r="AL152" s="61">
        <v>95</v>
      </c>
      <c r="AM152" s="61">
        <v>92</v>
      </c>
      <c r="AN152" s="61">
        <v>93</v>
      </c>
      <c r="AO152" s="61">
        <v>94</v>
      </c>
      <c r="AP152" s="61">
        <v>96</v>
      </c>
      <c r="AQ152" s="61">
        <v>95</v>
      </c>
      <c r="AR152" s="122">
        <v>69</v>
      </c>
      <c r="AS152" s="61">
        <v>75</v>
      </c>
      <c r="AT152" s="61">
        <v>78</v>
      </c>
      <c r="AU152" s="61">
        <v>77</v>
      </c>
      <c r="AV152" s="61">
        <v>77</v>
      </c>
      <c r="AW152" s="61">
        <v>77</v>
      </c>
      <c r="AX152" s="61">
        <v>75</v>
      </c>
      <c r="AY152" s="89">
        <v>78</v>
      </c>
      <c r="AZ152" s="131"/>
      <c r="BA152" s="131"/>
      <c r="BB152" s="131"/>
      <c r="BC152" s="131"/>
      <c r="BD152" s="131"/>
      <c r="BE152" s="131"/>
      <c r="BF152" s="131"/>
      <c r="BG152" s="132"/>
    </row>
    <row r="153" spans="9:59">
      <c r="I153" s="115">
        <f t="shared" si="2"/>
        <v>25</v>
      </c>
      <c r="J153" s="61">
        <v>61</v>
      </c>
      <c r="K153" s="61">
        <v>61</v>
      </c>
      <c r="L153" s="61">
        <v>64</v>
      </c>
      <c r="M153" s="61">
        <v>65</v>
      </c>
      <c r="N153" s="61">
        <v>65</v>
      </c>
      <c r="O153" s="61">
        <v>66</v>
      </c>
      <c r="P153" s="61">
        <v>66</v>
      </c>
      <c r="Q153" s="83">
        <v>67</v>
      </c>
      <c r="R153" s="61">
        <v>53</v>
      </c>
      <c r="S153" s="61">
        <v>53</v>
      </c>
      <c r="T153" s="61">
        <v>55</v>
      </c>
      <c r="U153" s="61">
        <v>55</v>
      </c>
      <c r="V153" s="61">
        <v>54</v>
      </c>
      <c r="W153" s="61">
        <v>54</v>
      </c>
      <c r="X153" s="61">
        <v>54</v>
      </c>
      <c r="Y153" s="83">
        <v>54</v>
      </c>
      <c r="Z153" s="128"/>
      <c r="AA153" s="128"/>
      <c r="AB153" s="128"/>
      <c r="AC153" s="128"/>
      <c r="AD153" s="128"/>
      <c r="AE153" s="128"/>
      <c r="AF153" s="128"/>
      <c r="AG153" s="129"/>
      <c r="AI153" s="85">
        <f t="shared" si="3"/>
        <v>25</v>
      </c>
      <c r="AJ153" s="122">
        <v>88</v>
      </c>
      <c r="AK153" s="61">
        <v>86</v>
      </c>
      <c r="AL153" s="61">
        <v>92</v>
      </c>
      <c r="AM153" s="61">
        <v>91</v>
      </c>
      <c r="AN153" s="61">
        <v>91</v>
      </c>
      <c r="AO153" s="61">
        <v>94</v>
      </c>
      <c r="AP153" s="61">
        <v>95</v>
      </c>
      <c r="AQ153" s="61">
        <v>93</v>
      </c>
      <c r="AR153" s="122">
        <v>68</v>
      </c>
      <c r="AS153" s="61">
        <v>75</v>
      </c>
      <c r="AT153" s="61">
        <v>74</v>
      </c>
      <c r="AU153" s="61">
        <v>74</v>
      </c>
      <c r="AV153" s="61">
        <v>73</v>
      </c>
      <c r="AW153" s="61">
        <v>73</v>
      </c>
      <c r="AX153" s="61">
        <v>71</v>
      </c>
      <c r="AY153" s="89">
        <v>75</v>
      </c>
      <c r="AZ153" s="131"/>
      <c r="BA153" s="131"/>
      <c r="BB153" s="131"/>
      <c r="BC153" s="131"/>
      <c r="BD153" s="131"/>
      <c r="BE153" s="131"/>
      <c r="BF153" s="131"/>
      <c r="BG153" s="132"/>
    </row>
    <row r="154" spans="9:59">
      <c r="I154" s="115">
        <f t="shared" si="2"/>
        <v>24</v>
      </c>
      <c r="J154" s="61">
        <v>59</v>
      </c>
      <c r="K154" s="61">
        <v>59</v>
      </c>
      <c r="L154" s="61">
        <v>62</v>
      </c>
      <c r="M154" s="61">
        <v>63</v>
      </c>
      <c r="N154" s="61">
        <v>63</v>
      </c>
      <c r="O154" s="61">
        <v>64</v>
      </c>
      <c r="P154" s="61">
        <v>64</v>
      </c>
      <c r="Q154" s="83">
        <v>65</v>
      </c>
      <c r="R154" s="61">
        <v>51</v>
      </c>
      <c r="S154" s="61">
        <v>52</v>
      </c>
      <c r="T154" s="61">
        <v>53</v>
      </c>
      <c r="U154" s="61">
        <v>53</v>
      </c>
      <c r="V154" s="61">
        <v>52</v>
      </c>
      <c r="W154" s="61">
        <v>52</v>
      </c>
      <c r="X154" s="61">
        <v>52</v>
      </c>
      <c r="Y154" s="83">
        <v>52</v>
      </c>
      <c r="Z154" s="128"/>
      <c r="AA154" s="128"/>
      <c r="AB154" s="128"/>
      <c r="AC154" s="128"/>
      <c r="AD154" s="128"/>
      <c r="AE154" s="128"/>
      <c r="AF154" s="128"/>
      <c r="AG154" s="129"/>
      <c r="AI154" s="85">
        <f t="shared" si="3"/>
        <v>24</v>
      </c>
      <c r="AJ154" s="122">
        <v>85</v>
      </c>
      <c r="AK154" s="61">
        <v>83</v>
      </c>
      <c r="AL154" s="61">
        <v>89</v>
      </c>
      <c r="AM154" s="61">
        <v>89</v>
      </c>
      <c r="AN154" s="61">
        <v>89</v>
      </c>
      <c r="AO154" s="61">
        <v>90</v>
      </c>
      <c r="AP154" s="61">
        <v>92</v>
      </c>
      <c r="AQ154" s="61">
        <v>89</v>
      </c>
      <c r="AR154" s="122">
        <v>62</v>
      </c>
      <c r="AS154" s="61">
        <v>69</v>
      </c>
      <c r="AT154" s="61">
        <v>71</v>
      </c>
      <c r="AU154" s="61">
        <v>70</v>
      </c>
      <c r="AV154" s="61">
        <v>67</v>
      </c>
      <c r="AW154" s="61">
        <v>68</v>
      </c>
      <c r="AX154" s="61">
        <v>69</v>
      </c>
      <c r="AY154" s="89">
        <v>70</v>
      </c>
      <c r="AZ154" s="131"/>
      <c r="BA154" s="131"/>
      <c r="BB154" s="131"/>
      <c r="BC154" s="131"/>
      <c r="BD154" s="131"/>
      <c r="BE154" s="131"/>
      <c r="BF154" s="131"/>
      <c r="BG154" s="132"/>
    </row>
    <row r="155" spans="9:59">
      <c r="I155" s="115">
        <f t="shared" si="2"/>
        <v>23</v>
      </c>
      <c r="J155" s="61">
        <v>57</v>
      </c>
      <c r="K155" s="61">
        <v>57</v>
      </c>
      <c r="L155" s="61">
        <v>60</v>
      </c>
      <c r="M155" s="61">
        <v>61</v>
      </c>
      <c r="N155" s="61">
        <v>60</v>
      </c>
      <c r="O155" s="61">
        <v>62</v>
      </c>
      <c r="P155" s="61">
        <v>62</v>
      </c>
      <c r="Q155" s="83">
        <v>63</v>
      </c>
      <c r="R155" s="61">
        <v>50</v>
      </c>
      <c r="S155" s="61">
        <v>50</v>
      </c>
      <c r="T155" s="61">
        <v>52</v>
      </c>
      <c r="U155" s="61">
        <v>52</v>
      </c>
      <c r="V155" s="61">
        <v>51</v>
      </c>
      <c r="W155" s="61">
        <v>51</v>
      </c>
      <c r="X155" s="61">
        <v>51</v>
      </c>
      <c r="Y155" s="83">
        <v>51</v>
      </c>
      <c r="Z155" s="128"/>
      <c r="AA155" s="128"/>
      <c r="AB155" s="128"/>
      <c r="AC155" s="128"/>
      <c r="AD155" s="128"/>
      <c r="AE155" s="128"/>
      <c r="AF155" s="128"/>
      <c r="AG155" s="129"/>
      <c r="AI155" s="85">
        <f t="shared" si="3"/>
        <v>23</v>
      </c>
      <c r="AJ155" s="122">
        <v>82</v>
      </c>
      <c r="AK155" s="61">
        <v>81</v>
      </c>
      <c r="AL155" s="61">
        <v>86</v>
      </c>
      <c r="AM155" s="61">
        <v>85</v>
      </c>
      <c r="AN155" s="61">
        <v>88</v>
      </c>
      <c r="AO155" s="61">
        <v>89</v>
      </c>
      <c r="AP155" s="61">
        <v>88</v>
      </c>
      <c r="AQ155" s="61">
        <v>89</v>
      </c>
      <c r="AR155" s="122">
        <v>58</v>
      </c>
      <c r="AS155" s="61">
        <v>66</v>
      </c>
      <c r="AT155" s="61">
        <v>70</v>
      </c>
      <c r="AU155" s="61">
        <v>68</v>
      </c>
      <c r="AV155" s="61">
        <v>63</v>
      </c>
      <c r="AW155" s="61">
        <v>60</v>
      </c>
      <c r="AX155" s="61">
        <v>63</v>
      </c>
      <c r="AY155" s="89">
        <v>66</v>
      </c>
      <c r="AZ155" s="131"/>
      <c r="BA155" s="131"/>
      <c r="BB155" s="131"/>
      <c r="BC155" s="131"/>
      <c r="BD155" s="131"/>
      <c r="BE155" s="131"/>
      <c r="BF155" s="131"/>
      <c r="BG155" s="132"/>
    </row>
    <row r="156" spans="9:59">
      <c r="I156" s="115">
        <f t="shared" si="2"/>
        <v>22</v>
      </c>
      <c r="J156" s="61">
        <v>55</v>
      </c>
      <c r="K156" s="61">
        <v>55</v>
      </c>
      <c r="L156" s="61">
        <v>58</v>
      </c>
      <c r="M156" s="61">
        <v>59</v>
      </c>
      <c r="N156" s="61">
        <v>58</v>
      </c>
      <c r="O156" s="61">
        <v>59</v>
      </c>
      <c r="P156" s="61">
        <v>60</v>
      </c>
      <c r="Q156" s="83">
        <v>61</v>
      </c>
      <c r="R156" s="61">
        <v>48</v>
      </c>
      <c r="S156" s="61">
        <v>49</v>
      </c>
      <c r="T156" s="61">
        <v>50</v>
      </c>
      <c r="U156" s="61">
        <v>50</v>
      </c>
      <c r="V156" s="61">
        <v>49</v>
      </c>
      <c r="W156" s="61">
        <v>49</v>
      </c>
      <c r="X156" s="61">
        <v>49</v>
      </c>
      <c r="Y156" s="83">
        <v>49</v>
      </c>
      <c r="Z156" s="128"/>
      <c r="AA156" s="128"/>
      <c r="AB156" s="128"/>
      <c r="AC156" s="128"/>
      <c r="AD156" s="128"/>
      <c r="AE156" s="128"/>
      <c r="AF156" s="128"/>
      <c r="AG156" s="129"/>
      <c r="AI156" s="85">
        <f t="shared" si="3"/>
        <v>22</v>
      </c>
      <c r="AJ156" s="122">
        <v>73</v>
      </c>
      <c r="AK156" s="61">
        <v>75</v>
      </c>
      <c r="AL156" s="61">
        <v>82</v>
      </c>
      <c r="AM156" s="61">
        <v>82</v>
      </c>
      <c r="AN156" s="61">
        <v>82</v>
      </c>
      <c r="AO156" s="61">
        <v>86</v>
      </c>
      <c r="AP156" s="61">
        <v>84</v>
      </c>
      <c r="AQ156" s="61">
        <v>87</v>
      </c>
      <c r="AR156" s="122">
        <v>56</v>
      </c>
      <c r="AS156" s="61">
        <v>60</v>
      </c>
      <c r="AT156" s="61">
        <v>66</v>
      </c>
      <c r="AU156" s="61">
        <v>65</v>
      </c>
      <c r="AV156" s="61">
        <v>58</v>
      </c>
      <c r="AW156" s="61">
        <v>56</v>
      </c>
      <c r="AX156" s="61">
        <v>56</v>
      </c>
      <c r="AY156" s="89">
        <v>59</v>
      </c>
      <c r="AZ156" s="131"/>
      <c r="BA156" s="131"/>
      <c r="BB156" s="131"/>
      <c r="BC156" s="131"/>
      <c r="BD156" s="131"/>
      <c r="BE156" s="131"/>
      <c r="BF156" s="131"/>
      <c r="BG156" s="132"/>
    </row>
    <row r="157" spans="9:59">
      <c r="I157" s="115">
        <f t="shared" si="2"/>
        <v>21</v>
      </c>
      <c r="J157" s="61">
        <v>53</v>
      </c>
      <c r="K157" s="61">
        <v>54</v>
      </c>
      <c r="L157" s="61">
        <v>56</v>
      </c>
      <c r="M157" s="61">
        <v>57</v>
      </c>
      <c r="N157" s="61">
        <v>56</v>
      </c>
      <c r="O157" s="61">
        <v>57</v>
      </c>
      <c r="P157" s="61">
        <v>57</v>
      </c>
      <c r="Q157" s="83">
        <v>59</v>
      </c>
      <c r="R157" s="61">
        <v>47</v>
      </c>
      <c r="S157" s="61">
        <v>47</v>
      </c>
      <c r="T157" s="61">
        <v>48</v>
      </c>
      <c r="U157" s="61">
        <v>48</v>
      </c>
      <c r="V157" s="61">
        <v>47</v>
      </c>
      <c r="W157" s="61">
        <v>47</v>
      </c>
      <c r="X157" s="61">
        <v>47</v>
      </c>
      <c r="Y157" s="83">
        <v>48</v>
      </c>
      <c r="Z157" s="128"/>
      <c r="AA157" s="128"/>
      <c r="AB157" s="128"/>
      <c r="AC157" s="128"/>
      <c r="AD157" s="128"/>
      <c r="AE157" s="128"/>
      <c r="AF157" s="128"/>
      <c r="AG157" s="129"/>
      <c r="AI157" s="85">
        <f t="shared" si="3"/>
        <v>21</v>
      </c>
      <c r="AJ157" s="122">
        <v>66</v>
      </c>
      <c r="AK157" s="61">
        <v>70</v>
      </c>
      <c r="AL157" s="61">
        <v>74</v>
      </c>
      <c r="AM157" s="61">
        <v>79</v>
      </c>
      <c r="AN157" s="61">
        <v>77</v>
      </c>
      <c r="AO157" s="61">
        <v>81</v>
      </c>
      <c r="AP157" s="61">
        <v>81</v>
      </c>
      <c r="AQ157" s="61">
        <v>84</v>
      </c>
      <c r="AR157" s="122">
        <v>53</v>
      </c>
      <c r="AS157" s="61">
        <v>52</v>
      </c>
      <c r="AT157" s="61">
        <v>60</v>
      </c>
      <c r="AU157" s="61">
        <v>59</v>
      </c>
      <c r="AV157" s="61">
        <v>52</v>
      </c>
      <c r="AW157" s="61">
        <v>49</v>
      </c>
      <c r="AX157" s="61">
        <v>52</v>
      </c>
      <c r="AY157" s="89">
        <v>55</v>
      </c>
      <c r="AZ157" s="131"/>
      <c r="BA157" s="131"/>
      <c r="BB157" s="131"/>
      <c r="BC157" s="131"/>
      <c r="BD157" s="131"/>
      <c r="BE157" s="131"/>
      <c r="BF157" s="131"/>
      <c r="BG157" s="132"/>
    </row>
    <row r="158" spans="9:59">
      <c r="I158" s="115">
        <f t="shared" si="2"/>
        <v>20</v>
      </c>
      <c r="J158" s="61">
        <v>51</v>
      </c>
      <c r="K158" s="61">
        <v>52</v>
      </c>
      <c r="L158" s="61">
        <v>54</v>
      </c>
      <c r="M158" s="61">
        <v>55</v>
      </c>
      <c r="N158" s="61">
        <v>54</v>
      </c>
      <c r="O158" s="61">
        <v>55</v>
      </c>
      <c r="P158" s="61">
        <v>55</v>
      </c>
      <c r="Q158" s="83">
        <v>57</v>
      </c>
      <c r="R158" s="61">
        <v>45</v>
      </c>
      <c r="S158" s="61">
        <v>45</v>
      </c>
      <c r="T158" s="61">
        <v>47</v>
      </c>
      <c r="U158" s="61">
        <v>47</v>
      </c>
      <c r="V158" s="61">
        <v>46</v>
      </c>
      <c r="W158" s="61">
        <v>46</v>
      </c>
      <c r="X158" s="61">
        <v>46</v>
      </c>
      <c r="Y158" s="83">
        <v>46</v>
      </c>
      <c r="Z158" s="128"/>
      <c r="AA158" s="128"/>
      <c r="AB158" s="128"/>
      <c r="AC158" s="128"/>
      <c r="AD158" s="128"/>
      <c r="AE158" s="128"/>
      <c r="AF158" s="128"/>
      <c r="AG158" s="129"/>
      <c r="AI158" s="85">
        <f t="shared" si="3"/>
        <v>20</v>
      </c>
      <c r="AJ158" s="122">
        <v>60</v>
      </c>
      <c r="AK158" s="61">
        <v>66</v>
      </c>
      <c r="AL158" s="61">
        <v>70</v>
      </c>
      <c r="AM158" s="61">
        <v>76</v>
      </c>
      <c r="AN158" s="61">
        <v>72</v>
      </c>
      <c r="AO158" s="61">
        <v>77</v>
      </c>
      <c r="AP158" s="61">
        <v>77</v>
      </c>
      <c r="AQ158" s="61">
        <v>82</v>
      </c>
      <c r="AR158" s="122">
        <v>45</v>
      </c>
      <c r="AS158" s="61">
        <v>45</v>
      </c>
      <c r="AT158" s="61">
        <v>54</v>
      </c>
      <c r="AU158" s="61">
        <v>54</v>
      </c>
      <c r="AV158" s="61">
        <v>46</v>
      </c>
      <c r="AW158" s="61">
        <v>42</v>
      </c>
      <c r="AX158" s="61">
        <v>44</v>
      </c>
      <c r="AY158" s="89">
        <v>50</v>
      </c>
      <c r="AZ158" s="131"/>
      <c r="BA158" s="131"/>
      <c r="BB158" s="131"/>
      <c r="BC158" s="131"/>
      <c r="BD158" s="131"/>
      <c r="BE158" s="131"/>
      <c r="BF158" s="131"/>
      <c r="BG158" s="132"/>
    </row>
    <row r="159" spans="9:59">
      <c r="I159" s="115">
        <f t="shared" si="2"/>
        <v>19</v>
      </c>
      <c r="J159" s="61">
        <v>49</v>
      </c>
      <c r="K159" s="61">
        <v>50</v>
      </c>
      <c r="L159" s="61">
        <v>52</v>
      </c>
      <c r="M159" s="61">
        <v>53</v>
      </c>
      <c r="N159" s="61">
        <v>52</v>
      </c>
      <c r="O159" s="61">
        <v>53</v>
      </c>
      <c r="P159" s="61">
        <v>53</v>
      </c>
      <c r="Q159" s="83">
        <v>55</v>
      </c>
      <c r="R159" s="61">
        <v>44</v>
      </c>
      <c r="S159" s="61">
        <v>44</v>
      </c>
      <c r="T159" s="61">
        <v>45</v>
      </c>
      <c r="U159" s="61">
        <v>45</v>
      </c>
      <c r="V159" s="61">
        <v>44</v>
      </c>
      <c r="W159" s="61">
        <v>44</v>
      </c>
      <c r="X159" s="61">
        <v>44</v>
      </c>
      <c r="Y159" s="83">
        <v>44</v>
      </c>
      <c r="Z159" s="128"/>
      <c r="AA159" s="128"/>
      <c r="AB159" s="128"/>
      <c r="AC159" s="128"/>
      <c r="AD159" s="128"/>
      <c r="AE159" s="128"/>
      <c r="AF159" s="128"/>
      <c r="AG159" s="129"/>
      <c r="AI159" s="85">
        <f t="shared" si="3"/>
        <v>19</v>
      </c>
      <c r="AJ159" s="122">
        <v>53</v>
      </c>
      <c r="AK159" s="61">
        <v>61</v>
      </c>
      <c r="AL159" s="61">
        <v>66</v>
      </c>
      <c r="AM159" s="61">
        <v>69</v>
      </c>
      <c r="AN159" s="61">
        <v>64</v>
      </c>
      <c r="AO159" s="61">
        <v>70</v>
      </c>
      <c r="AP159" s="61">
        <v>70</v>
      </c>
      <c r="AQ159" s="61">
        <v>78</v>
      </c>
      <c r="AR159" s="122">
        <v>40</v>
      </c>
      <c r="AS159" s="61">
        <v>36</v>
      </c>
      <c r="AT159" s="61">
        <v>50</v>
      </c>
      <c r="AU159" s="61">
        <v>47</v>
      </c>
      <c r="AV159" s="61">
        <v>35</v>
      </c>
      <c r="AW159" s="61">
        <v>35</v>
      </c>
      <c r="AX159" s="61">
        <v>37</v>
      </c>
      <c r="AY159" s="89">
        <v>41</v>
      </c>
      <c r="AZ159" s="131"/>
      <c r="BA159" s="131"/>
      <c r="BB159" s="131"/>
      <c r="BC159" s="131"/>
      <c r="BD159" s="131"/>
      <c r="BE159" s="131"/>
      <c r="BF159" s="131"/>
      <c r="BG159" s="132"/>
    </row>
    <row r="160" spans="9:59">
      <c r="I160" s="115">
        <f t="shared" si="2"/>
        <v>18</v>
      </c>
      <c r="J160" s="61">
        <v>47</v>
      </c>
      <c r="K160" s="61">
        <v>48</v>
      </c>
      <c r="L160" s="61">
        <v>50</v>
      </c>
      <c r="M160" s="61">
        <v>51</v>
      </c>
      <c r="N160" s="61">
        <v>49</v>
      </c>
      <c r="O160" s="61">
        <v>50</v>
      </c>
      <c r="P160" s="61">
        <v>51</v>
      </c>
      <c r="Q160" s="83">
        <v>52</v>
      </c>
      <c r="R160" s="61">
        <v>42</v>
      </c>
      <c r="S160" s="61">
        <v>42</v>
      </c>
      <c r="T160" s="61">
        <v>44</v>
      </c>
      <c r="U160" s="61">
        <v>44</v>
      </c>
      <c r="V160" s="61">
        <v>42</v>
      </c>
      <c r="W160" s="61">
        <v>42</v>
      </c>
      <c r="X160" s="61">
        <v>42</v>
      </c>
      <c r="Y160" s="83">
        <v>43</v>
      </c>
      <c r="Z160" s="128"/>
      <c r="AA160" s="128"/>
      <c r="AB160" s="128"/>
      <c r="AC160" s="128"/>
      <c r="AD160" s="128"/>
      <c r="AE160" s="128"/>
      <c r="AF160" s="128"/>
      <c r="AG160" s="129"/>
      <c r="AI160" s="85">
        <f t="shared" si="3"/>
        <v>18</v>
      </c>
      <c r="AJ160" s="122">
        <v>43</v>
      </c>
      <c r="AK160" s="61">
        <v>55</v>
      </c>
      <c r="AL160" s="61">
        <v>61</v>
      </c>
      <c r="AM160" s="61">
        <v>65</v>
      </c>
      <c r="AN160" s="61">
        <v>58</v>
      </c>
      <c r="AO160" s="61">
        <v>59</v>
      </c>
      <c r="AP160" s="61">
        <v>61</v>
      </c>
      <c r="AQ160" s="61">
        <v>72</v>
      </c>
      <c r="AR160" s="122">
        <v>32</v>
      </c>
      <c r="AS160" s="61">
        <v>30</v>
      </c>
      <c r="AT160" s="61">
        <v>38</v>
      </c>
      <c r="AU160" s="61">
        <v>40</v>
      </c>
      <c r="AV160" s="61">
        <v>30</v>
      </c>
      <c r="AW160" s="61">
        <v>31</v>
      </c>
      <c r="AX160" s="61">
        <v>29</v>
      </c>
      <c r="AY160" s="89">
        <v>35</v>
      </c>
      <c r="AZ160" s="131"/>
      <c r="BA160" s="131"/>
      <c r="BB160" s="131"/>
      <c r="BC160" s="131"/>
      <c r="BD160" s="131"/>
      <c r="BE160" s="131"/>
      <c r="BF160" s="131"/>
      <c r="BG160" s="132"/>
    </row>
    <row r="161" spans="9:59">
      <c r="I161" s="115">
        <f t="shared" si="2"/>
        <v>17</v>
      </c>
      <c r="J161" s="61">
        <v>45</v>
      </c>
      <c r="K161" s="61">
        <v>46</v>
      </c>
      <c r="L161" s="61">
        <v>48</v>
      </c>
      <c r="M161" s="61">
        <v>49</v>
      </c>
      <c r="N161" s="61">
        <v>47</v>
      </c>
      <c r="O161" s="61">
        <v>48</v>
      </c>
      <c r="P161" s="61">
        <v>48</v>
      </c>
      <c r="Q161" s="83">
        <v>50</v>
      </c>
      <c r="R161" s="61">
        <v>41</v>
      </c>
      <c r="S161" s="61">
        <v>41</v>
      </c>
      <c r="T161" s="61">
        <v>42</v>
      </c>
      <c r="U161" s="61">
        <v>42</v>
      </c>
      <c r="V161" s="61">
        <v>40</v>
      </c>
      <c r="W161" s="61">
        <v>41</v>
      </c>
      <c r="X161" s="61">
        <v>41</v>
      </c>
      <c r="Y161" s="83">
        <v>41</v>
      </c>
      <c r="Z161" s="128"/>
      <c r="AA161" s="128"/>
      <c r="AB161" s="128"/>
      <c r="AC161" s="128"/>
      <c r="AD161" s="128"/>
      <c r="AE161" s="128"/>
      <c r="AF161" s="128"/>
      <c r="AG161" s="129"/>
      <c r="AI161" s="85">
        <f t="shared" si="3"/>
        <v>17</v>
      </c>
      <c r="AJ161" s="122">
        <v>37</v>
      </c>
      <c r="AK161" s="61">
        <v>47</v>
      </c>
      <c r="AL161" s="61">
        <v>54</v>
      </c>
      <c r="AM161" s="61">
        <v>60</v>
      </c>
      <c r="AN161" s="61">
        <v>50</v>
      </c>
      <c r="AO161" s="61">
        <v>52</v>
      </c>
      <c r="AP161" s="61">
        <v>53</v>
      </c>
      <c r="AQ161" s="61">
        <v>67</v>
      </c>
      <c r="AR161" s="122">
        <v>23</v>
      </c>
      <c r="AS161" s="61">
        <v>23</v>
      </c>
      <c r="AT161" s="61">
        <v>31</v>
      </c>
      <c r="AU161" s="61">
        <v>33</v>
      </c>
      <c r="AV161" s="61">
        <v>25</v>
      </c>
      <c r="AW161" s="61">
        <v>26</v>
      </c>
      <c r="AX161" s="61">
        <v>25</v>
      </c>
      <c r="AY161" s="89">
        <v>24</v>
      </c>
      <c r="AZ161" s="131"/>
      <c r="BA161" s="131"/>
      <c r="BB161" s="131"/>
      <c r="BC161" s="131"/>
      <c r="BD161" s="131"/>
      <c r="BE161" s="131"/>
      <c r="BF161" s="131"/>
      <c r="BG161" s="132"/>
    </row>
    <row r="162" spans="9:59">
      <c r="I162" s="115">
        <f t="shared" si="2"/>
        <v>16</v>
      </c>
      <c r="J162" s="61">
        <v>43</v>
      </c>
      <c r="K162" s="61">
        <v>45</v>
      </c>
      <c r="L162" s="61">
        <v>46</v>
      </c>
      <c r="M162" s="61">
        <v>47</v>
      </c>
      <c r="N162" s="61">
        <v>45</v>
      </c>
      <c r="O162" s="61">
        <v>46</v>
      </c>
      <c r="P162" s="61">
        <v>46</v>
      </c>
      <c r="Q162" s="83">
        <v>48</v>
      </c>
      <c r="R162" s="61">
        <v>39</v>
      </c>
      <c r="S162" s="61">
        <v>39</v>
      </c>
      <c r="T162" s="61">
        <v>41</v>
      </c>
      <c r="U162" s="61">
        <v>41</v>
      </c>
      <c r="V162" s="61">
        <v>39</v>
      </c>
      <c r="W162" s="61">
        <v>39</v>
      </c>
      <c r="X162" s="61">
        <v>39</v>
      </c>
      <c r="Y162" s="83">
        <v>40</v>
      </c>
      <c r="Z162" s="128"/>
      <c r="AA162" s="128"/>
      <c r="AB162" s="128"/>
      <c r="AC162" s="128"/>
      <c r="AD162" s="128"/>
      <c r="AE162" s="128"/>
      <c r="AF162" s="128"/>
      <c r="AG162" s="129"/>
      <c r="AI162" s="85">
        <f t="shared" si="3"/>
        <v>16</v>
      </c>
      <c r="AJ162" s="122">
        <v>32</v>
      </c>
      <c r="AK162" s="61">
        <v>40</v>
      </c>
      <c r="AL162" s="61">
        <v>49</v>
      </c>
      <c r="AM162" s="61">
        <v>52</v>
      </c>
      <c r="AN162" s="61">
        <v>41</v>
      </c>
      <c r="AO162" s="61">
        <v>46</v>
      </c>
      <c r="AP162" s="61">
        <v>46</v>
      </c>
      <c r="AQ162" s="61">
        <v>59</v>
      </c>
      <c r="AR162" s="122">
        <v>14</v>
      </c>
      <c r="AS162" s="61">
        <v>14</v>
      </c>
      <c r="AT162" s="61">
        <v>19</v>
      </c>
      <c r="AU162" s="61">
        <v>22</v>
      </c>
      <c r="AV162" s="61">
        <v>14</v>
      </c>
      <c r="AW162" s="61">
        <v>15</v>
      </c>
      <c r="AX162" s="61">
        <v>17</v>
      </c>
      <c r="AY162" s="89">
        <v>15</v>
      </c>
      <c r="AZ162" s="131"/>
      <c r="BA162" s="131"/>
      <c r="BB162" s="131"/>
      <c r="BC162" s="131"/>
      <c r="BD162" s="131"/>
      <c r="BE162" s="131"/>
      <c r="BF162" s="131"/>
      <c r="BG162" s="132"/>
    </row>
    <row r="163" spans="9:59">
      <c r="I163" s="115">
        <f t="shared" si="2"/>
        <v>15</v>
      </c>
      <c r="J163" s="61">
        <v>41</v>
      </c>
      <c r="K163" s="61">
        <v>43</v>
      </c>
      <c r="L163" s="61">
        <v>44</v>
      </c>
      <c r="M163" s="61">
        <v>45</v>
      </c>
      <c r="N163" s="61">
        <v>43</v>
      </c>
      <c r="O163" s="61">
        <v>44</v>
      </c>
      <c r="P163" s="61">
        <v>44</v>
      </c>
      <c r="Q163" s="83">
        <v>46</v>
      </c>
      <c r="R163" s="82"/>
      <c r="S163" s="82"/>
      <c r="T163" s="82"/>
      <c r="U163" s="82"/>
      <c r="V163" s="82"/>
      <c r="W163" s="82"/>
      <c r="X163" s="82"/>
      <c r="Y163" s="84"/>
      <c r="Z163" s="128"/>
      <c r="AA163" s="128"/>
      <c r="AB163" s="128"/>
      <c r="AC163" s="128"/>
      <c r="AD163" s="128"/>
      <c r="AE163" s="128"/>
      <c r="AF163" s="128"/>
      <c r="AG163" s="129"/>
      <c r="AI163" s="85">
        <f t="shared" si="3"/>
        <v>15</v>
      </c>
      <c r="AJ163" s="122">
        <v>28</v>
      </c>
      <c r="AK163" s="61">
        <v>34</v>
      </c>
      <c r="AL163" s="61">
        <v>44</v>
      </c>
      <c r="AM163" s="61">
        <v>46</v>
      </c>
      <c r="AN163" s="61">
        <v>30</v>
      </c>
      <c r="AO163" s="61">
        <v>35</v>
      </c>
      <c r="AP163" s="61">
        <v>35</v>
      </c>
      <c r="AQ163" s="61">
        <v>52</v>
      </c>
      <c r="AR163" s="130"/>
      <c r="AS163" s="131"/>
      <c r="AT163" s="131"/>
      <c r="AU163" s="131"/>
      <c r="AV163" s="131"/>
      <c r="AW163" s="131"/>
      <c r="AX163" s="131"/>
      <c r="AY163" s="132"/>
      <c r="AZ163" s="131"/>
      <c r="BA163" s="131"/>
      <c r="BB163" s="131"/>
      <c r="BC163" s="131"/>
      <c r="BD163" s="131"/>
      <c r="BE163" s="131"/>
      <c r="BF163" s="131"/>
      <c r="BG163" s="132"/>
    </row>
    <row r="164" spans="9:59">
      <c r="I164" s="115">
        <f t="shared" si="2"/>
        <v>14</v>
      </c>
      <c r="J164" s="61">
        <v>39</v>
      </c>
      <c r="K164" s="61">
        <v>41</v>
      </c>
      <c r="L164" s="61">
        <v>42</v>
      </c>
      <c r="M164" s="61">
        <v>43</v>
      </c>
      <c r="N164" s="61">
        <v>41</v>
      </c>
      <c r="O164" s="61">
        <v>41</v>
      </c>
      <c r="P164" s="61">
        <v>42</v>
      </c>
      <c r="Q164" s="83">
        <v>44</v>
      </c>
      <c r="R164" s="82"/>
      <c r="S164" s="82"/>
      <c r="T164" s="82"/>
      <c r="U164" s="82"/>
      <c r="V164" s="82"/>
      <c r="W164" s="82"/>
      <c r="X164" s="82"/>
      <c r="Y164" s="84"/>
      <c r="Z164" s="128"/>
      <c r="AA164" s="128"/>
      <c r="AB164" s="128"/>
      <c r="AC164" s="128"/>
      <c r="AD164" s="128"/>
      <c r="AE164" s="128"/>
      <c r="AF164" s="128"/>
      <c r="AG164" s="129"/>
      <c r="AI164" s="85">
        <f t="shared" si="3"/>
        <v>14</v>
      </c>
      <c r="AJ164" s="122">
        <v>21</v>
      </c>
      <c r="AK164" s="61">
        <v>25</v>
      </c>
      <c r="AL164" s="61">
        <v>32</v>
      </c>
      <c r="AM164" s="61">
        <v>40</v>
      </c>
      <c r="AN164" s="61">
        <v>23</v>
      </c>
      <c r="AO164" s="61">
        <v>27</v>
      </c>
      <c r="AP164" s="61">
        <v>27</v>
      </c>
      <c r="AQ164" s="61">
        <v>43</v>
      </c>
      <c r="AR164" s="130"/>
      <c r="AS164" s="131"/>
      <c r="AT164" s="131"/>
      <c r="AU164" s="131"/>
      <c r="AV164" s="131"/>
      <c r="AW164" s="131"/>
      <c r="AX164" s="131"/>
      <c r="AY164" s="132"/>
      <c r="AZ164" s="131"/>
      <c r="BA164" s="131"/>
      <c r="BB164" s="131"/>
      <c r="BC164" s="131"/>
      <c r="BD164" s="131"/>
      <c r="BE164" s="131"/>
      <c r="BF164" s="131"/>
      <c r="BG164" s="132"/>
    </row>
    <row r="165" spans="9:59">
      <c r="I165" s="115">
        <f t="shared" si="2"/>
        <v>13</v>
      </c>
      <c r="J165" s="61">
        <v>37</v>
      </c>
      <c r="K165" s="61">
        <v>39</v>
      </c>
      <c r="L165" s="61">
        <v>40</v>
      </c>
      <c r="M165" s="61">
        <v>41</v>
      </c>
      <c r="N165" s="61">
        <v>38</v>
      </c>
      <c r="O165" s="61">
        <v>39</v>
      </c>
      <c r="P165" s="61">
        <v>39</v>
      </c>
      <c r="Q165" s="83">
        <v>42</v>
      </c>
      <c r="R165" s="82"/>
      <c r="S165" s="82"/>
      <c r="T165" s="82"/>
      <c r="U165" s="82"/>
      <c r="V165" s="82"/>
      <c r="W165" s="82"/>
      <c r="X165" s="82"/>
      <c r="Y165" s="84"/>
      <c r="Z165" s="128"/>
      <c r="AA165" s="128"/>
      <c r="AB165" s="128"/>
      <c r="AC165" s="128"/>
      <c r="AD165" s="128"/>
      <c r="AE165" s="128"/>
      <c r="AF165" s="128"/>
      <c r="AG165" s="129"/>
      <c r="AI165" s="85">
        <f t="shared" si="3"/>
        <v>13</v>
      </c>
      <c r="AJ165" s="122">
        <v>14</v>
      </c>
      <c r="AK165" s="61">
        <v>20</v>
      </c>
      <c r="AL165" s="61">
        <v>20</v>
      </c>
      <c r="AM165" s="61">
        <v>27</v>
      </c>
      <c r="AN165" s="61">
        <v>16</v>
      </c>
      <c r="AO165" s="61">
        <v>16</v>
      </c>
      <c r="AP165" s="61">
        <v>21</v>
      </c>
      <c r="AQ165" s="61">
        <v>32</v>
      </c>
      <c r="AR165" s="130"/>
      <c r="AS165" s="131"/>
      <c r="AT165" s="131"/>
      <c r="AU165" s="131"/>
      <c r="AV165" s="131"/>
      <c r="AW165" s="131"/>
      <c r="AX165" s="131"/>
      <c r="AY165" s="132"/>
      <c r="AZ165" s="131"/>
      <c r="BA165" s="131"/>
      <c r="BB165" s="131"/>
      <c r="BC165" s="131"/>
      <c r="BD165" s="131"/>
      <c r="BE165" s="131"/>
      <c r="BF165" s="131"/>
      <c r="BG165" s="132"/>
    </row>
    <row r="166" spans="9:59" ht="15.75" thickBot="1">
      <c r="I166" s="123">
        <f t="shared" si="2"/>
        <v>12</v>
      </c>
      <c r="J166" s="125">
        <v>35</v>
      </c>
      <c r="K166" s="125">
        <v>37</v>
      </c>
      <c r="L166" s="125">
        <v>38</v>
      </c>
      <c r="M166" s="125">
        <v>39</v>
      </c>
      <c r="N166" s="125">
        <v>36</v>
      </c>
      <c r="O166" s="125">
        <v>37</v>
      </c>
      <c r="P166" s="125">
        <v>37</v>
      </c>
      <c r="Q166" s="141">
        <v>40</v>
      </c>
      <c r="R166" s="124"/>
      <c r="S166" s="124"/>
      <c r="T166" s="124"/>
      <c r="U166" s="124"/>
      <c r="V166" s="124"/>
      <c r="W166" s="124"/>
      <c r="X166" s="124"/>
      <c r="Y166" s="133"/>
      <c r="Z166" s="134"/>
      <c r="AA166" s="134"/>
      <c r="AB166" s="134"/>
      <c r="AC166" s="134"/>
      <c r="AD166" s="134"/>
      <c r="AE166" s="134"/>
      <c r="AF166" s="134"/>
      <c r="AG166" s="135"/>
      <c r="AI166" s="102">
        <f t="shared" si="3"/>
        <v>12</v>
      </c>
      <c r="AJ166" s="142">
        <v>4</v>
      </c>
      <c r="AK166" s="105">
        <v>6</v>
      </c>
      <c r="AL166" s="105">
        <v>8</v>
      </c>
      <c r="AM166" s="105">
        <v>17</v>
      </c>
      <c r="AN166" s="105">
        <v>8</v>
      </c>
      <c r="AO166" s="105">
        <v>8</v>
      </c>
      <c r="AP166" s="105">
        <v>11</v>
      </c>
      <c r="AQ166" s="105">
        <v>15</v>
      </c>
      <c r="AR166" s="136"/>
      <c r="AS166" s="137"/>
      <c r="AT166" s="137"/>
      <c r="AU166" s="137"/>
      <c r="AV166" s="137"/>
      <c r="AW166" s="137"/>
      <c r="AX166" s="137"/>
      <c r="AY166" s="138"/>
      <c r="AZ166" s="137"/>
      <c r="BA166" s="137"/>
      <c r="BB166" s="137"/>
      <c r="BC166" s="137"/>
      <c r="BD166" s="137"/>
      <c r="BE166" s="137"/>
      <c r="BF166" s="137"/>
      <c r="BG166" s="138"/>
    </row>
    <row r="167" spans="9:59" ht="16.5" thickTop="1" thickBot="1">
      <c r="I167" s="109" t="s">
        <v>78</v>
      </c>
      <c r="J167" s="110">
        <v>5</v>
      </c>
      <c r="K167" s="110">
        <v>5</v>
      </c>
      <c r="L167" s="110">
        <v>5</v>
      </c>
      <c r="M167" s="110">
        <v>5</v>
      </c>
      <c r="N167" s="110">
        <v>6</v>
      </c>
      <c r="O167" s="110">
        <v>6</v>
      </c>
      <c r="P167" s="110">
        <v>6</v>
      </c>
      <c r="Q167" s="110">
        <v>5</v>
      </c>
      <c r="R167" s="110">
        <v>5</v>
      </c>
      <c r="S167" s="110">
        <v>5</v>
      </c>
      <c r="T167" s="110">
        <v>4</v>
      </c>
      <c r="U167" s="110">
        <v>4</v>
      </c>
      <c r="V167" s="110">
        <v>5</v>
      </c>
      <c r="W167" s="110">
        <v>5</v>
      </c>
      <c r="X167" s="110">
        <v>5</v>
      </c>
      <c r="Y167" s="110">
        <v>4</v>
      </c>
      <c r="Z167" s="139">
        <v>4</v>
      </c>
      <c r="AA167" s="139">
        <v>3</v>
      </c>
      <c r="AB167" s="139">
        <v>3</v>
      </c>
      <c r="AC167" s="139">
        <v>3</v>
      </c>
      <c r="AD167" s="139">
        <v>4</v>
      </c>
      <c r="AE167" s="139">
        <v>4</v>
      </c>
      <c r="AF167" s="139">
        <v>3</v>
      </c>
      <c r="AG167" s="140">
        <v>3</v>
      </c>
      <c r="AI167" s="61"/>
    </row>
    <row r="168" spans="9:59" ht="15.75" thickTop="1">
      <c r="I168" s="113"/>
      <c r="J168" s="276" t="s">
        <v>94</v>
      </c>
      <c r="K168" s="276"/>
      <c r="L168" s="276"/>
      <c r="M168" s="276"/>
      <c r="N168" s="276"/>
      <c r="O168" s="276"/>
      <c r="P168" s="276"/>
      <c r="Q168" s="277"/>
      <c r="AI168" s="63"/>
      <c r="AJ168" s="267" t="s">
        <v>94</v>
      </c>
      <c r="AK168" s="267"/>
      <c r="AL168" s="267"/>
      <c r="AM168" s="267"/>
      <c r="AN168" s="267"/>
      <c r="AO168" s="267"/>
      <c r="AP168" s="267"/>
      <c r="AQ168" s="268"/>
    </row>
    <row r="169" spans="9:59">
      <c r="I169" s="113"/>
      <c r="J169" s="269" t="s">
        <v>8</v>
      </c>
      <c r="K169" s="269"/>
      <c r="L169" s="269"/>
      <c r="M169" s="269"/>
      <c r="N169" s="269" t="s">
        <v>61</v>
      </c>
      <c r="O169" s="269"/>
      <c r="P169" s="269"/>
      <c r="Q169" s="275"/>
      <c r="AI169" s="65"/>
      <c r="AJ169" s="269" t="s">
        <v>8</v>
      </c>
      <c r="AK169" s="269"/>
      <c r="AL169" s="269"/>
      <c r="AM169" s="269"/>
      <c r="AN169" s="269" t="s">
        <v>61</v>
      </c>
      <c r="AO169" s="269"/>
      <c r="AP169" s="269"/>
      <c r="AQ169" s="270"/>
    </row>
    <row r="170" spans="9:59">
      <c r="I170" s="114" t="s">
        <v>66</v>
      </c>
      <c r="J170" s="70" t="s">
        <v>4</v>
      </c>
      <c r="K170" s="70" t="s">
        <v>67</v>
      </c>
      <c r="L170" s="70" t="s">
        <v>68</v>
      </c>
      <c r="M170" s="70" t="s">
        <v>51</v>
      </c>
      <c r="N170" s="70" t="s">
        <v>4</v>
      </c>
      <c r="O170" s="70" t="s">
        <v>67</v>
      </c>
      <c r="P170" s="70" t="s">
        <v>68</v>
      </c>
      <c r="Q170" s="71" t="s">
        <v>51</v>
      </c>
      <c r="AI170" s="72" t="s">
        <v>66</v>
      </c>
      <c r="AJ170" s="70" t="s">
        <v>4</v>
      </c>
      <c r="AK170" s="70" t="s">
        <v>67</v>
      </c>
      <c r="AL170" s="70" t="s">
        <v>68</v>
      </c>
      <c r="AM170" s="70" t="s">
        <v>51</v>
      </c>
      <c r="AN170" s="70" t="s">
        <v>4</v>
      </c>
      <c r="AO170" s="70" t="s">
        <v>67</v>
      </c>
      <c r="AP170" s="70" t="s">
        <v>68</v>
      </c>
      <c r="AQ170" s="74" t="s">
        <v>51</v>
      </c>
    </row>
    <row r="171" spans="9:59">
      <c r="I171" s="115">
        <v>180</v>
      </c>
      <c r="J171" s="61" t="s">
        <v>69</v>
      </c>
      <c r="K171" s="61" t="s">
        <v>69</v>
      </c>
      <c r="L171" s="61" t="s">
        <v>69</v>
      </c>
      <c r="M171" s="61" t="s">
        <v>69</v>
      </c>
      <c r="N171" s="61" t="s">
        <v>69</v>
      </c>
      <c r="O171" s="61" t="s">
        <v>69</v>
      </c>
      <c r="P171" s="61" t="s">
        <v>69</v>
      </c>
      <c r="Q171" s="83" t="s">
        <v>69</v>
      </c>
      <c r="AI171" s="85">
        <v>180</v>
      </c>
      <c r="AJ171" s="61" t="s">
        <v>70</v>
      </c>
      <c r="AK171" s="61" t="s">
        <v>70</v>
      </c>
      <c r="AL171" s="61" t="s">
        <v>70</v>
      </c>
      <c r="AM171" s="61" t="s">
        <v>70</v>
      </c>
      <c r="AN171" s="61" t="s">
        <v>70</v>
      </c>
      <c r="AO171" s="61" t="s">
        <v>70</v>
      </c>
      <c r="AP171" s="61" t="s">
        <v>70</v>
      </c>
      <c r="AQ171" s="89" t="s">
        <v>70</v>
      </c>
    </row>
    <row r="172" spans="9:59">
      <c r="I172" s="115">
        <f>I171-1</f>
        <v>179</v>
      </c>
      <c r="J172" s="61" t="s">
        <v>69</v>
      </c>
      <c r="K172" s="61" t="s">
        <v>69</v>
      </c>
      <c r="L172" s="61" t="s">
        <v>69</v>
      </c>
      <c r="M172" s="61" t="s">
        <v>69</v>
      </c>
      <c r="N172" s="61" t="s">
        <v>69</v>
      </c>
      <c r="O172" s="61" t="s">
        <v>69</v>
      </c>
      <c r="P172" s="61" t="s">
        <v>69</v>
      </c>
      <c r="Q172" s="83" t="s">
        <v>69</v>
      </c>
      <c r="AI172" s="85">
        <f>AI171-1</f>
        <v>179</v>
      </c>
      <c r="AJ172" s="61" t="s">
        <v>70</v>
      </c>
      <c r="AK172" s="61" t="s">
        <v>70</v>
      </c>
      <c r="AL172" s="61" t="s">
        <v>70</v>
      </c>
      <c r="AM172" s="61" t="s">
        <v>70</v>
      </c>
      <c r="AN172" s="61" t="s">
        <v>70</v>
      </c>
      <c r="AO172" s="61" t="s">
        <v>70</v>
      </c>
      <c r="AP172" s="61" t="s">
        <v>70</v>
      </c>
      <c r="AQ172" s="89" t="s">
        <v>70</v>
      </c>
    </row>
    <row r="173" spans="9:59">
      <c r="I173" s="115">
        <f t="shared" ref="I173:I236" si="4">I172-1</f>
        <v>178</v>
      </c>
      <c r="J173" s="61">
        <v>90</v>
      </c>
      <c r="K173" s="61">
        <v>90</v>
      </c>
      <c r="L173" s="61">
        <v>90</v>
      </c>
      <c r="M173" s="61">
        <v>90</v>
      </c>
      <c r="N173" s="61">
        <v>90</v>
      </c>
      <c r="O173" s="61">
        <v>90</v>
      </c>
      <c r="P173" s="61">
        <v>90</v>
      </c>
      <c r="Q173" s="83">
        <v>90</v>
      </c>
      <c r="AI173" s="85">
        <f t="shared" ref="AI173:AI236" si="5">AI172-1</f>
        <v>178</v>
      </c>
      <c r="AJ173" s="61" t="s">
        <v>70</v>
      </c>
      <c r="AK173" s="61" t="s">
        <v>70</v>
      </c>
      <c r="AL173" s="61" t="s">
        <v>70</v>
      </c>
      <c r="AM173" s="61" t="s">
        <v>70</v>
      </c>
      <c r="AN173" s="61" t="s">
        <v>70</v>
      </c>
      <c r="AO173" s="61" t="s">
        <v>70</v>
      </c>
      <c r="AP173" s="61" t="s">
        <v>70</v>
      </c>
      <c r="AQ173" s="89" t="s">
        <v>70</v>
      </c>
    </row>
    <row r="174" spans="9:59">
      <c r="I174" s="115">
        <f t="shared" si="4"/>
        <v>177</v>
      </c>
      <c r="J174" s="61">
        <v>90</v>
      </c>
      <c r="K174" s="61">
        <v>90</v>
      </c>
      <c r="L174" s="61">
        <v>90</v>
      </c>
      <c r="M174" s="61">
        <v>90</v>
      </c>
      <c r="N174" s="61">
        <v>90</v>
      </c>
      <c r="O174" s="61">
        <v>90</v>
      </c>
      <c r="P174" s="61">
        <v>90</v>
      </c>
      <c r="Q174" s="83">
        <v>90</v>
      </c>
      <c r="AI174" s="85">
        <f t="shared" si="5"/>
        <v>177</v>
      </c>
      <c r="AJ174" s="61" t="s">
        <v>70</v>
      </c>
      <c r="AK174" s="61" t="s">
        <v>70</v>
      </c>
      <c r="AL174" s="61" t="s">
        <v>70</v>
      </c>
      <c r="AM174" s="61" t="s">
        <v>70</v>
      </c>
      <c r="AN174" s="61" t="s">
        <v>70</v>
      </c>
      <c r="AO174" s="61" t="s">
        <v>70</v>
      </c>
      <c r="AP174" s="61" t="s">
        <v>70</v>
      </c>
      <c r="AQ174" s="89" t="s">
        <v>70</v>
      </c>
    </row>
    <row r="175" spans="9:59">
      <c r="I175" s="115">
        <f t="shared" si="4"/>
        <v>176</v>
      </c>
      <c r="J175" s="61">
        <v>89</v>
      </c>
      <c r="K175" s="61">
        <v>89</v>
      </c>
      <c r="L175" s="61">
        <v>89</v>
      </c>
      <c r="M175" s="61">
        <v>89</v>
      </c>
      <c r="N175" s="61">
        <v>89</v>
      </c>
      <c r="O175" s="61">
        <v>89</v>
      </c>
      <c r="P175" s="61">
        <v>89</v>
      </c>
      <c r="Q175" s="83">
        <v>89</v>
      </c>
      <c r="AI175" s="85">
        <f t="shared" si="5"/>
        <v>176</v>
      </c>
      <c r="AJ175" s="61" t="s">
        <v>70</v>
      </c>
      <c r="AK175" s="61" t="s">
        <v>70</v>
      </c>
      <c r="AL175" s="61" t="s">
        <v>70</v>
      </c>
      <c r="AM175" s="61" t="s">
        <v>70</v>
      </c>
      <c r="AN175" s="61" t="s">
        <v>70</v>
      </c>
      <c r="AO175" s="61" t="s">
        <v>70</v>
      </c>
      <c r="AP175" s="61" t="s">
        <v>70</v>
      </c>
      <c r="AQ175" s="89" t="s">
        <v>70</v>
      </c>
    </row>
    <row r="176" spans="9:59">
      <c r="I176" s="115">
        <f t="shared" si="4"/>
        <v>175</v>
      </c>
      <c r="J176" s="61">
        <v>89</v>
      </c>
      <c r="K176" s="61">
        <v>89</v>
      </c>
      <c r="L176" s="61">
        <v>89</v>
      </c>
      <c r="M176" s="61">
        <v>89</v>
      </c>
      <c r="N176" s="61">
        <v>89</v>
      </c>
      <c r="O176" s="61">
        <v>89</v>
      </c>
      <c r="P176" s="61">
        <v>89</v>
      </c>
      <c r="Q176" s="83">
        <v>89</v>
      </c>
      <c r="AI176" s="85">
        <f t="shared" si="5"/>
        <v>175</v>
      </c>
      <c r="AJ176" s="61" t="s">
        <v>70</v>
      </c>
      <c r="AK176" s="61" t="s">
        <v>70</v>
      </c>
      <c r="AL176" s="61" t="s">
        <v>70</v>
      </c>
      <c r="AM176" s="61" t="s">
        <v>70</v>
      </c>
      <c r="AN176" s="61" t="s">
        <v>70</v>
      </c>
      <c r="AO176" s="61" t="s">
        <v>70</v>
      </c>
      <c r="AP176" s="61" t="s">
        <v>70</v>
      </c>
      <c r="AQ176" s="89" t="s">
        <v>70</v>
      </c>
    </row>
    <row r="177" spans="9:43">
      <c r="I177" s="115">
        <f t="shared" si="4"/>
        <v>174</v>
      </c>
      <c r="J177" s="61">
        <v>88</v>
      </c>
      <c r="K177" s="61">
        <v>88</v>
      </c>
      <c r="L177" s="61">
        <v>88</v>
      </c>
      <c r="M177" s="61">
        <v>88</v>
      </c>
      <c r="N177" s="61">
        <v>88</v>
      </c>
      <c r="O177" s="61">
        <v>88</v>
      </c>
      <c r="P177" s="61">
        <v>88</v>
      </c>
      <c r="Q177" s="83">
        <v>88</v>
      </c>
      <c r="AI177" s="85">
        <f t="shared" si="5"/>
        <v>174</v>
      </c>
      <c r="AJ177" s="61" t="s">
        <v>70</v>
      </c>
      <c r="AK177" s="61" t="s">
        <v>70</v>
      </c>
      <c r="AL177" s="61" t="s">
        <v>70</v>
      </c>
      <c r="AM177" s="61" t="s">
        <v>70</v>
      </c>
      <c r="AN177" s="61" t="s">
        <v>70</v>
      </c>
      <c r="AO177" s="61" t="s">
        <v>70</v>
      </c>
      <c r="AP177" s="61" t="s">
        <v>70</v>
      </c>
      <c r="AQ177" s="89" t="s">
        <v>70</v>
      </c>
    </row>
    <row r="178" spans="9:43">
      <c r="I178" s="115">
        <f t="shared" si="4"/>
        <v>173</v>
      </c>
      <c r="J178" s="61">
        <v>88</v>
      </c>
      <c r="K178" s="61">
        <v>88</v>
      </c>
      <c r="L178" s="61">
        <v>88</v>
      </c>
      <c r="M178" s="61">
        <v>88</v>
      </c>
      <c r="N178" s="61">
        <v>88</v>
      </c>
      <c r="O178" s="61">
        <v>88</v>
      </c>
      <c r="P178" s="61">
        <v>88</v>
      </c>
      <c r="Q178" s="83">
        <v>88</v>
      </c>
      <c r="AI178" s="85">
        <f t="shared" si="5"/>
        <v>173</v>
      </c>
      <c r="AJ178" s="61" t="s">
        <v>70</v>
      </c>
      <c r="AK178" s="61" t="s">
        <v>70</v>
      </c>
      <c r="AL178" s="61" t="s">
        <v>70</v>
      </c>
      <c r="AM178" s="61" t="s">
        <v>70</v>
      </c>
      <c r="AN178" s="61" t="s">
        <v>70</v>
      </c>
      <c r="AO178" s="61" t="s">
        <v>70</v>
      </c>
      <c r="AP178" s="61" t="s">
        <v>70</v>
      </c>
      <c r="AQ178" s="89" t="s">
        <v>70</v>
      </c>
    </row>
    <row r="179" spans="9:43">
      <c r="I179" s="115">
        <f t="shared" si="4"/>
        <v>172</v>
      </c>
      <c r="J179" s="61">
        <v>87</v>
      </c>
      <c r="K179" s="61">
        <v>87</v>
      </c>
      <c r="L179" s="61">
        <v>87</v>
      </c>
      <c r="M179" s="61">
        <v>87</v>
      </c>
      <c r="N179" s="61">
        <v>88</v>
      </c>
      <c r="O179" s="61">
        <v>88</v>
      </c>
      <c r="P179" s="61">
        <v>88</v>
      </c>
      <c r="Q179" s="83">
        <v>88</v>
      </c>
      <c r="AI179" s="85">
        <f t="shared" si="5"/>
        <v>172</v>
      </c>
      <c r="AJ179" s="61" t="s">
        <v>70</v>
      </c>
      <c r="AK179" s="61" t="s">
        <v>70</v>
      </c>
      <c r="AL179" s="61" t="s">
        <v>70</v>
      </c>
      <c r="AM179" s="61" t="s">
        <v>70</v>
      </c>
      <c r="AN179" s="61" t="s">
        <v>70</v>
      </c>
      <c r="AO179" s="61" t="s">
        <v>70</v>
      </c>
      <c r="AP179" s="61" t="s">
        <v>70</v>
      </c>
      <c r="AQ179" s="89" t="s">
        <v>70</v>
      </c>
    </row>
    <row r="180" spans="9:43">
      <c r="I180" s="115">
        <f t="shared" si="4"/>
        <v>171</v>
      </c>
      <c r="J180" s="61">
        <v>87</v>
      </c>
      <c r="K180" s="61">
        <v>87</v>
      </c>
      <c r="L180" s="61">
        <v>87</v>
      </c>
      <c r="M180" s="61">
        <v>87</v>
      </c>
      <c r="N180" s="61">
        <v>87</v>
      </c>
      <c r="O180" s="61">
        <v>87</v>
      </c>
      <c r="P180" s="61">
        <v>87</v>
      </c>
      <c r="Q180" s="83">
        <v>87</v>
      </c>
      <c r="AI180" s="85">
        <f t="shared" si="5"/>
        <v>171</v>
      </c>
      <c r="AJ180" s="61" t="s">
        <v>70</v>
      </c>
      <c r="AK180" s="61" t="s">
        <v>70</v>
      </c>
      <c r="AL180" s="61" t="s">
        <v>70</v>
      </c>
      <c r="AM180" s="61" t="s">
        <v>70</v>
      </c>
      <c r="AN180" s="61" t="s">
        <v>70</v>
      </c>
      <c r="AO180" s="61" t="s">
        <v>70</v>
      </c>
      <c r="AP180" s="61" t="s">
        <v>70</v>
      </c>
      <c r="AQ180" s="89" t="s">
        <v>70</v>
      </c>
    </row>
    <row r="181" spans="9:43">
      <c r="I181" s="115">
        <f t="shared" si="4"/>
        <v>170</v>
      </c>
      <c r="J181" s="61">
        <v>86</v>
      </c>
      <c r="K181" s="61">
        <v>86</v>
      </c>
      <c r="L181" s="61">
        <v>86</v>
      </c>
      <c r="M181" s="61">
        <v>86</v>
      </c>
      <c r="N181" s="61">
        <v>87</v>
      </c>
      <c r="O181" s="61">
        <v>87</v>
      </c>
      <c r="P181" s="61">
        <v>87</v>
      </c>
      <c r="Q181" s="83">
        <v>87</v>
      </c>
      <c r="AI181" s="85">
        <f t="shared" si="5"/>
        <v>170</v>
      </c>
      <c r="AJ181" s="61" t="s">
        <v>70</v>
      </c>
      <c r="AK181" s="61" t="s">
        <v>70</v>
      </c>
      <c r="AL181" s="61" t="s">
        <v>70</v>
      </c>
      <c r="AM181" s="61" t="s">
        <v>70</v>
      </c>
      <c r="AN181" s="61" t="s">
        <v>70</v>
      </c>
      <c r="AO181" s="61" t="s">
        <v>70</v>
      </c>
      <c r="AP181" s="61" t="s">
        <v>70</v>
      </c>
      <c r="AQ181" s="89" t="s">
        <v>70</v>
      </c>
    </row>
    <row r="182" spans="9:43">
      <c r="I182" s="115">
        <f t="shared" si="4"/>
        <v>169</v>
      </c>
      <c r="J182" s="61">
        <v>86</v>
      </c>
      <c r="K182" s="61">
        <v>86</v>
      </c>
      <c r="L182" s="61">
        <v>86</v>
      </c>
      <c r="M182" s="61">
        <v>86</v>
      </c>
      <c r="N182" s="61">
        <v>86</v>
      </c>
      <c r="O182" s="61">
        <v>86</v>
      </c>
      <c r="P182" s="61">
        <v>86</v>
      </c>
      <c r="Q182" s="83">
        <v>86</v>
      </c>
      <c r="AI182" s="85">
        <f t="shared" si="5"/>
        <v>169</v>
      </c>
      <c r="AJ182" s="61" t="s">
        <v>70</v>
      </c>
      <c r="AK182" s="61">
        <v>99</v>
      </c>
      <c r="AL182" s="61" t="s">
        <v>70</v>
      </c>
      <c r="AM182" s="61" t="s">
        <v>70</v>
      </c>
      <c r="AN182" s="61" t="s">
        <v>70</v>
      </c>
      <c r="AO182" s="61" t="s">
        <v>70</v>
      </c>
      <c r="AP182" s="61" t="s">
        <v>70</v>
      </c>
      <c r="AQ182" s="89" t="s">
        <v>70</v>
      </c>
    </row>
    <row r="183" spans="9:43">
      <c r="I183" s="115">
        <f t="shared" si="4"/>
        <v>168</v>
      </c>
      <c r="J183" s="61">
        <v>85</v>
      </c>
      <c r="K183" s="61">
        <v>85</v>
      </c>
      <c r="L183" s="61">
        <v>85</v>
      </c>
      <c r="M183" s="61">
        <v>85</v>
      </c>
      <c r="N183" s="61">
        <v>86</v>
      </c>
      <c r="O183" s="61">
        <v>86</v>
      </c>
      <c r="P183" s="61">
        <v>86</v>
      </c>
      <c r="Q183" s="83">
        <v>86</v>
      </c>
      <c r="AI183" s="85">
        <f t="shared" si="5"/>
        <v>168</v>
      </c>
      <c r="AJ183" s="61" t="s">
        <v>70</v>
      </c>
      <c r="AK183" s="61">
        <v>99</v>
      </c>
      <c r="AL183" s="61" t="s">
        <v>70</v>
      </c>
      <c r="AM183" s="61" t="s">
        <v>70</v>
      </c>
      <c r="AN183" s="61" t="s">
        <v>70</v>
      </c>
      <c r="AO183" s="61" t="s">
        <v>70</v>
      </c>
      <c r="AP183" s="61" t="s">
        <v>70</v>
      </c>
      <c r="AQ183" s="89" t="s">
        <v>70</v>
      </c>
    </row>
    <row r="184" spans="9:43">
      <c r="I184" s="115">
        <f t="shared" si="4"/>
        <v>167</v>
      </c>
      <c r="J184" s="61">
        <v>85</v>
      </c>
      <c r="K184" s="61">
        <v>85</v>
      </c>
      <c r="L184" s="61">
        <v>85</v>
      </c>
      <c r="M184" s="61">
        <v>85</v>
      </c>
      <c r="N184" s="61">
        <v>85</v>
      </c>
      <c r="O184" s="61">
        <v>85</v>
      </c>
      <c r="P184" s="61">
        <v>85</v>
      </c>
      <c r="Q184" s="83">
        <v>85</v>
      </c>
      <c r="AI184" s="85">
        <f t="shared" si="5"/>
        <v>167</v>
      </c>
      <c r="AJ184" s="61" t="s">
        <v>70</v>
      </c>
      <c r="AK184" s="61">
        <v>99</v>
      </c>
      <c r="AL184" s="61" t="s">
        <v>70</v>
      </c>
      <c r="AM184" s="61" t="s">
        <v>70</v>
      </c>
      <c r="AN184" s="61" t="s">
        <v>70</v>
      </c>
      <c r="AO184" s="61" t="s">
        <v>70</v>
      </c>
      <c r="AP184" s="61" t="s">
        <v>70</v>
      </c>
      <c r="AQ184" s="89" t="s">
        <v>70</v>
      </c>
    </row>
    <row r="185" spans="9:43">
      <c r="I185" s="115">
        <f t="shared" si="4"/>
        <v>166</v>
      </c>
      <c r="J185" s="61">
        <v>84</v>
      </c>
      <c r="K185" s="61">
        <v>84</v>
      </c>
      <c r="L185" s="61">
        <v>84</v>
      </c>
      <c r="M185" s="61">
        <v>84</v>
      </c>
      <c r="N185" s="61">
        <v>85</v>
      </c>
      <c r="O185" s="61">
        <v>85</v>
      </c>
      <c r="P185" s="61">
        <v>85</v>
      </c>
      <c r="Q185" s="83">
        <v>85</v>
      </c>
      <c r="AI185" s="85">
        <f t="shared" si="5"/>
        <v>166</v>
      </c>
      <c r="AJ185" s="61" t="s">
        <v>70</v>
      </c>
      <c r="AK185" s="61">
        <v>99</v>
      </c>
      <c r="AL185" s="61" t="s">
        <v>70</v>
      </c>
      <c r="AM185" s="61" t="s">
        <v>70</v>
      </c>
      <c r="AN185" s="61" t="s">
        <v>70</v>
      </c>
      <c r="AO185" s="61" t="s">
        <v>70</v>
      </c>
      <c r="AP185" s="61" t="s">
        <v>70</v>
      </c>
      <c r="AQ185" s="89" t="s">
        <v>70</v>
      </c>
    </row>
    <row r="186" spans="9:43">
      <c r="I186" s="115">
        <f t="shared" si="4"/>
        <v>165</v>
      </c>
      <c r="J186" s="61">
        <v>84</v>
      </c>
      <c r="K186" s="61">
        <v>84</v>
      </c>
      <c r="L186" s="61">
        <v>84</v>
      </c>
      <c r="M186" s="61">
        <v>84</v>
      </c>
      <c r="N186" s="61">
        <v>84</v>
      </c>
      <c r="O186" s="61">
        <v>84</v>
      </c>
      <c r="P186" s="61">
        <v>84</v>
      </c>
      <c r="Q186" s="83">
        <v>84</v>
      </c>
      <c r="AI186" s="85">
        <f t="shared" si="5"/>
        <v>165</v>
      </c>
      <c r="AJ186" s="61" t="s">
        <v>70</v>
      </c>
      <c r="AK186" s="61">
        <v>99</v>
      </c>
      <c r="AL186" s="61">
        <v>99</v>
      </c>
      <c r="AM186" s="61" t="s">
        <v>70</v>
      </c>
      <c r="AN186" s="61" t="s">
        <v>70</v>
      </c>
      <c r="AO186" s="61" t="s">
        <v>70</v>
      </c>
      <c r="AP186" s="61" t="s">
        <v>70</v>
      </c>
      <c r="AQ186" s="89" t="s">
        <v>70</v>
      </c>
    </row>
    <row r="187" spans="9:43">
      <c r="I187" s="115">
        <f t="shared" si="4"/>
        <v>164</v>
      </c>
      <c r="J187" s="61">
        <v>84</v>
      </c>
      <c r="K187" s="61">
        <v>84</v>
      </c>
      <c r="L187" s="61">
        <v>84</v>
      </c>
      <c r="M187" s="61">
        <v>84</v>
      </c>
      <c r="N187" s="61">
        <v>84</v>
      </c>
      <c r="O187" s="61">
        <v>84</v>
      </c>
      <c r="P187" s="61">
        <v>84</v>
      </c>
      <c r="Q187" s="83">
        <v>84</v>
      </c>
      <c r="AI187" s="85">
        <f t="shared" si="5"/>
        <v>164</v>
      </c>
      <c r="AJ187" s="61" t="s">
        <v>70</v>
      </c>
      <c r="AK187" s="61">
        <v>99</v>
      </c>
      <c r="AL187" s="61">
        <v>99</v>
      </c>
      <c r="AM187" s="61" t="s">
        <v>70</v>
      </c>
      <c r="AN187" s="61" t="s">
        <v>70</v>
      </c>
      <c r="AO187" s="61" t="s">
        <v>70</v>
      </c>
      <c r="AP187" s="61" t="s">
        <v>70</v>
      </c>
      <c r="AQ187" s="89">
        <v>99</v>
      </c>
    </row>
    <row r="188" spans="9:43">
      <c r="I188" s="115">
        <f t="shared" si="4"/>
        <v>163</v>
      </c>
      <c r="J188" s="61">
        <v>83</v>
      </c>
      <c r="K188" s="61">
        <v>83</v>
      </c>
      <c r="L188" s="61">
        <v>83</v>
      </c>
      <c r="M188" s="61">
        <v>83</v>
      </c>
      <c r="N188" s="61">
        <v>83</v>
      </c>
      <c r="O188" s="61">
        <v>83</v>
      </c>
      <c r="P188" s="61">
        <v>83</v>
      </c>
      <c r="Q188" s="83">
        <v>83</v>
      </c>
      <c r="AI188" s="85">
        <f t="shared" si="5"/>
        <v>163</v>
      </c>
      <c r="AJ188" s="61" t="s">
        <v>70</v>
      </c>
      <c r="AK188" s="61">
        <v>99</v>
      </c>
      <c r="AL188" s="61">
        <v>99</v>
      </c>
      <c r="AM188" s="61" t="s">
        <v>70</v>
      </c>
      <c r="AN188" s="61" t="s">
        <v>70</v>
      </c>
      <c r="AO188" s="61" t="s">
        <v>70</v>
      </c>
      <c r="AP188" s="61" t="s">
        <v>70</v>
      </c>
      <c r="AQ188" s="89">
        <v>99</v>
      </c>
    </row>
    <row r="189" spans="9:43">
      <c r="I189" s="115">
        <f t="shared" si="4"/>
        <v>162</v>
      </c>
      <c r="J189" s="61">
        <v>83</v>
      </c>
      <c r="K189" s="61">
        <v>83</v>
      </c>
      <c r="L189" s="61">
        <v>83</v>
      </c>
      <c r="M189" s="61">
        <v>83</v>
      </c>
      <c r="N189" s="61">
        <v>83</v>
      </c>
      <c r="O189" s="61">
        <v>83</v>
      </c>
      <c r="P189" s="61">
        <v>83</v>
      </c>
      <c r="Q189" s="83">
        <v>83</v>
      </c>
      <c r="AI189" s="85">
        <f t="shared" si="5"/>
        <v>162</v>
      </c>
      <c r="AJ189" s="61" t="s">
        <v>70</v>
      </c>
      <c r="AK189" s="61">
        <v>99</v>
      </c>
      <c r="AL189" s="61">
        <v>99</v>
      </c>
      <c r="AM189" s="61" t="s">
        <v>70</v>
      </c>
      <c r="AN189" s="61" t="s">
        <v>70</v>
      </c>
      <c r="AO189" s="61" t="s">
        <v>70</v>
      </c>
      <c r="AP189" s="61" t="s">
        <v>70</v>
      </c>
      <c r="AQ189" s="89">
        <v>99</v>
      </c>
    </row>
    <row r="190" spans="9:43">
      <c r="I190" s="115">
        <f t="shared" si="4"/>
        <v>161</v>
      </c>
      <c r="J190" s="61">
        <v>82</v>
      </c>
      <c r="K190" s="61">
        <v>82</v>
      </c>
      <c r="L190" s="61">
        <v>82</v>
      </c>
      <c r="M190" s="61">
        <v>82</v>
      </c>
      <c r="N190" s="61">
        <v>83</v>
      </c>
      <c r="O190" s="61">
        <v>83</v>
      </c>
      <c r="P190" s="61">
        <v>83</v>
      </c>
      <c r="Q190" s="83">
        <v>83</v>
      </c>
      <c r="AI190" s="85">
        <f t="shared" si="5"/>
        <v>161</v>
      </c>
      <c r="AJ190" s="61">
        <v>99</v>
      </c>
      <c r="AK190" s="61">
        <v>99</v>
      </c>
      <c r="AL190" s="61">
        <v>99</v>
      </c>
      <c r="AM190" s="61" t="s">
        <v>70</v>
      </c>
      <c r="AN190" s="61" t="s">
        <v>70</v>
      </c>
      <c r="AO190" s="61" t="s">
        <v>70</v>
      </c>
      <c r="AP190" s="61" t="s">
        <v>70</v>
      </c>
      <c r="AQ190" s="89">
        <v>99</v>
      </c>
    </row>
    <row r="191" spans="9:43">
      <c r="I191" s="115">
        <f t="shared" si="4"/>
        <v>160</v>
      </c>
      <c r="J191" s="80">
        <v>82</v>
      </c>
      <c r="K191" s="61">
        <v>82</v>
      </c>
      <c r="L191" s="61">
        <v>82</v>
      </c>
      <c r="M191" s="61">
        <v>82</v>
      </c>
      <c r="N191" s="61">
        <v>82</v>
      </c>
      <c r="O191" s="61">
        <v>82</v>
      </c>
      <c r="P191" s="61">
        <v>82</v>
      </c>
      <c r="Q191" s="83">
        <v>82</v>
      </c>
      <c r="AI191" s="85">
        <f t="shared" si="5"/>
        <v>160</v>
      </c>
      <c r="AJ191" s="61">
        <v>99</v>
      </c>
      <c r="AK191" s="61">
        <v>99</v>
      </c>
      <c r="AL191" s="61">
        <v>99</v>
      </c>
      <c r="AM191" s="61">
        <v>99</v>
      </c>
      <c r="AN191" s="61" t="s">
        <v>70</v>
      </c>
      <c r="AO191" s="61" t="s">
        <v>70</v>
      </c>
      <c r="AP191" s="61" t="s">
        <v>70</v>
      </c>
      <c r="AQ191" s="89">
        <v>99</v>
      </c>
    </row>
    <row r="192" spans="9:43">
      <c r="I192" s="115">
        <f t="shared" si="4"/>
        <v>159</v>
      </c>
      <c r="J192" s="80">
        <v>81</v>
      </c>
      <c r="K192" s="61">
        <v>81</v>
      </c>
      <c r="L192" s="61">
        <v>81</v>
      </c>
      <c r="M192" s="61">
        <v>81</v>
      </c>
      <c r="N192" s="61">
        <v>82</v>
      </c>
      <c r="O192" s="61">
        <v>82</v>
      </c>
      <c r="P192" s="61">
        <v>82</v>
      </c>
      <c r="Q192" s="83">
        <v>82</v>
      </c>
      <c r="AI192" s="85">
        <f t="shared" si="5"/>
        <v>159</v>
      </c>
      <c r="AJ192" s="61">
        <v>99</v>
      </c>
      <c r="AK192" s="61">
        <v>99</v>
      </c>
      <c r="AL192" s="61">
        <v>99</v>
      </c>
      <c r="AM192" s="61">
        <v>99</v>
      </c>
      <c r="AN192" s="61" t="s">
        <v>70</v>
      </c>
      <c r="AO192" s="61" t="s">
        <v>70</v>
      </c>
      <c r="AP192" s="61" t="s">
        <v>70</v>
      </c>
      <c r="AQ192" s="89">
        <v>99</v>
      </c>
    </row>
    <row r="193" spans="9:43">
      <c r="I193" s="115">
        <f t="shared" si="4"/>
        <v>158</v>
      </c>
      <c r="J193" s="80">
        <v>81</v>
      </c>
      <c r="K193" s="61">
        <v>81</v>
      </c>
      <c r="L193" s="61">
        <v>81</v>
      </c>
      <c r="M193" s="61">
        <v>81</v>
      </c>
      <c r="N193" s="61">
        <v>81</v>
      </c>
      <c r="O193" s="61">
        <v>81</v>
      </c>
      <c r="P193" s="61">
        <v>81</v>
      </c>
      <c r="Q193" s="83">
        <v>81</v>
      </c>
      <c r="AI193" s="85">
        <f t="shared" si="5"/>
        <v>158</v>
      </c>
      <c r="AJ193" s="61">
        <v>99</v>
      </c>
      <c r="AK193" s="61">
        <v>99</v>
      </c>
      <c r="AL193" s="61">
        <v>99</v>
      </c>
      <c r="AM193" s="61">
        <v>99</v>
      </c>
      <c r="AN193" s="61" t="s">
        <v>70</v>
      </c>
      <c r="AO193" s="61" t="s">
        <v>70</v>
      </c>
      <c r="AP193" s="61" t="s">
        <v>70</v>
      </c>
      <c r="AQ193" s="89">
        <v>99</v>
      </c>
    </row>
    <row r="194" spans="9:43">
      <c r="I194" s="115">
        <f t="shared" si="4"/>
        <v>157</v>
      </c>
      <c r="J194" s="80">
        <v>80</v>
      </c>
      <c r="K194" s="61">
        <v>80</v>
      </c>
      <c r="L194" s="61">
        <v>80</v>
      </c>
      <c r="M194" s="61">
        <v>80</v>
      </c>
      <c r="N194" s="61">
        <v>81</v>
      </c>
      <c r="O194" s="61">
        <v>81</v>
      </c>
      <c r="P194" s="61">
        <v>81</v>
      </c>
      <c r="Q194" s="83">
        <v>81</v>
      </c>
      <c r="AI194" s="85">
        <f t="shared" si="5"/>
        <v>157</v>
      </c>
      <c r="AJ194" s="61">
        <v>99</v>
      </c>
      <c r="AK194" s="61">
        <v>99</v>
      </c>
      <c r="AL194" s="61">
        <v>98</v>
      </c>
      <c r="AM194" s="61">
        <v>99</v>
      </c>
      <c r="AN194" s="61" t="s">
        <v>70</v>
      </c>
      <c r="AO194" s="61" t="s">
        <v>70</v>
      </c>
      <c r="AP194" s="61" t="s">
        <v>70</v>
      </c>
      <c r="AQ194" s="89">
        <v>99</v>
      </c>
    </row>
    <row r="195" spans="9:43">
      <c r="I195" s="115">
        <f t="shared" si="4"/>
        <v>156</v>
      </c>
      <c r="J195" s="80">
        <v>80</v>
      </c>
      <c r="K195" s="61">
        <v>80</v>
      </c>
      <c r="L195" s="61">
        <v>80</v>
      </c>
      <c r="M195" s="61">
        <v>80</v>
      </c>
      <c r="N195" s="61">
        <v>80</v>
      </c>
      <c r="O195" s="61">
        <v>80</v>
      </c>
      <c r="P195" s="61">
        <v>80</v>
      </c>
      <c r="Q195" s="83">
        <v>80</v>
      </c>
      <c r="AI195" s="85">
        <f t="shared" si="5"/>
        <v>156</v>
      </c>
      <c r="AJ195" s="61">
        <v>99</v>
      </c>
      <c r="AK195" s="61">
        <v>99</v>
      </c>
      <c r="AL195" s="61">
        <v>98</v>
      </c>
      <c r="AM195" s="61">
        <v>99</v>
      </c>
      <c r="AN195" s="61" t="s">
        <v>70</v>
      </c>
      <c r="AO195" s="61" t="s">
        <v>70</v>
      </c>
      <c r="AP195" s="61" t="s">
        <v>70</v>
      </c>
      <c r="AQ195" s="89">
        <v>98</v>
      </c>
    </row>
    <row r="196" spans="9:43">
      <c r="I196" s="115">
        <f t="shared" si="4"/>
        <v>155</v>
      </c>
      <c r="J196" s="80">
        <v>79</v>
      </c>
      <c r="K196" s="61">
        <v>79</v>
      </c>
      <c r="L196" s="61">
        <v>79</v>
      </c>
      <c r="M196" s="61">
        <v>79</v>
      </c>
      <c r="N196" s="61">
        <v>80</v>
      </c>
      <c r="O196" s="61">
        <v>80</v>
      </c>
      <c r="P196" s="61">
        <v>80</v>
      </c>
      <c r="Q196" s="83">
        <v>80</v>
      </c>
      <c r="AI196" s="85">
        <f t="shared" si="5"/>
        <v>155</v>
      </c>
      <c r="AJ196" s="61">
        <v>99</v>
      </c>
      <c r="AK196" s="61">
        <v>99</v>
      </c>
      <c r="AL196" s="61">
        <v>98</v>
      </c>
      <c r="AM196" s="61">
        <v>98</v>
      </c>
      <c r="AN196" s="61" t="s">
        <v>70</v>
      </c>
      <c r="AO196" s="61" t="s">
        <v>70</v>
      </c>
      <c r="AP196" s="61">
        <v>99</v>
      </c>
      <c r="AQ196" s="89">
        <v>98</v>
      </c>
    </row>
    <row r="197" spans="9:43">
      <c r="I197" s="115">
        <f t="shared" si="4"/>
        <v>154</v>
      </c>
      <c r="J197" s="80">
        <v>79</v>
      </c>
      <c r="K197" s="61">
        <v>79</v>
      </c>
      <c r="L197" s="61">
        <v>79</v>
      </c>
      <c r="M197" s="61">
        <v>79</v>
      </c>
      <c r="N197" s="61">
        <v>79</v>
      </c>
      <c r="O197" s="61">
        <v>79</v>
      </c>
      <c r="P197" s="61">
        <v>79</v>
      </c>
      <c r="Q197" s="83">
        <v>79</v>
      </c>
      <c r="AI197" s="85">
        <f t="shared" si="5"/>
        <v>154</v>
      </c>
      <c r="AJ197" s="61">
        <v>99</v>
      </c>
      <c r="AK197" s="61">
        <v>99</v>
      </c>
      <c r="AL197" s="61">
        <v>98</v>
      </c>
      <c r="AM197" s="61">
        <v>98</v>
      </c>
      <c r="AN197" s="61" t="s">
        <v>70</v>
      </c>
      <c r="AO197" s="61">
        <v>99</v>
      </c>
      <c r="AP197" s="61">
        <v>99</v>
      </c>
      <c r="AQ197" s="89">
        <v>98</v>
      </c>
    </row>
    <row r="198" spans="9:43">
      <c r="I198" s="115">
        <f t="shared" si="4"/>
        <v>153</v>
      </c>
      <c r="J198" s="80">
        <v>78</v>
      </c>
      <c r="K198" s="61">
        <v>78</v>
      </c>
      <c r="L198" s="61">
        <v>78</v>
      </c>
      <c r="M198" s="61">
        <v>78</v>
      </c>
      <c r="N198" s="61">
        <v>79</v>
      </c>
      <c r="O198" s="61">
        <v>79</v>
      </c>
      <c r="P198" s="61">
        <v>79</v>
      </c>
      <c r="Q198" s="83">
        <v>79</v>
      </c>
      <c r="AI198" s="85">
        <f t="shared" si="5"/>
        <v>153</v>
      </c>
      <c r="AJ198" s="61">
        <v>99</v>
      </c>
      <c r="AK198" s="61">
        <v>99</v>
      </c>
      <c r="AL198" s="61">
        <v>98</v>
      </c>
      <c r="AM198" s="61">
        <v>98</v>
      </c>
      <c r="AN198" s="61" t="s">
        <v>70</v>
      </c>
      <c r="AO198" s="61">
        <v>99</v>
      </c>
      <c r="AP198" s="61">
        <v>99</v>
      </c>
      <c r="AQ198" s="89">
        <v>98</v>
      </c>
    </row>
    <row r="199" spans="9:43">
      <c r="I199" s="115">
        <f t="shared" si="4"/>
        <v>152</v>
      </c>
      <c r="J199" s="80">
        <v>78</v>
      </c>
      <c r="K199" s="61">
        <v>78</v>
      </c>
      <c r="L199" s="61">
        <v>78</v>
      </c>
      <c r="M199" s="61">
        <v>78</v>
      </c>
      <c r="N199" s="61">
        <v>78</v>
      </c>
      <c r="O199" s="61">
        <v>78</v>
      </c>
      <c r="P199" s="61">
        <v>78</v>
      </c>
      <c r="Q199" s="83">
        <v>78</v>
      </c>
      <c r="AI199" s="85">
        <f t="shared" si="5"/>
        <v>152</v>
      </c>
      <c r="AJ199" s="61">
        <v>99</v>
      </c>
      <c r="AK199" s="61">
        <v>99</v>
      </c>
      <c r="AL199" s="61">
        <v>98</v>
      </c>
      <c r="AM199" s="61">
        <v>98</v>
      </c>
      <c r="AN199" s="61" t="s">
        <v>70</v>
      </c>
      <c r="AO199" s="61">
        <v>99</v>
      </c>
      <c r="AP199" s="61">
        <v>99</v>
      </c>
      <c r="AQ199" s="89">
        <v>98</v>
      </c>
    </row>
    <row r="200" spans="9:43">
      <c r="I200" s="115">
        <f t="shared" si="4"/>
        <v>151</v>
      </c>
      <c r="J200" s="80">
        <v>77</v>
      </c>
      <c r="K200" s="61">
        <v>77</v>
      </c>
      <c r="L200" s="61">
        <v>77</v>
      </c>
      <c r="M200" s="61">
        <v>77</v>
      </c>
      <c r="N200" s="61">
        <v>78</v>
      </c>
      <c r="O200" s="61">
        <v>78</v>
      </c>
      <c r="P200" s="61">
        <v>78</v>
      </c>
      <c r="Q200" s="83">
        <v>78</v>
      </c>
      <c r="AI200" s="85">
        <f t="shared" si="5"/>
        <v>151</v>
      </c>
      <c r="AJ200" s="61">
        <v>99</v>
      </c>
      <c r="AK200" s="61">
        <v>98</v>
      </c>
      <c r="AL200" s="61">
        <v>98</v>
      </c>
      <c r="AM200" s="61">
        <v>98</v>
      </c>
      <c r="AN200" s="61" t="s">
        <v>70</v>
      </c>
      <c r="AO200" s="61">
        <v>99</v>
      </c>
      <c r="AP200" s="61">
        <v>99</v>
      </c>
      <c r="AQ200" s="89">
        <v>98</v>
      </c>
    </row>
    <row r="201" spans="9:43">
      <c r="I201" s="115">
        <f t="shared" si="4"/>
        <v>150</v>
      </c>
      <c r="J201" s="80">
        <v>77</v>
      </c>
      <c r="K201" s="61">
        <v>77</v>
      </c>
      <c r="L201" s="61">
        <v>77</v>
      </c>
      <c r="M201" s="61">
        <v>77</v>
      </c>
      <c r="N201" s="61">
        <v>78</v>
      </c>
      <c r="O201" s="61">
        <v>78</v>
      </c>
      <c r="P201" s="61">
        <v>78</v>
      </c>
      <c r="Q201" s="83">
        <v>78</v>
      </c>
      <c r="AI201" s="85">
        <f t="shared" si="5"/>
        <v>150</v>
      </c>
      <c r="AJ201" s="61">
        <v>99</v>
      </c>
      <c r="AK201" s="61">
        <v>98</v>
      </c>
      <c r="AL201" s="61">
        <v>98</v>
      </c>
      <c r="AM201" s="61">
        <v>98</v>
      </c>
      <c r="AN201" s="61">
        <v>99</v>
      </c>
      <c r="AO201" s="61">
        <v>99</v>
      </c>
      <c r="AP201" s="61">
        <v>99</v>
      </c>
      <c r="AQ201" s="89">
        <v>98</v>
      </c>
    </row>
    <row r="202" spans="9:43">
      <c r="I202" s="115">
        <f t="shared" si="4"/>
        <v>149</v>
      </c>
      <c r="J202" s="80">
        <v>76</v>
      </c>
      <c r="K202" s="61">
        <v>76</v>
      </c>
      <c r="L202" s="61">
        <v>76</v>
      </c>
      <c r="M202" s="61">
        <v>76</v>
      </c>
      <c r="N202" s="61">
        <v>77</v>
      </c>
      <c r="O202" s="61">
        <v>77</v>
      </c>
      <c r="P202" s="61">
        <v>77</v>
      </c>
      <c r="Q202" s="83">
        <v>77</v>
      </c>
      <c r="AI202" s="85">
        <f t="shared" si="5"/>
        <v>149</v>
      </c>
      <c r="AJ202" s="61">
        <v>99</v>
      </c>
      <c r="AK202" s="61">
        <v>97</v>
      </c>
      <c r="AL202" s="61">
        <v>98</v>
      </c>
      <c r="AM202" s="61">
        <v>98</v>
      </c>
      <c r="AN202" s="61">
        <v>99</v>
      </c>
      <c r="AO202" s="61">
        <v>99</v>
      </c>
      <c r="AP202" s="61">
        <v>99</v>
      </c>
      <c r="AQ202" s="89">
        <v>98</v>
      </c>
    </row>
    <row r="203" spans="9:43">
      <c r="I203" s="115">
        <f t="shared" si="4"/>
        <v>148</v>
      </c>
      <c r="J203" s="80">
        <v>76</v>
      </c>
      <c r="K203" s="61">
        <v>76</v>
      </c>
      <c r="L203" s="61">
        <v>76</v>
      </c>
      <c r="M203" s="61">
        <v>76</v>
      </c>
      <c r="N203" s="61">
        <v>77</v>
      </c>
      <c r="O203" s="61">
        <v>77</v>
      </c>
      <c r="P203" s="61">
        <v>77</v>
      </c>
      <c r="Q203" s="83">
        <v>77</v>
      </c>
      <c r="AI203" s="85">
        <f t="shared" si="5"/>
        <v>148</v>
      </c>
      <c r="AJ203" s="61">
        <v>99</v>
      </c>
      <c r="AK203" s="61">
        <v>97</v>
      </c>
      <c r="AL203" s="61">
        <v>98</v>
      </c>
      <c r="AM203" s="61">
        <v>98</v>
      </c>
      <c r="AN203" s="61">
        <v>99</v>
      </c>
      <c r="AO203" s="61">
        <v>99</v>
      </c>
      <c r="AP203" s="61">
        <v>99</v>
      </c>
      <c r="AQ203" s="89">
        <v>98</v>
      </c>
    </row>
    <row r="204" spans="9:43">
      <c r="I204" s="115">
        <f t="shared" si="4"/>
        <v>147</v>
      </c>
      <c r="J204" s="80">
        <v>76</v>
      </c>
      <c r="K204" s="61">
        <v>76</v>
      </c>
      <c r="L204" s="61">
        <v>76</v>
      </c>
      <c r="M204" s="61">
        <v>76</v>
      </c>
      <c r="N204" s="61">
        <v>76</v>
      </c>
      <c r="O204" s="61">
        <v>76</v>
      </c>
      <c r="P204" s="61">
        <v>76</v>
      </c>
      <c r="Q204" s="83">
        <v>76</v>
      </c>
      <c r="AI204" s="85">
        <f t="shared" si="5"/>
        <v>147</v>
      </c>
      <c r="AJ204" s="61">
        <v>99</v>
      </c>
      <c r="AK204" s="61">
        <v>97</v>
      </c>
      <c r="AL204" s="61">
        <v>98</v>
      </c>
      <c r="AM204" s="61">
        <v>98</v>
      </c>
      <c r="AN204" s="61">
        <v>99</v>
      </c>
      <c r="AO204" s="61">
        <v>99</v>
      </c>
      <c r="AP204" s="61">
        <v>99</v>
      </c>
      <c r="AQ204" s="89">
        <v>97</v>
      </c>
    </row>
    <row r="205" spans="9:43">
      <c r="I205" s="115">
        <f t="shared" si="4"/>
        <v>146</v>
      </c>
      <c r="J205" s="80">
        <v>75</v>
      </c>
      <c r="K205" s="61">
        <v>75</v>
      </c>
      <c r="L205" s="61">
        <v>75</v>
      </c>
      <c r="M205" s="61">
        <v>75</v>
      </c>
      <c r="N205" s="61">
        <v>76</v>
      </c>
      <c r="O205" s="61">
        <v>76</v>
      </c>
      <c r="P205" s="61">
        <v>76</v>
      </c>
      <c r="Q205" s="83">
        <v>76</v>
      </c>
      <c r="AI205" s="85">
        <f t="shared" si="5"/>
        <v>146</v>
      </c>
      <c r="AJ205" s="61">
        <v>99</v>
      </c>
      <c r="AK205" s="61">
        <v>95</v>
      </c>
      <c r="AL205" s="61">
        <v>98</v>
      </c>
      <c r="AM205" s="61">
        <v>98</v>
      </c>
      <c r="AN205" s="61">
        <v>99</v>
      </c>
      <c r="AO205" s="61">
        <v>99</v>
      </c>
      <c r="AP205" s="61">
        <v>99</v>
      </c>
      <c r="AQ205" s="89">
        <v>97</v>
      </c>
    </row>
    <row r="206" spans="9:43">
      <c r="I206" s="115">
        <f t="shared" si="4"/>
        <v>145</v>
      </c>
      <c r="J206" s="80">
        <v>75</v>
      </c>
      <c r="K206" s="61">
        <v>75</v>
      </c>
      <c r="L206" s="61">
        <v>75</v>
      </c>
      <c r="M206" s="61">
        <v>75</v>
      </c>
      <c r="N206" s="61">
        <v>75</v>
      </c>
      <c r="O206" s="61">
        <v>75</v>
      </c>
      <c r="P206" s="61">
        <v>75</v>
      </c>
      <c r="Q206" s="83">
        <v>75</v>
      </c>
      <c r="AI206" s="85">
        <f t="shared" si="5"/>
        <v>145</v>
      </c>
      <c r="AJ206" s="61">
        <v>99</v>
      </c>
      <c r="AK206" s="61">
        <v>95</v>
      </c>
      <c r="AL206" s="61">
        <v>98</v>
      </c>
      <c r="AM206" s="61">
        <v>98</v>
      </c>
      <c r="AN206" s="61">
        <v>99</v>
      </c>
      <c r="AO206" s="61">
        <v>99</v>
      </c>
      <c r="AP206" s="61">
        <v>99</v>
      </c>
      <c r="AQ206" s="89">
        <v>97</v>
      </c>
    </row>
    <row r="207" spans="9:43">
      <c r="I207" s="115">
        <f t="shared" si="4"/>
        <v>144</v>
      </c>
      <c r="J207" s="80">
        <v>74</v>
      </c>
      <c r="K207" s="61">
        <v>74</v>
      </c>
      <c r="L207" s="61">
        <v>74</v>
      </c>
      <c r="M207" s="61">
        <v>74</v>
      </c>
      <c r="N207" s="61">
        <v>75</v>
      </c>
      <c r="O207" s="61">
        <v>75</v>
      </c>
      <c r="P207" s="61">
        <v>75</v>
      </c>
      <c r="Q207" s="83">
        <v>75</v>
      </c>
      <c r="AI207" s="85">
        <f t="shared" si="5"/>
        <v>144</v>
      </c>
      <c r="AJ207" s="61">
        <v>99</v>
      </c>
      <c r="AK207" s="61">
        <v>95</v>
      </c>
      <c r="AL207" s="61">
        <v>98</v>
      </c>
      <c r="AM207" s="61">
        <v>97</v>
      </c>
      <c r="AN207" s="61">
        <v>99</v>
      </c>
      <c r="AO207" s="61">
        <v>99</v>
      </c>
      <c r="AP207" s="61">
        <v>99</v>
      </c>
      <c r="AQ207" s="89">
        <v>97</v>
      </c>
    </row>
    <row r="208" spans="9:43">
      <c r="I208" s="115">
        <f t="shared" si="4"/>
        <v>143</v>
      </c>
      <c r="J208" s="80">
        <v>74</v>
      </c>
      <c r="K208" s="61">
        <v>74</v>
      </c>
      <c r="L208" s="61">
        <v>74</v>
      </c>
      <c r="M208" s="61">
        <v>74</v>
      </c>
      <c r="N208" s="61">
        <v>74</v>
      </c>
      <c r="O208" s="61">
        <v>74</v>
      </c>
      <c r="P208" s="61">
        <v>74</v>
      </c>
      <c r="Q208" s="83">
        <v>74</v>
      </c>
      <c r="AI208" s="85">
        <f t="shared" si="5"/>
        <v>143</v>
      </c>
      <c r="AJ208" s="61">
        <v>99</v>
      </c>
      <c r="AK208" s="61">
        <v>95</v>
      </c>
      <c r="AL208" s="61">
        <v>98</v>
      </c>
      <c r="AM208" s="61">
        <v>97</v>
      </c>
      <c r="AN208" s="61">
        <v>99</v>
      </c>
      <c r="AO208" s="61">
        <v>98</v>
      </c>
      <c r="AP208" s="61">
        <v>99</v>
      </c>
      <c r="AQ208" s="89">
        <v>97</v>
      </c>
    </row>
    <row r="209" spans="9:43">
      <c r="I209" s="115">
        <f t="shared" si="4"/>
        <v>142</v>
      </c>
      <c r="J209" s="80">
        <v>73</v>
      </c>
      <c r="K209" s="61">
        <v>73</v>
      </c>
      <c r="L209" s="61">
        <v>73</v>
      </c>
      <c r="M209" s="61">
        <v>73</v>
      </c>
      <c r="N209" s="61">
        <v>74</v>
      </c>
      <c r="O209" s="61">
        <v>74</v>
      </c>
      <c r="P209" s="61">
        <v>74</v>
      </c>
      <c r="Q209" s="83">
        <v>74</v>
      </c>
      <c r="AI209" s="85">
        <f t="shared" si="5"/>
        <v>142</v>
      </c>
      <c r="AJ209" s="61">
        <v>99</v>
      </c>
      <c r="AK209" s="61">
        <v>93</v>
      </c>
      <c r="AL209" s="61">
        <v>98</v>
      </c>
      <c r="AM209" s="61">
        <v>97</v>
      </c>
      <c r="AN209" s="61">
        <v>99</v>
      </c>
      <c r="AO209" s="61">
        <v>98</v>
      </c>
      <c r="AP209" s="61">
        <v>99</v>
      </c>
      <c r="AQ209" s="89">
        <v>97</v>
      </c>
    </row>
    <row r="210" spans="9:43">
      <c r="I210" s="115">
        <f t="shared" si="4"/>
        <v>141</v>
      </c>
      <c r="J210" s="80">
        <v>73</v>
      </c>
      <c r="K210" s="61">
        <v>73</v>
      </c>
      <c r="L210" s="61">
        <v>73</v>
      </c>
      <c r="M210" s="61">
        <v>3</v>
      </c>
      <c r="N210" s="61">
        <v>73</v>
      </c>
      <c r="O210" s="61">
        <v>73</v>
      </c>
      <c r="P210" s="61">
        <v>73</v>
      </c>
      <c r="Q210" s="83">
        <v>73</v>
      </c>
      <c r="AI210" s="85">
        <f t="shared" si="5"/>
        <v>141</v>
      </c>
      <c r="AJ210" s="61">
        <v>99</v>
      </c>
      <c r="AK210" s="61">
        <v>93</v>
      </c>
      <c r="AL210" s="61">
        <v>98</v>
      </c>
      <c r="AM210" s="61">
        <v>97</v>
      </c>
      <c r="AN210" s="61">
        <v>99</v>
      </c>
      <c r="AO210" s="61">
        <v>98</v>
      </c>
      <c r="AP210" s="61">
        <v>97</v>
      </c>
      <c r="AQ210" s="89">
        <v>97</v>
      </c>
    </row>
    <row r="211" spans="9:43">
      <c r="I211" s="115">
        <f t="shared" si="4"/>
        <v>140</v>
      </c>
      <c r="J211" s="80">
        <v>72</v>
      </c>
      <c r="K211" s="61">
        <v>72</v>
      </c>
      <c r="L211" s="61">
        <v>72</v>
      </c>
      <c r="M211" s="61">
        <v>72</v>
      </c>
      <c r="N211" s="61">
        <v>73</v>
      </c>
      <c r="O211" s="61">
        <v>73</v>
      </c>
      <c r="P211" s="61">
        <v>73</v>
      </c>
      <c r="Q211" s="83">
        <v>73</v>
      </c>
      <c r="AI211" s="85">
        <f t="shared" si="5"/>
        <v>140</v>
      </c>
      <c r="AJ211" s="61">
        <v>99</v>
      </c>
      <c r="AK211" s="61">
        <v>93</v>
      </c>
      <c r="AL211" s="61">
        <v>98</v>
      </c>
      <c r="AM211" s="61">
        <v>96</v>
      </c>
      <c r="AN211" s="61">
        <v>99</v>
      </c>
      <c r="AO211" s="61">
        <v>98</v>
      </c>
      <c r="AP211" s="61">
        <v>97</v>
      </c>
      <c r="AQ211" s="89">
        <v>97</v>
      </c>
    </row>
    <row r="212" spans="9:43">
      <c r="I212" s="115">
        <f t="shared" si="4"/>
        <v>139</v>
      </c>
      <c r="J212" s="80">
        <v>72</v>
      </c>
      <c r="K212" s="61">
        <v>72</v>
      </c>
      <c r="L212" s="61">
        <v>72</v>
      </c>
      <c r="M212" s="61">
        <v>72</v>
      </c>
      <c r="N212" s="61">
        <v>72</v>
      </c>
      <c r="O212" s="61">
        <v>72</v>
      </c>
      <c r="P212" s="61">
        <v>72</v>
      </c>
      <c r="Q212" s="83">
        <v>73</v>
      </c>
      <c r="AI212" s="85">
        <f t="shared" si="5"/>
        <v>139</v>
      </c>
      <c r="AJ212" s="61">
        <v>99</v>
      </c>
      <c r="AK212" s="61">
        <v>93</v>
      </c>
      <c r="AL212" s="61">
        <v>98</v>
      </c>
      <c r="AM212" s="61">
        <v>96</v>
      </c>
      <c r="AN212" s="61">
        <v>99</v>
      </c>
      <c r="AO212" s="61">
        <v>97</v>
      </c>
      <c r="AP212" s="61">
        <v>97</v>
      </c>
      <c r="AQ212" s="89">
        <v>97</v>
      </c>
    </row>
    <row r="213" spans="9:43">
      <c r="I213" s="115">
        <f t="shared" si="4"/>
        <v>138</v>
      </c>
      <c r="J213" s="80">
        <v>71</v>
      </c>
      <c r="K213" s="61">
        <v>71</v>
      </c>
      <c r="L213" s="61">
        <v>71</v>
      </c>
      <c r="M213" s="61">
        <v>71</v>
      </c>
      <c r="N213" s="61">
        <v>72</v>
      </c>
      <c r="O213" s="61">
        <v>72</v>
      </c>
      <c r="P213" s="61">
        <v>72</v>
      </c>
      <c r="Q213" s="83">
        <v>72</v>
      </c>
      <c r="AI213" s="85">
        <f t="shared" si="5"/>
        <v>138</v>
      </c>
      <c r="AJ213" s="61">
        <v>99</v>
      </c>
      <c r="AK213" s="61">
        <v>93</v>
      </c>
      <c r="AL213" s="61">
        <v>98</v>
      </c>
      <c r="AM213" s="61">
        <v>96</v>
      </c>
      <c r="AN213" s="61">
        <v>99</v>
      </c>
      <c r="AO213" s="61">
        <v>97</v>
      </c>
      <c r="AP213" s="61">
        <v>97</v>
      </c>
      <c r="AQ213" s="89">
        <v>96</v>
      </c>
    </row>
    <row r="214" spans="9:43">
      <c r="I214" s="115">
        <f t="shared" si="4"/>
        <v>137</v>
      </c>
      <c r="J214" s="80">
        <v>71</v>
      </c>
      <c r="K214" s="61">
        <v>71</v>
      </c>
      <c r="L214" s="61">
        <v>71</v>
      </c>
      <c r="M214" s="61">
        <v>71</v>
      </c>
      <c r="N214" s="61">
        <v>72</v>
      </c>
      <c r="O214" s="61">
        <v>72</v>
      </c>
      <c r="P214" s="61">
        <v>72</v>
      </c>
      <c r="Q214" s="83">
        <v>72</v>
      </c>
      <c r="AI214" s="85">
        <f t="shared" si="5"/>
        <v>137</v>
      </c>
      <c r="AJ214" s="61">
        <v>98</v>
      </c>
      <c r="AK214" s="61">
        <v>93</v>
      </c>
      <c r="AL214" s="61">
        <v>98</v>
      </c>
      <c r="AM214" s="61">
        <v>96</v>
      </c>
      <c r="AN214" s="61">
        <v>99</v>
      </c>
      <c r="AO214" s="61">
        <v>97</v>
      </c>
      <c r="AP214" s="61">
        <v>97</v>
      </c>
      <c r="AQ214" s="89">
        <v>96</v>
      </c>
    </row>
    <row r="215" spans="9:43">
      <c r="I215" s="115">
        <f t="shared" si="4"/>
        <v>136</v>
      </c>
      <c r="J215" s="80">
        <v>70</v>
      </c>
      <c r="K215" s="61">
        <v>70</v>
      </c>
      <c r="L215" s="61">
        <v>70</v>
      </c>
      <c r="M215" s="61">
        <v>70</v>
      </c>
      <c r="N215" s="61">
        <v>71</v>
      </c>
      <c r="O215" s="61">
        <v>71</v>
      </c>
      <c r="P215" s="61">
        <v>71</v>
      </c>
      <c r="Q215" s="83">
        <v>71</v>
      </c>
      <c r="AI215" s="85">
        <f t="shared" si="5"/>
        <v>136</v>
      </c>
      <c r="AJ215" s="61">
        <v>98</v>
      </c>
      <c r="AK215" s="61">
        <v>93</v>
      </c>
      <c r="AL215" s="61">
        <v>97</v>
      </c>
      <c r="AM215" s="61">
        <v>94</v>
      </c>
      <c r="AN215" s="61">
        <v>99</v>
      </c>
      <c r="AO215" s="61">
        <v>97</v>
      </c>
      <c r="AP215" s="61">
        <v>96</v>
      </c>
      <c r="AQ215" s="89">
        <v>95</v>
      </c>
    </row>
    <row r="216" spans="9:43">
      <c r="I216" s="115">
        <f t="shared" si="4"/>
        <v>135</v>
      </c>
      <c r="J216" s="80">
        <v>70</v>
      </c>
      <c r="K216" s="61">
        <v>70</v>
      </c>
      <c r="L216" s="61">
        <v>70</v>
      </c>
      <c r="M216" s="61">
        <v>70</v>
      </c>
      <c r="N216" s="61">
        <v>71</v>
      </c>
      <c r="O216" s="61">
        <v>71</v>
      </c>
      <c r="P216" s="61">
        <v>71</v>
      </c>
      <c r="Q216" s="83">
        <v>71</v>
      </c>
      <c r="AI216" s="85">
        <f t="shared" si="5"/>
        <v>135</v>
      </c>
      <c r="AJ216" s="61">
        <v>97</v>
      </c>
      <c r="AK216" s="61">
        <v>93</v>
      </c>
      <c r="AL216" s="61">
        <v>97</v>
      </c>
      <c r="AM216" s="61">
        <v>94</v>
      </c>
      <c r="AN216" s="61">
        <v>99</v>
      </c>
      <c r="AO216" s="61">
        <v>97</v>
      </c>
      <c r="AP216" s="61">
        <v>96</v>
      </c>
      <c r="AQ216" s="89">
        <v>95</v>
      </c>
    </row>
    <row r="217" spans="9:43">
      <c r="I217" s="115">
        <f t="shared" si="4"/>
        <v>134</v>
      </c>
      <c r="J217" s="80">
        <v>69</v>
      </c>
      <c r="K217" s="61">
        <v>69</v>
      </c>
      <c r="L217" s="61">
        <v>69</v>
      </c>
      <c r="M217" s="61">
        <v>69</v>
      </c>
      <c r="N217" s="61">
        <v>70</v>
      </c>
      <c r="O217" s="61">
        <v>70</v>
      </c>
      <c r="P217" s="61">
        <v>70</v>
      </c>
      <c r="Q217" s="83">
        <v>70</v>
      </c>
      <c r="AI217" s="85">
        <f t="shared" si="5"/>
        <v>134</v>
      </c>
      <c r="AJ217" s="61">
        <v>97</v>
      </c>
      <c r="AK217" s="61">
        <v>91</v>
      </c>
      <c r="AL217" s="61">
        <v>97</v>
      </c>
      <c r="AM217" s="61">
        <v>94</v>
      </c>
      <c r="AN217" s="61">
        <v>99</v>
      </c>
      <c r="AO217" s="61">
        <v>96</v>
      </c>
      <c r="AP217" s="61">
        <v>95</v>
      </c>
      <c r="AQ217" s="89">
        <v>95</v>
      </c>
    </row>
    <row r="218" spans="9:43">
      <c r="I218" s="115">
        <f t="shared" si="4"/>
        <v>133</v>
      </c>
      <c r="J218" s="80">
        <v>69</v>
      </c>
      <c r="K218" s="61">
        <v>69</v>
      </c>
      <c r="L218" s="61">
        <v>69</v>
      </c>
      <c r="M218" s="61">
        <v>69</v>
      </c>
      <c r="N218" s="61">
        <v>70</v>
      </c>
      <c r="O218" s="61">
        <v>70</v>
      </c>
      <c r="P218" s="61">
        <v>70</v>
      </c>
      <c r="Q218" s="83">
        <v>70</v>
      </c>
      <c r="AI218" s="85">
        <f t="shared" si="5"/>
        <v>133</v>
      </c>
      <c r="AJ218" s="61">
        <v>95</v>
      </c>
      <c r="AK218" s="61">
        <v>91</v>
      </c>
      <c r="AL218" s="61">
        <v>97</v>
      </c>
      <c r="AM218" s="61">
        <v>94</v>
      </c>
      <c r="AN218" s="61">
        <v>99</v>
      </c>
      <c r="AO218" s="61">
        <v>96</v>
      </c>
      <c r="AP218" s="61">
        <v>95</v>
      </c>
      <c r="AQ218" s="89">
        <v>95</v>
      </c>
    </row>
    <row r="219" spans="9:43">
      <c r="I219" s="115">
        <f t="shared" si="4"/>
        <v>132</v>
      </c>
      <c r="J219" s="80">
        <v>69</v>
      </c>
      <c r="K219" s="61">
        <v>69</v>
      </c>
      <c r="L219" s="61">
        <v>69</v>
      </c>
      <c r="M219" s="61">
        <v>69</v>
      </c>
      <c r="N219" s="61">
        <v>70</v>
      </c>
      <c r="O219" s="61">
        <v>70</v>
      </c>
      <c r="P219" s="61">
        <v>70</v>
      </c>
      <c r="Q219" s="83">
        <v>70</v>
      </c>
      <c r="AI219" s="85">
        <f t="shared" si="5"/>
        <v>132</v>
      </c>
      <c r="AJ219" s="61">
        <v>95</v>
      </c>
      <c r="AK219" s="61">
        <v>91</v>
      </c>
      <c r="AL219" s="61">
        <v>97</v>
      </c>
      <c r="AM219" s="61">
        <v>94</v>
      </c>
      <c r="AN219" s="61">
        <v>99</v>
      </c>
      <c r="AO219" s="61">
        <v>96</v>
      </c>
      <c r="AP219" s="61">
        <v>95</v>
      </c>
      <c r="AQ219" s="89">
        <v>95</v>
      </c>
    </row>
    <row r="220" spans="9:43">
      <c r="I220" s="115">
        <f t="shared" si="4"/>
        <v>131</v>
      </c>
      <c r="J220" s="80">
        <v>68</v>
      </c>
      <c r="K220" s="61">
        <v>68</v>
      </c>
      <c r="L220" s="61">
        <v>68</v>
      </c>
      <c r="M220" s="61">
        <v>68</v>
      </c>
      <c r="N220" s="61">
        <v>69</v>
      </c>
      <c r="O220" s="61">
        <v>69</v>
      </c>
      <c r="P220" s="61">
        <v>69</v>
      </c>
      <c r="Q220" s="83">
        <v>69</v>
      </c>
      <c r="AI220" s="85">
        <f t="shared" si="5"/>
        <v>131</v>
      </c>
      <c r="AJ220" s="61">
        <v>95</v>
      </c>
      <c r="AK220" s="61">
        <v>90</v>
      </c>
      <c r="AL220" s="61">
        <v>94</v>
      </c>
      <c r="AM220" s="61">
        <v>92</v>
      </c>
      <c r="AN220" s="61">
        <v>97</v>
      </c>
      <c r="AO220" s="61">
        <v>94</v>
      </c>
      <c r="AP220" s="61">
        <v>95</v>
      </c>
      <c r="AQ220" s="89">
        <v>93</v>
      </c>
    </row>
    <row r="221" spans="9:43">
      <c r="I221" s="115">
        <f t="shared" si="4"/>
        <v>130</v>
      </c>
      <c r="J221" s="80">
        <v>68</v>
      </c>
      <c r="K221" s="61">
        <v>68</v>
      </c>
      <c r="L221" s="61">
        <v>68</v>
      </c>
      <c r="M221" s="61">
        <v>68</v>
      </c>
      <c r="N221" s="61">
        <v>69</v>
      </c>
      <c r="O221" s="61">
        <v>69</v>
      </c>
      <c r="P221" s="61">
        <v>69</v>
      </c>
      <c r="Q221" s="83">
        <v>69</v>
      </c>
      <c r="AI221" s="85">
        <f t="shared" si="5"/>
        <v>130</v>
      </c>
      <c r="AJ221" s="61">
        <v>95</v>
      </c>
      <c r="AK221" s="61">
        <v>90</v>
      </c>
      <c r="AL221" s="61">
        <v>94</v>
      </c>
      <c r="AM221" s="61">
        <v>92</v>
      </c>
      <c r="AN221" s="61">
        <v>97</v>
      </c>
      <c r="AO221" s="61">
        <v>94</v>
      </c>
      <c r="AP221" s="61">
        <v>95</v>
      </c>
      <c r="AQ221" s="89">
        <v>93</v>
      </c>
    </row>
    <row r="222" spans="9:43">
      <c r="I222" s="115">
        <f t="shared" si="4"/>
        <v>129</v>
      </c>
      <c r="J222" s="80">
        <v>67</v>
      </c>
      <c r="K222" s="61">
        <v>67</v>
      </c>
      <c r="L222" s="61">
        <v>67</v>
      </c>
      <c r="M222" s="61">
        <v>67</v>
      </c>
      <c r="N222" s="61">
        <v>68</v>
      </c>
      <c r="O222" s="61">
        <v>68</v>
      </c>
      <c r="P222" s="61">
        <v>68</v>
      </c>
      <c r="Q222" s="83">
        <v>68</v>
      </c>
      <c r="AI222" s="85">
        <f t="shared" si="5"/>
        <v>129</v>
      </c>
      <c r="AJ222" s="61">
        <v>95</v>
      </c>
      <c r="AK222" s="61">
        <v>89</v>
      </c>
      <c r="AL222" s="61">
        <v>93</v>
      </c>
      <c r="AM222" s="61">
        <v>91</v>
      </c>
      <c r="AN222" s="61">
        <v>97</v>
      </c>
      <c r="AO222" s="61">
        <v>92</v>
      </c>
      <c r="AP222" s="61">
        <v>94</v>
      </c>
      <c r="AQ222" s="89">
        <v>93</v>
      </c>
    </row>
    <row r="223" spans="9:43">
      <c r="I223" s="115">
        <f t="shared" si="4"/>
        <v>128</v>
      </c>
      <c r="J223" s="80">
        <v>67</v>
      </c>
      <c r="K223" s="61">
        <v>67</v>
      </c>
      <c r="L223" s="61">
        <v>67</v>
      </c>
      <c r="M223" s="61">
        <v>67</v>
      </c>
      <c r="N223" s="61">
        <v>68</v>
      </c>
      <c r="O223" s="61">
        <v>68</v>
      </c>
      <c r="P223" s="61">
        <v>68</v>
      </c>
      <c r="Q223" s="83">
        <v>68</v>
      </c>
      <c r="AI223" s="85">
        <f t="shared" si="5"/>
        <v>128</v>
      </c>
      <c r="AJ223" s="61">
        <v>93</v>
      </c>
      <c r="AK223" s="61">
        <v>89</v>
      </c>
      <c r="AL223" s="61">
        <v>93</v>
      </c>
      <c r="AM223" s="61">
        <v>91</v>
      </c>
      <c r="AN223" s="61">
        <v>97</v>
      </c>
      <c r="AO223" s="61">
        <v>92</v>
      </c>
      <c r="AP223" s="61">
        <v>94</v>
      </c>
      <c r="AQ223" s="89">
        <v>93</v>
      </c>
    </row>
    <row r="224" spans="9:43">
      <c r="I224" s="115">
        <f t="shared" si="4"/>
        <v>127</v>
      </c>
      <c r="J224" s="80">
        <v>66</v>
      </c>
      <c r="K224" s="61">
        <v>66</v>
      </c>
      <c r="L224" s="61">
        <v>66</v>
      </c>
      <c r="M224" s="61">
        <v>66</v>
      </c>
      <c r="N224" s="61">
        <v>67</v>
      </c>
      <c r="O224" s="61">
        <v>67</v>
      </c>
      <c r="P224" s="61">
        <v>67</v>
      </c>
      <c r="Q224" s="83">
        <v>67</v>
      </c>
      <c r="AI224" s="85">
        <f t="shared" si="5"/>
        <v>127</v>
      </c>
      <c r="AJ224" s="61">
        <v>93</v>
      </c>
      <c r="AK224" s="61">
        <v>88</v>
      </c>
      <c r="AL224" s="61">
        <v>93</v>
      </c>
      <c r="AM224" s="61">
        <v>90</v>
      </c>
      <c r="AN224" s="61">
        <v>95</v>
      </c>
      <c r="AO224" s="61">
        <v>91</v>
      </c>
      <c r="AP224" s="61">
        <v>94</v>
      </c>
      <c r="AQ224" s="89">
        <v>93</v>
      </c>
    </row>
    <row r="225" spans="9:43">
      <c r="I225" s="115">
        <f t="shared" si="4"/>
        <v>126</v>
      </c>
      <c r="J225" s="80">
        <v>66</v>
      </c>
      <c r="K225" s="61">
        <v>66</v>
      </c>
      <c r="L225" s="61">
        <v>66</v>
      </c>
      <c r="M225" s="61">
        <v>66</v>
      </c>
      <c r="N225" s="61">
        <v>67</v>
      </c>
      <c r="O225" s="61">
        <v>67</v>
      </c>
      <c r="P225" s="61">
        <v>67</v>
      </c>
      <c r="Q225" s="83">
        <v>67</v>
      </c>
      <c r="AI225" s="85">
        <f t="shared" si="5"/>
        <v>126</v>
      </c>
      <c r="AJ225" s="61">
        <v>92</v>
      </c>
      <c r="AK225" s="61">
        <v>88</v>
      </c>
      <c r="AL225" s="61">
        <v>93</v>
      </c>
      <c r="AM225" s="61">
        <v>90</v>
      </c>
      <c r="AN225" s="61">
        <v>95</v>
      </c>
      <c r="AO225" s="61">
        <v>91</v>
      </c>
      <c r="AP225" s="61">
        <v>94</v>
      </c>
      <c r="AQ225" s="89">
        <v>93</v>
      </c>
    </row>
    <row r="226" spans="9:43">
      <c r="I226" s="115">
        <f t="shared" si="4"/>
        <v>125</v>
      </c>
      <c r="J226" s="80">
        <v>65</v>
      </c>
      <c r="K226" s="61">
        <v>65</v>
      </c>
      <c r="L226" s="61">
        <v>65</v>
      </c>
      <c r="M226" s="61">
        <v>65</v>
      </c>
      <c r="N226" s="61">
        <v>66</v>
      </c>
      <c r="O226" s="61">
        <v>66</v>
      </c>
      <c r="P226" s="61">
        <v>66</v>
      </c>
      <c r="Q226" s="83">
        <v>67</v>
      </c>
      <c r="AI226" s="85">
        <f t="shared" si="5"/>
        <v>125</v>
      </c>
      <c r="AJ226" s="61">
        <v>92</v>
      </c>
      <c r="AK226" s="61">
        <v>87</v>
      </c>
      <c r="AL226" s="61">
        <v>92</v>
      </c>
      <c r="AM226" s="61">
        <v>89</v>
      </c>
      <c r="AN226" s="61">
        <v>94</v>
      </c>
      <c r="AO226" s="61">
        <v>91</v>
      </c>
      <c r="AP226" s="61">
        <v>92</v>
      </c>
      <c r="AQ226" s="89">
        <v>93</v>
      </c>
    </row>
    <row r="227" spans="9:43">
      <c r="I227" s="115">
        <f t="shared" si="4"/>
        <v>124</v>
      </c>
      <c r="J227" s="80">
        <v>65</v>
      </c>
      <c r="K227" s="61">
        <v>65</v>
      </c>
      <c r="L227" s="61">
        <v>65</v>
      </c>
      <c r="M227" s="61">
        <v>65</v>
      </c>
      <c r="N227" s="61">
        <v>66</v>
      </c>
      <c r="O227" s="61">
        <v>66</v>
      </c>
      <c r="P227" s="61">
        <v>66</v>
      </c>
      <c r="Q227" s="83">
        <v>66</v>
      </c>
      <c r="AI227" s="85">
        <f t="shared" si="5"/>
        <v>124</v>
      </c>
      <c r="AJ227" s="61">
        <v>90</v>
      </c>
      <c r="AK227" s="61">
        <v>87</v>
      </c>
      <c r="AL227" s="61">
        <v>92</v>
      </c>
      <c r="AM227" s="61">
        <v>89</v>
      </c>
      <c r="AN227" s="61">
        <v>94</v>
      </c>
      <c r="AO227" s="61">
        <v>91</v>
      </c>
      <c r="AP227" s="61">
        <v>92</v>
      </c>
      <c r="AQ227" s="89">
        <v>93</v>
      </c>
    </row>
    <row r="228" spans="9:43">
      <c r="I228" s="115">
        <f t="shared" si="4"/>
        <v>123</v>
      </c>
      <c r="J228" s="80">
        <v>64</v>
      </c>
      <c r="K228" s="61">
        <v>64</v>
      </c>
      <c r="L228" s="61">
        <v>64</v>
      </c>
      <c r="M228" s="61">
        <v>64</v>
      </c>
      <c r="N228" s="61">
        <v>65</v>
      </c>
      <c r="O228" s="61">
        <v>65</v>
      </c>
      <c r="P228" s="61">
        <v>65</v>
      </c>
      <c r="Q228" s="83">
        <v>66</v>
      </c>
      <c r="AI228" s="85">
        <f t="shared" si="5"/>
        <v>123</v>
      </c>
      <c r="AJ228" s="61">
        <v>90</v>
      </c>
      <c r="AK228" s="61">
        <v>87</v>
      </c>
      <c r="AL228" s="61">
        <v>90</v>
      </c>
      <c r="AM228" s="61">
        <v>86</v>
      </c>
      <c r="AN228" s="61">
        <v>94</v>
      </c>
      <c r="AO228" s="61">
        <v>90</v>
      </c>
      <c r="AP228" s="61">
        <v>91</v>
      </c>
      <c r="AQ228" s="89">
        <v>93</v>
      </c>
    </row>
    <row r="229" spans="9:43">
      <c r="I229" s="115">
        <f t="shared" si="4"/>
        <v>122</v>
      </c>
      <c r="J229" s="80">
        <v>64</v>
      </c>
      <c r="K229" s="61">
        <v>64</v>
      </c>
      <c r="L229" s="61">
        <v>64</v>
      </c>
      <c r="M229" s="61">
        <v>64</v>
      </c>
      <c r="N229" s="61">
        <v>65</v>
      </c>
      <c r="O229" s="61">
        <v>65</v>
      </c>
      <c r="P229" s="61">
        <v>65</v>
      </c>
      <c r="Q229" s="83">
        <v>65</v>
      </c>
      <c r="AI229" s="85">
        <f t="shared" si="5"/>
        <v>122</v>
      </c>
      <c r="AJ229" s="61">
        <v>87</v>
      </c>
      <c r="AK229" s="61">
        <v>87</v>
      </c>
      <c r="AL229" s="61">
        <v>90</v>
      </c>
      <c r="AM229" s="61">
        <v>86</v>
      </c>
      <c r="AN229" s="61">
        <v>94</v>
      </c>
      <c r="AO229" s="61">
        <v>90</v>
      </c>
      <c r="AP229" s="61">
        <v>91</v>
      </c>
      <c r="AQ229" s="89">
        <v>91</v>
      </c>
    </row>
    <row r="230" spans="9:43">
      <c r="I230" s="115">
        <f t="shared" si="4"/>
        <v>121</v>
      </c>
      <c r="J230" s="80">
        <v>63</v>
      </c>
      <c r="K230" s="61">
        <v>63</v>
      </c>
      <c r="L230" s="61">
        <v>63</v>
      </c>
      <c r="M230" s="61">
        <v>63</v>
      </c>
      <c r="N230" s="61">
        <v>64</v>
      </c>
      <c r="O230" s="61">
        <v>64</v>
      </c>
      <c r="P230" s="61">
        <v>64</v>
      </c>
      <c r="Q230" s="83">
        <v>65</v>
      </c>
      <c r="AI230" s="85">
        <f t="shared" si="5"/>
        <v>121</v>
      </c>
      <c r="AJ230" s="61">
        <v>87</v>
      </c>
      <c r="AK230" s="61">
        <v>87</v>
      </c>
      <c r="AL230" s="61">
        <v>88</v>
      </c>
      <c r="AM230" s="61">
        <v>85</v>
      </c>
      <c r="AN230" s="61">
        <v>93</v>
      </c>
      <c r="AO230" s="61">
        <v>89</v>
      </c>
      <c r="AP230" s="61">
        <v>90</v>
      </c>
      <c r="AQ230" s="89">
        <v>91</v>
      </c>
    </row>
    <row r="231" spans="9:43">
      <c r="I231" s="115">
        <f t="shared" si="4"/>
        <v>120</v>
      </c>
      <c r="J231" s="80">
        <v>63</v>
      </c>
      <c r="K231" s="61">
        <v>63</v>
      </c>
      <c r="L231" s="61">
        <v>63</v>
      </c>
      <c r="M231" s="61">
        <v>63</v>
      </c>
      <c r="N231" s="61">
        <v>64</v>
      </c>
      <c r="O231" s="61">
        <v>64</v>
      </c>
      <c r="P231" s="61">
        <v>64</v>
      </c>
      <c r="Q231" s="83">
        <v>64</v>
      </c>
      <c r="AI231" s="85">
        <f t="shared" si="5"/>
        <v>120</v>
      </c>
      <c r="AJ231" s="61">
        <v>86</v>
      </c>
      <c r="AK231" s="61">
        <v>87</v>
      </c>
      <c r="AL231" s="61">
        <v>88</v>
      </c>
      <c r="AM231" s="61">
        <v>85</v>
      </c>
      <c r="AN231" s="61">
        <v>93</v>
      </c>
      <c r="AO231" s="61">
        <v>89</v>
      </c>
      <c r="AP231" s="61">
        <v>90</v>
      </c>
      <c r="AQ231" s="89">
        <v>91</v>
      </c>
    </row>
    <row r="232" spans="9:43">
      <c r="I232" s="115">
        <f t="shared" si="4"/>
        <v>119</v>
      </c>
      <c r="J232" s="80">
        <v>62</v>
      </c>
      <c r="K232" s="61">
        <v>62</v>
      </c>
      <c r="L232" s="61">
        <v>62</v>
      </c>
      <c r="M232" s="61">
        <v>62</v>
      </c>
      <c r="N232" s="61">
        <v>63</v>
      </c>
      <c r="O232" s="61">
        <v>63</v>
      </c>
      <c r="P232" s="61">
        <v>63</v>
      </c>
      <c r="Q232" s="83">
        <v>64</v>
      </c>
      <c r="AI232" s="85">
        <f t="shared" si="5"/>
        <v>119</v>
      </c>
      <c r="AJ232" s="61">
        <v>86</v>
      </c>
      <c r="AK232" s="61">
        <v>83</v>
      </c>
      <c r="AL232" s="61">
        <v>88</v>
      </c>
      <c r="AM232" s="61">
        <v>84</v>
      </c>
      <c r="AN232" s="61">
        <v>93</v>
      </c>
      <c r="AO232" s="61">
        <v>88</v>
      </c>
      <c r="AP232" s="61">
        <v>90</v>
      </c>
      <c r="AQ232" s="89">
        <v>91</v>
      </c>
    </row>
    <row r="233" spans="9:43">
      <c r="I233" s="115">
        <f t="shared" si="4"/>
        <v>118</v>
      </c>
      <c r="J233" s="80">
        <v>62</v>
      </c>
      <c r="K233" s="61">
        <v>62</v>
      </c>
      <c r="L233" s="61">
        <v>62</v>
      </c>
      <c r="M233" s="61">
        <v>62</v>
      </c>
      <c r="N233" s="61">
        <v>63</v>
      </c>
      <c r="O233" s="61">
        <v>63</v>
      </c>
      <c r="P233" s="61">
        <v>63</v>
      </c>
      <c r="Q233" s="83">
        <v>64</v>
      </c>
      <c r="AI233" s="85">
        <f t="shared" si="5"/>
        <v>118</v>
      </c>
      <c r="AJ233" s="61">
        <v>86</v>
      </c>
      <c r="AK233" s="61">
        <v>83</v>
      </c>
      <c r="AL233" s="61">
        <v>88</v>
      </c>
      <c r="AM233" s="61">
        <v>84</v>
      </c>
      <c r="AN233" s="61">
        <v>93</v>
      </c>
      <c r="AO233" s="61">
        <v>88</v>
      </c>
      <c r="AP233" s="61">
        <v>90</v>
      </c>
      <c r="AQ233" s="89">
        <v>91</v>
      </c>
    </row>
    <row r="234" spans="9:43">
      <c r="I234" s="115">
        <f t="shared" si="4"/>
        <v>117</v>
      </c>
      <c r="J234" s="80">
        <v>61</v>
      </c>
      <c r="K234" s="61">
        <v>61</v>
      </c>
      <c r="L234" s="61">
        <v>61</v>
      </c>
      <c r="M234" s="61">
        <v>61</v>
      </c>
      <c r="N234" s="61">
        <v>63</v>
      </c>
      <c r="O234" s="61">
        <v>63</v>
      </c>
      <c r="P234" s="61">
        <v>63</v>
      </c>
      <c r="Q234" s="83">
        <v>63</v>
      </c>
      <c r="AI234" s="85">
        <f t="shared" si="5"/>
        <v>117</v>
      </c>
      <c r="AJ234" s="61">
        <v>86</v>
      </c>
      <c r="AK234" s="61">
        <v>83</v>
      </c>
      <c r="AL234" s="61">
        <v>87</v>
      </c>
      <c r="AM234" s="61">
        <v>82</v>
      </c>
      <c r="AN234" s="61">
        <v>93</v>
      </c>
      <c r="AO234" s="61">
        <v>88</v>
      </c>
      <c r="AP234" s="61">
        <v>90</v>
      </c>
      <c r="AQ234" s="89">
        <v>89</v>
      </c>
    </row>
    <row r="235" spans="9:43">
      <c r="I235" s="115">
        <f t="shared" si="4"/>
        <v>116</v>
      </c>
      <c r="J235" s="80">
        <v>61</v>
      </c>
      <c r="K235" s="61">
        <v>61</v>
      </c>
      <c r="L235" s="61">
        <v>61</v>
      </c>
      <c r="M235" s="61">
        <v>61</v>
      </c>
      <c r="N235" s="61">
        <v>62</v>
      </c>
      <c r="O235" s="61">
        <v>62</v>
      </c>
      <c r="P235" s="61">
        <v>62</v>
      </c>
      <c r="Q235" s="83">
        <v>63</v>
      </c>
      <c r="AI235" s="85">
        <f t="shared" si="5"/>
        <v>116</v>
      </c>
      <c r="AJ235" s="61">
        <v>86</v>
      </c>
      <c r="AK235" s="61">
        <v>83</v>
      </c>
      <c r="AL235" s="61">
        <v>87</v>
      </c>
      <c r="AM235" s="61">
        <v>82</v>
      </c>
      <c r="AN235" s="61">
        <v>92</v>
      </c>
      <c r="AO235" s="61">
        <v>87</v>
      </c>
      <c r="AP235" s="61">
        <v>90</v>
      </c>
      <c r="AQ235" s="89">
        <v>89</v>
      </c>
    </row>
    <row r="236" spans="9:43">
      <c r="I236" s="115">
        <f t="shared" si="4"/>
        <v>115</v>
      </c>
      <c r="J236" s="80">
        <v>61</v>
      </c>
      <c r="K236" s="61">
        <v>61</v>
      </c>
      <c r="L236" s="61">
        <v>61</v>
      </c>
      <c r="M236" s="61">
        <v>61</v>
      </c>
      <c r="N236" s="61">
        <v>62</v>
      </c>
      <c r="O236" s="61">
        <v>62</v>
      </c>
      <c r="P236" s="61">
        <v>62</v>
      </c>
      <c r="Q236" s="83">
        <v>62</v>
      </c>
      <c r="AI236" s="85">
        <f t="shared" si="5"/>
        <v>115</v>
      </c>
      <c r="AJ236" s="61">
        <v>86</v>
      </c>
      <c r="AK236" s="61">
        <v>83</v>
      </c>
      <c r="AL236" s="61">
        <v>87</v>
      </c>
      <c r="AM236" s="61">
        <v>82</v>
      </c>
      <c r="AN236" s="61">
        <v>92</v>
      </c>
      <c r="AO236" s="61">
        <v>87</v>
      </c>
      <c r="AP236" s="61">
        <v>90</v>
      </c>
      <c r="AQ236" s="89">
        <v>88</v>
      </c>
    </row>
    <row r="237" spans="9:43">
      <c r="I237" s="115">
        <f t="shared" ref="I237:I291" si="6">I236-1</f>
        <v>114</v>
      </c>
      <c r="J237" s="80">
        <v>60</v>
      </c>
      <c r="K237" s="61">
        <v>60</v>
      </c>
      <c r="L237" s="61">
        <v>60</v>
      </c>
      <c r="M237" s="61">
        <v>60</v>
      </c>
      <c r="N237" s="61">
        <v>61</v>
      </c>
      <c r="O237" s="61">
        <v>61</v>
      </c>
      <c r="P237" s="61">
        <v>61</v>
      </c>
      <c r="Q237" s="83">
        <v>62</v>
      </c>
      <c r="AI237" s="85">
        <f t="shared" ref="AI237:AI291" si="7">AI236-1</f>
        <v>114</v>
      </c>
      <c r="AJ237" s="61">
        <v>83</v>
      </c>
      <c r="AK237" s="61">
        <v>81</v>
      </c>
      <c r="AL237" s="61">
        <v>85</v>
      </c>
      <c r="AM237" s="61">
        <v>81</v>
      </c>
      <c r="AN237" s="61">
        <v>91</v>
      </c>
      <c r="AO237" s="61">
        <v>86</v>
      </c>
      <c r="AP237" s="61">
        <v>89</v>
      </c>
      <c r="AQ237" s="89">
        <v>88</v>
      </c>
    </row>
    <row r="238" spans="9:43">
      <c r="I238" s="115">
        <f t="shared" si="6"/>
        <v>113</v>
      </c>
      <c r="J238" s="80">
        <v>60</v>
      </c>
      <c r="K238" s="61">
        <v>60</v>
      </c>
      <c r="L238" s="61">
        <v>60</v>
      </c>
      <c r="M238" s="61">
        <v>60</v>
      </c>
      <c r="N238" s="61">
        <v>61</v>
      </c>
      <c r="O238" s="61">
        <v>61</v>
      </c>
      <c r="P238" s="61">
        <v>61</v>
      </c>
      <c r="Q238" s="83">
        <v>61</v>
      </c>
      <c r="AI238" s="85">
        <f t="shared" si="7"/>
        <v>113</v>
      </c>
      <c r="AJ238" s="61">
        <v>83</v>
      </c>
      <c r="AK238" s="61">
        <v>81</v>
      </c>
      <c r="AL238" s="61">
        <v>85</v>
      </c>
      <c r="AM238" s="61">
        <v>81</v>
      </c>
      <c r="AN238" s="61">
        <v>91</v>
      </c>
      <c r="AO238" s="61">
        <v>86</v>
      </c>
      <c r="AP238" s="61">
        <v>89</v>
      </c>
      <c r="AQ238" s="89">
        <v>88</v>
      </c>
    </row>
    <row r="239" spans="9:43">
      <c r="I239" s="115">
        <f t="shared" si="6"/>
        <v>112</v>
      </c>
      <c r="J239" s="80">
        <v>59</v>
      </c>
      <c r="K239" s="61">
        <v>59</v>
      </c>
      <c r="L239" s="61">
        <v>59</v>
      </c>
      <c r="M239" s="61">
        <v>59</v>
      </c>
      <c r="N239" s="61">
        <v>60</v>
      </c>
      <c r="O239" s="61">
        <v>60</v>
      </c>
      <c r="P239" s="61">
        <v>60</v>
      </c>
      <c r="Q239" s="83">
        <v>61</v>
      </c>
      <c r="AI239" s="85">
        <f t="shared" si="7"/>
        <v>112</v>
      </c>
      <c r="AJ239" s="61">
        <v>80</v>
      </c>
      <c r="AK239" s="61">
        <v>81</v>
      </c>
      <c r="AL239" s="61">
        <v>82</v>
      </c>
      <c r="AM239" s="61">
        <v>79</v>
      </c>
      <c r="AN239" s="61">
        <v>91</v>
      </c>
      <c r="AO239" s="61">
        <v>84</v>
      </c>
      <c r="AP239" s="61">
        <v>86</v>
      </c>
      <c r="AQ239" s="89">
        <v>88</v>
      </c>
    </row>
    <row r="240" spans="9:43">
      <c r="I240" s="115">
        <f t="shared" si="6"/>
        <v>111</v>
      </c>
      <c r="J240" s="80">
        <v>59</v>
      </c>
      <c r="K240" s="61">
        <v>59</v>
      </c>
      <c r="L240" s="61">
        <v>59</v>
      </c>
      <c r="M240" s="61">
        <v>59</v>
      </c>
      <c r="N240" s="61">
        <v>60</v>
      </c>
      <c r="O240" s="61">
        <v>60</v>
      </c>
      <c r="P240" s="61">
        <v>60</v>
      </c>
      <c r="Q240" s="83">
        <v>60</v>
      </c>
      <c r="AI240" s="85">
        <f t="shared" si="7"/>
        <v>111</v>
      </c>
      <c r="AJ240" s="61">
        <v>80</v>
      </c>
      <c r="AK240" s="61">
        <v>81</v>
      </c>
      <c r="AL240" s="61">
        <v>82</v>
      </c>
      <c r="AM240" s="61">
        <v>79</v>
      </c>
      <c r="AN240" s="61">
        <v>91</v>
      </c>
      <c r="AO240" s="61">
        <v>84</v>
      </c>
      <c r="AP240" s="61">
        <v>86</v>
      </c>
      <c r="AQ240" s="89">
        <v>87</v>
      </c>
    </row>
    <row r="241" spans="9:43">
      <c r="I241" s="115">
        <f t="shared" si="6"/>
        <v>110</v>
      </c>
      <c r="J241" s="80">
        <v>58</v>
      </c>
      <c r="K241" s="61">
        <v>58</v>
      </c>
      <c r="L241" s="61">
        <v>58</v>
      </c>
      <c r="M241" s="61">
        <v>58</v>
      </c>
      <c r="N241" s="61">
        <v>59</v>
      </c>
      <c r="O241" s="61">
        <v>59</v>
      </c>
      <c r="P241" s="61">
        <v>59</v>
      </c>
      <c r="Q241" s="83">
        <v>60</v>
      </c>
      <c r="AI241" s="85">
        <f t="shared" si="7"/>
        <v>110</v>
      </c>
      <c r="AJ241" s="61">
        <v>80</v>
      </c>
      <c r="AK241" s="61">
        <v>77</v>
      </c>
      <c r="AL241" s="61">
        <v>80</v>
      </c>
      <c r="AM241" s="61">
        <v>79</v>
      </c>
      <c r="AN241" s="61">
        <v>90</v>
      </c>
      <c r="AO241" s="61">
        <v>84</v>
      </c>
      <c r="AP241" s="61">
        <v>83</v>
      </c>
      <c r="AQ241" s="89">
        <v>87</v>
      </c>
    </row>
    <row r="242" spans="9:43">
      <c r="I242" s="115">
        <f t="shared" si="6"/>
        <v>109</v>
      </c>
      <c r="J242" s="80">
        <v>58</v>
      </c>
      <c r="K242" s="61">
        <v>58</v>
      </c>
      <c r="L242" s="61">
        <v>58</v>
      </c>
      <c r="M242" s="61">
        <v>58</v>
      </c>
      <c r="N242" s="61">
        <v>59</v>
      </c>
      <c r="O242" s="61">
        <v>59</v>
      </c>
      <c r="P242" s="61">
        <v>59</v>
      </c>
      <c r="Q242" s="83">
        <v>60</v>
      </c>
      <c r="AI242" s="85">
        <f t="shared" si="7"/>
        <v>109</v>
      </c>
      <c r="AJ242" s="61">
        <v>80</v>
      </c>
      <c r="AK242" s="61">
        <v>77</v>
      </c>
      <c r="AL242" s="61">
        <v>80</v>
      </c>
      <c r="AM242" s="61">
        <v>79</v>
      </c>
      <c r="AN242" s="61">
        <v>90</v>
      </c>
      <c r="AO242" s="61">
        <v>84</v>
      </c>
      <c r="AP242" s="61">
        <v>83</v>
      </c>
      <c r="AQ242" s="89">
        <v>87</v>
      </c>
    </row>
    <row r="243" spans="9:43">
      <c r="I243" s="115">
        <f t="shared" si="6"/>
        <v>108</v>
      </c>
      <c r="J243" s="80">
        <v>57</v>
      </c>
      <c r="K243" s="61">
        <v>57</v>
      </c>
      <c r="L243" s="61">
        <v>57</v>
      </c>
      <c r="M243" s="61">
        <v>57</v>
      </c>
      <c r="N243" s="61">
        <v>58</v>
      </c>
      <c r="O243" s="61">
        <v>58</v>
      </c>
      <c r="P243" s="61">
        <v>58</v>
      </c>
      <c r="Q243" s="83">
        <v>59</v>
      </c>
      <c r="AI243" s="85">
        <f t="shared" si="7"/>
        <v>108</v>
      </c>
      <c r="AJ243" s="61">
        <v>79</v>
      </c>
      <c r="AK243" s="61">
        <v>75</v>
      </c>
      <c r="AL243" s="61">
        <v>77</v>
      </c>
      <c r="AM243" s="61">
        <v>76</v>
      </c>
      <c r="AN243" s="61">
        <v>88</v>
      </c>
      <c r="AO243" s="61">
        <v>83</v>
      </c>
      <c r="AP243" s="61">
        <v>81</v>
      </c>
      <c r="AQ243" s="89">
        <v>84</v>
      </c>
    </row>
    <row r="244" spans="9:43">
      <c r="I244" s="115">
        <f t="shared" si="6"/>
        <v>107</v>
      </c>
      <c r="J244" s="80">
        <v>57</v>
      </c>
      <c r="K244" s="61">
        <v>57</v>
      </c>
      <c r="L244" s="61">
        <v>57</v>
      </c>
      <c r="M244" s="61">
        <v>57</v>
      </c>
      <c r="N244" s="61">
        <v>58</v>
      </c>
      <c r="O244" s="61">
        <v>58</v>
      </c>
      <c r="P244" s="61">
        <v>58</v>
      </c>
      <c r="Q244" s="83">
        <v>59</v>
      </c>
      <c r="AI244" s="85">
        <f t="shared" si="7"/>
        <v>107</v>
      </c>
      <c r="AJ244" s="61">
        <v>79</v>
      </c>
      <c r="AK244" s="61">
        <v>75</v>
      </c>
      <c r="AL244" s="61">
        <v>77</v>
      </c>
      <c r="AM244" s="61">
        <v>76</v>
      </c>
      <c r="AN244" s="61">
        <v>88</v>
      </c>
      <c r="AO244" s="61">
        <v>83</v>
      </c>
      <c r="AP244" s="61">
        <v>81</v>
      </c>
      <c r="AQ244" s="89">
        <v>84</v>
      </c>
    </row>
    <row r="245" spans="9:43">
      <c r="I245" s="115">
        <f t="shared" si="6"/>
        <v>106</v>
      </c>
      <c r="J245" s="80">
        <v>56</v>
      </c>
      <c r="K245" s="61">
        <v>56</v>
      </c>
      <c r="L245" s="61">
        <v>56</v>
      </c>
      <c r="M245" s="61">
        <v>56</v>
      </c>
      <c r="N245" s="61">
        <v>57</v>
      </c>
      <c r="O245" s="61">
        <v>57</v>
      </c>
      <c r="P245" s="61">
        <v>57</v>
      </c>
      <c r="Q245" s="83">
        <v>58</v>
      </c>
      <c r="AI245" s="85">
        <f t="shared" si="7"/>
        <v>106</v>
      </c>
      <c r="AJ245" s="61">
        <v>75</v>
      </c>
      <c r="AK245" s="61">
        <v>72</v>
      </c>
      <c r="AL245" s="61">
        <v>75</v>
      </c>
      <c r="AM245" s="61">
        <v>73</v>
      </c>
      <c r="AN245" s="61">
        <v>86</v>
      </c>
      <c r="AO245" s="61">
        <v>81</v>
      </c>
      <c r="AP245" s="61">
        <v>80</v>
      </c>
      <c r="AQ245" s="89">
        <v>82</v>
      </c>
    </row>
    <row r="246" spans="9:43">
      <c r="I246" s="115">
        <f t="shared" si="6"/>
        <v>105</v>
      </c>
      <c r="J246" s="80">
        <v>56</v>
      </c>
      <c r="K246" s="61">
        <v>56</v>
      </c>
      <c r="L246" s="61">
        <v>56</v>
      </c>
      <c r="M246" s="61">
        <v>56</v>
      </c>
      <c r="N246" s="61">
        <v>57</v>
      </c>
      <c r="O246" s="61">
        <v>57</v>
      </c>
      <c r="P246" s="61">
        <v>57</v>
      </c>
      <c r="Q246" s="83">
        <v>58</v>
      </c>
      <c r="AI246" s="85">
        <f t="shared" si="7"/>
        <v>105</v>
      </c>
      <c r="AJ246" s="61">
        <v>75</v>
      </c>
      <c r="AK246" s="61">
        <v>72</v>
      </c>
      <c r="AL246" s="61">
        <v>75</v>
      </c>
      <c r="AM246" s="61">
        <v>73</v>
      </c>
      <c r="AN246" s="61">
        <v>86</v>
      </c>
      <c r="AO246" s="61">
        <v>81</v>
      </c>
      <c r="AP246" s="61">
        <v>80</v>
      </c>
      <c r="AQ246" s="89">
        <v>82</v>
      </c>
    </row>
    <row r="247" spans="9:43">
      <c r="I247" s="115">
        <f t="shared" si="6"/>
        <v>104</v>
      </c>
      <c r="J247" s="80">
        <v>55</v>
      </c>
      <c r="K247" s="61">
        <v>55</v>
      </c>
      <c r="L247" s="61">
        <v>55</v>
      </c>
      <c r="M247" s="61">
        <v>55</v>
      </c>
      <c r="N247" s="61">
        <v>56</v>
      </c>
      <c r="O247" s="61">
        <v>56</v>
      </c>
      <c r="P247" s="61">
        <v>56</v>
      </c>
      <c r="Q247" s="83">
        <v>57</v>
      </c>
      <c r="AI247" s="85">
        <f t="shared" si="7"/>
        <v>104</v>
      </c>
      <c r="AJ247" s="61">
        <v>73</v>
      </c>
      <c r="AK247" s="61">
        <v>68</v>
      </c>
      <c r="AL247" s="61">
        <v>71</v>
      </c>
      <c r="AM247" s="61">
        <v>73</v>
      </c>
      <c r="AN247" s="61">
        <v>86</v>
      </c>
      <c r="AO247" s="61">
        <v>80</v>
      </c>
      <c r="AP247" s="61">
        <v>75</v>
      </c>
      <c r="AQ247" s="89">
        <v>80</v>
      </c>
    </row>
    <row r="248" spans="9:43">
      <c r="I248" s="115">
        <f t="shared" si="6"/>
        <v>103</v>
      </c>
      <c r="J248" s="80">
        <v>55</v>
      </c>
      <c r="K248" s="61">
        <v>55</v>
      </c>
      <c r="L248" s="61">
        <v>55</v>
      </c>
      <c r="M248" s="61">
        <v>55</v>
      </c>
      <c r="N248" s="61">
        <v>56</v>
      </c>
      <c r="O248" s="61">
        <v>56</v>
      </c>
      <c r="P248" s="61">
        <v>56</v>
      </c>
      <c r="Q248" s="83">
        <v>57</v>
      </c>
      <c r="AI248" s="85">
        <f t="shared" si="7"/>
        <v>103</v>
      </c>
      <c r="AJ248" s="61">
        <v>73</v>
      </c>
      <c r="AK248" s="61">
        <v>68</v>
      </c>
      <c r="AL248" s="61">
        <v>71</v>
      </c>
      <c r="AM248" s="61">
        <v>73</v>
      </c>
      <c r="AN248" s="61">
        <v>86</v>
      </c>
      <c r="AO248" s="61">
        <v>80</v>
      </c>
      <c r="AP248" s="61">
        <v>75</v>
      </c>
      <c r="AQ248" s="89">
        <v>80</v>
      </c>
    </row>
    <row r="249" spans="9:43">
      <c r="I249" s="115">
        <f t="shared" si="6"/>
        <v>102</v>
      </c>
      <c r="J249" s="80">
        <v>55</v>
      </c>
      <c r="K249" s="61">
        <v>55</v>
      </c>
      <c r="L249" s="61">
        <v>55</v>
      </c>
      <c r="M249" s="61">
        <v>55</v>
      </c>
      <c r="N249" s="61">
        <v>56</v>
      </c>
      <c r="O249" s="61">
        <v>56</v>
      </c>
      <c r="P249" s="61">
        <v>56</v>
      </c>
      <c r="Q249" s="83">
        <v>57</v>
      </c>
      <c r="AI249" s="85">
        <f t="shared" si="7"/>
        <v>102</v>
      </c>
      <c r="AJ249" s="61">
        <v>73</v>
      </c>
      <c r="AK249" s="61">
        <v>68</v>
      </c>
      <c r="AL249" s="61">
        <v>71</v>
      </c>
      <c r="AM249" s="61">
        <v>73</v>
      </c>
      <c r="AN249" s="61">
        <v>86</v>
      </c>
      <c r="AO249" s="61">
        <v>80</v>
      </c>
      <c r="AP249" s="61">
        <v>71</v>
      </c>
      <c r="AQ249" s="89">
        <v>80</v>
      </c>
    </row>
    <row r="250" spans="9:43">
      <c r="I250" s="115">
        <f t="shared" si="6"/>
        <v>101</v>
      </c>
      <c r="J250" s="80">
        <v>54</v>
      </c>
      <c r="K250" s="61">
        <v>54</v>
      </c>
      <c r="L250" s="61">
        <v>54</v>
      </c>
      <c r="M250" s="61">
        <v>54</v>
      </c>
      <c r="N250" s="61">
        <v>55</v>
      </c>
      <c r="O250" s="61">
        <v>55</v>
      </c>
      <c r="P250" s="61">
        <v>55</v>
      </c>
      <c r="Q250" s="83">
        <v>56</v>
      </c>
      <c r="AI250" s="85">
        <f t="shared" si="7"/>
        <v>101</v>
      </c>
      <c r="AJ250" s="61">
        <v>70</v>
      </c>
      <c r="AK250" s="61">
        <v>65</v>
      </c>
      <c r="AL250" s="61">
        <v>69</v>
      </c>
      <c r="AM250" s="61">
        <v>69</v>
      </c>
      <c r="AN250" s="61">
        <v>83</v>
      </c>
      <c r="AO250" s="61">
        <v>77</v>
      </c>
      <c r="AP250" s="61">
        <v>71</v>
      </c>
      <c r="AQ250" s="89">
        <v>77</v>
      </c>
    </row>
    <row r="251" spans="9:43">
      <c r="I251" s="115">
        <f t="shared" si="6"/>
        <v>100</v>
      </c>
      <c r="J251" s="80">
        <v>54</v>
      </c>
      <c r="K251" s="61">
        <v>54</v>
      </c>
      <c r="L251" s="61">
        <v>54</v>
      </c>
      <c r="M251" s="61">
        <v>54</v>
      </c>
      <c r="N251" s="61">
        <v>55</v>
      </c>
      <c r="O251" s="61">
        <v>55</v>
      </c>
      <c r="P251" s="61">
        <v>55</v>
      </c>
      <c r="Q251" s="83">
        <v>56</v>
      </c>
      <c r="AI251" s="85">
        <f t="shared" si="7"/>
        <v>100</v>
      </c>
      <c r="AJ251" s="61">
        <v>70</v>
      </c>
      <c r="AK251" s="61">
        <v>65</v>
      </c>
      <c r="AL251" s="61">
        <v>69</v>
      </c>
      <c r="AM251" s="61">
        <v>69</v>
      </c>
      <c r="AN251" s="61">
        <v>83</v>
      </c>
      <c r="AO251" s="61">
        <v>77</v>
      </c>
      <c r="AP251" s="61">
        <v>71</v>
      </c>
      <c r="AQ251" s="89">
        <v>77</v>
      </c>
    </row>
    <row r="252" spans="9:43">
      <c r="I252" s="115">
        <f t="shared" si="6"/>
        <v>99</v>
      </c>
      <c r="J252" s="80">
        <v>53</v>
      </c>
      <c r="K252" s="61">
        <v>53</v>
      </c>
      <c r="L252" s="61">
        <v>54</v>
      </c>
      <c r="M252" s="61">
        <v>54</v>
      </c>
      <c r="N252" s="61">
        <v>54</v>
      </c>
      <c r="O252" s="61">
        <v>54</v>
      </c>
      <c r="P252" s="61">
        <v>54</v>
      </c>
      <c r="Q252" s="83">
        <v>55</v>
      </c>
      <c r="AI252" s="85">
        <f t="shared" si="7"/>
        <v>99</v>
      </c>
      <c r="AJ252" s="61">
        <v>66</v>
      </c>
      <c r="AK252" s="61">
        <v>63</v>
      </c>
      <c r="AL252" s="61">
        <v>69</v>
      </c>
      <c r="AM252" s="61">
        <v>69</v>
      </c>
      <c r="AN252" s="61">
        <v>81</v>
      </c>
      <c r="AO252" s="61">
        <v>71</v>
      </c>
      <c r="AP252" s="61">
        <v>69</v>
      </c>
      <c r="AQ252" s="89">
        <v>76</v>
      </c>
    </row>
    <row r="253" spans="9:43">
      <c r="I253" s="115">
        <f t="shared" si="6"/>
        <v>98</v>
      </c>
      <c r="J253" s="80">
        <v>53</v>
      </c>
      <c r="K253" s="61">
        <v>53</v>
      </c>
      <c r="L253" s="61">
        <v>53</v>
      </c>
      <c r="M253" s="61">
        <v>53</v>
      </c>
      <c r="N253" s="61">
        <v>54</v>
      </c>
      <c r="O253" s="61">
        <v>54</v>
      </c>
      <c r="P253" s="61">
        <v>54</v>
      </c>
      <c r="Q253" s="83">
        <v>55</v>
      </c>
      <c r="AI253" s="85">
        <f t="shared" si="7"/>
        <v>98</v>
      </c>
      <c r="AJ253" s="61">
        <v>66</v>
      </c>
      <c r="AK253" s="61">
        <v>63</v>
      </c>
      <c r="AL253" s="61">
        <v>63</v>
      </c>
      <c r="AM253" s="61">
        <v>65</v>
      </c>
      <c r="AN253" s="61">
        <v>81</v>
      </c>
      <c r="AO253" s="61">
        <v>71</v>
      </c>
      <c r="AP253" s="61">
        <v>69</v>
      </c>
      <c r="AQ253" s="89">
        <v>76</v>
      </c>
    </row>
    <row r="254" spans="9:43">
      <c r="I254" s="115">
        <f t="shared" si="6"/>
        <v>97</v>
      </c>
      <c r="J254" s="80">
        <v>52</v>
      </c>
      <c r="K254" s="61">
        <v>52</v>
      </c>
      <c r="L254" s="61">
        <v>53</v>
      </c>
      <c r="M254" s="61">
        <v>53</v>
      </c>
      <c r="N254" s="61">
        <v>53</v>
      </c>
      <c r="O254" s="61">
        <v>53</v>
      </c>
      <c r="P254" s="61">
        <v>53</v>
      </c>
      <c r="Q254" s="83">
        <v>54</v>
      </c>
      <c r="AI254" s="85">
        <f t="shared" si="7"/>
        <v>97</v>
      </c>
      <c r="AJ254" s="61">
        <v>62</v>
      </c>
      <c r="AK254" s="61">
        <v>62</v>
      </c>
      <c r="AL254" s="61">
        <v>63</v>
      </c>
      <c r="AM254" s="61">
        <v>65</v>
      </c>
      <c r="AN254" s="61">
        <v>76</v>
      </c>
      <c r="AO254" s="61">
        <v>69</v>
      </c>
      <c r="AP254" s="61">
        <v>66</v>
      </c>
      <c r="AQ254" s="89">
        <v>74</v>
      </c>
    </row>
    <row r="255" spans="9:43">
      <c r="I255" s="115">
        <f t="shared" si="6"/>
        <v>96</v>
      </c>
      <c r="J255" s="80">
        <v>51</v>
      </c>
      <c r="K255" s="61">
        <v>51</v>
      </c>
      <c r="L255" s="61">
        <v>52</v>
      </c>
      <c r="M255" s="61">
        <v>52</v>
      </c>
      <c r="N255" s="61">
        <v>53</v>
      </c>
      <c r="O255" s="61">
        <v>53</v>
      </c>
      <c r="P255" s="61">
        <v>53</v>
      </c>
      <c r="Q255" s="83">
        <v>54</v>
      </c>
      <c r="AI255" s="85">
        <f t="shared" si="7"/>
        <v>96</v>
      </c>
      <c r="AJ255" s="61">
        <v>61</v>
      </c>
      <c r="AK255" s="61">
        <v>60</v>
      </c>
      <c r="AL255" s="61">
        <v>62</v>
      </c>
      <c r="AM255" s="61">
        <v>63</v>
      </c>
      <c r="AN255" s="61">
        <v>76</v>
      </c>
      <c r="AO255" s="61">
        <v>69</v>
      </c>
      <c r="AP255" s="61">
        <v>66</v>
      </c>
      <c r="AQ255" s="89">
        <v>74</v>
      </c>
    </row>
    <row r="256" spans="9:43">
      <c r="I256" s="115">
        <f t="shared" si="6"/>
        <v>95</v>
      </c>
      <c r="J256" s="80">
        <v>51</v>
      </c>
      <c r="K256" s="61">
        <v>51</v>
      </c>
      <c r="L256" s="61">
        <v>52</v>
      </c>
      <c r="M256" s="61">
        <v>52</v>
      </c>
      <c r="N256" s="61">
        <v>52</v>
      </c>
      <c r="O256" s="61">
        <v>52</v>
      </c>
      <c r="P256" s="61">
        <v>52</v>
      </c>
      <c r="Q256" s="83">
        <v>54</v>
      </c>
      <c r="AI256" s="85">
        <f t="shared" si="7"/>
        <v>95</v>
      </c>
      <c r="AJ256" s="61">
        <v>61</v>
      </c>
      <c r="AK256" s="61">
        <v>60</v>
      </c>
      <c r="AL256" s="61">
        <v>62</v>
      </c>
      <c r="AM256" s="61">
        <v>63</v>
      </c>
      <c r="AN256" s="61">
        <v>71</v>
      </c>
      <c r="AO256" s="61">
        <v>66</v>
      </c>
      <c r="AP256" s="61">
        <v>64</v>
      </c>
      <c r="AQ256" s="89">
        <v>74</v>
      </c>
    </row>
    <row r="257" spans="9:43">
      <c r="I257" s="115">
        <f t="shared" si="6"/>
        <v>94</v>
      </c>
      <c r="J257" s="80">
        <v>50</v>
      </c>
      <c r="K257" s="61">
        <v>50</v>
      </c>
      <c r="L257" s="61">
        <v>52</v>
      </c>
      <c r="M257" s="61">
        <v>52</v>
      </c>
      <c r="N257" s="61">
        <v>52</v>
      </c>
      <c r="O257" s="61">
        <v>52</v>
      </c>
      <c r="P257" s="61">
        <v>52</v>
      </c>
      <c r="Q257" s="83">
        <v>53</v>
      </c>
      <c r="AI257" s="85">
        <f t="shared" si="7"/>
        <v>94</v>
      </c>
      <c r="AJ257" s="61">
        <v>56</v>
      </c>
      <c r="AK257" s="61">
        <v>58</v>
      </c>
      <c r="AL257" s="61">
        <v>62</v>
      </c>
      <c r="AM257" s="61">
        <v>63</v>
      </c>
      <c r="AN257" s="61">
        <v>71</v>
      </c>
      <c r="AO257" s="61">
        <v>66</v>
      </c>
      <c r="AP257" s="61">
        <v>64</v>
      </c>
      <c r="AQ257" s="89">
        <v>70</v>
      </c>
    </row>
    <row r="258" spans="9:43">
      <c r="I258" s="115">
        <f t="shared" si="6"/>
        <v>93</v>
      </c>
      <c r="J258" s="80">
        <v>50</v>
      </c>
      <c r="K258" s="61">
        <v>50</v>
      </c>
      <c r="L258" s="61">
        <v>51</v>
      </c>
      <c r="M258" s="61">
        <v>51</v>
      </c>
      <c r="N258" s="61">
        <v>51</v>
      </c>
      <c r="O258" s="61">
        <v>51</v>
      </c>
      <c r="P258" s="61">
        <v>51</v>
      </c>
      <c r="Q258" s="83">
        <v>53</v>
      </c>
      <c r="AI258" s="85">
        <f t="shared" si="7"/>
        <v>93</v>
      </c>
      <c r="AJ258" s="61">
        <v>56</v>
      </c>
      <c r="AK258" s="61">
        <v>58</v>
      </c>
      <c r="AL258" s="61">
        <v>61</v>
      </c>
      <c r="AM258" s="61">
        <v>61</v>
      </c>
      <c r="AN258" s="61">
        <v>69</v>
      </c>
      <c r="AO258" s="61">
        <v>63</v>
      </c>
      <c r="AP258" s="61">
        <v>61</v>
      </c>
      <c r="AQ258" s="89">
        <v>70</v>
      </c>
    </row>
    <row r="259" spans="9:43">
      <c r="I259" s="115">
        <f t="shared" si="6"/>
        <v>92</v>
      </c>
      <c r="J259" s="80">
        <v>49</v>
      </c>
      <c r="K259" s="61">
        <v>49</v>
      </c>
      <c r="L259" s="61">
        <v>51</v>
      </c>
      <c r="M259" s="61">
        <v>51</v>
      </c>
      <c r="N259" s="61">
        <v>51</v>
      </c>
      <c r="O259" s="61">
        <v>51</v>
      </c>
      <c r="P259" s="61">
        <v>51</v>
      </c>
      <c r="Q259" s="83">
        <v>52</v>
      </c>
      <c r="AI259" s="85">
        <f t="shared" si="7"/>
        <v>92</v>
      </c>
      <c r="AJ259" s="61">
        <v>55</v>
      </c>
      <c r="AK259" s="61">
        <v>52</v>
      </c>
      <c r="AL259" s="61">
        <v>60</v>
      </c>
      <c r="AM259" s="61">
        <v>61</v>
      </c>
      <c r="AN259" s="61">
        <v>69</v>
      </c>
      <c r="AO259" s="61">
        <v>63</v>
      </c>
      <c r="AP259" s="61">
        <v>61</v>
      </c>
      <c r="AQ259" s="89">
        <v>68</v>
      </c>
    </row>
    <row r="260" spans="9:43">
      <c r="I260" s="115">
        <f t="shared" si="6"/>
        <v>91</v>
      </c>
      <c r="J260" s="80">
        <v>49</v>
      </c>
      <c r="K260" s="61">
        <v>49</v>
      </c>
      <c r="L260" s="61">
        <v>50</v>
      </c>
      <c r="M260" s="61">
        <v>50</v>
      </c>
      <c r="N260" s="61">
        <v>50</v>
      </c>
      <c r="O260" s="61">
        <v>50</v>
      </c>
      <c r="P260" s="61">
        <v>51</v>
      </c>
      <c r="Q260" s="83">
        <v>52</v>
      </c>
      <c r="AI260" s="85">
        <f t="shared" si="7"/>
        <v>91</v>
      </c>
      <c r="AJ260" s="61">
        <v>55</v>
      </c>
      <c r="AK260" s="61">
        <v>52</v>
      </c>
      <c r="AL260" s="61">
        <v>57</v>
      </c>
      <c r="AM260" s="61">
        <v>59</v>
      </c>
      <c r="AN260" s="61">
        <v>65</v>
      </c>
      <c r="AO260" s="61">
        <v>60</v>
      </c>
      <c r="AP260" s="61">
        <v>61</v>
      </c>
      <c r="AQ260" s="89">
        <v>68</v>
      </c>
    </row>
    <row r="261" spans="9:43">
      <c r="I261" s="115">
        <f t="shared" si="6"/>
        <v>90</v>
      </c>
      <c r="J261" s="80">
        <v>49</v>
      </c>
      <c r="K261" s="61">
        <v>49</v>
      </c>
      <c r="L261" s="61">
        <v>50</v>
      </c>
      <c r="M261" s="61">
        <v>50</v>
      </c>
      <c r="N261" s="61">
        <v>50</v>
      </c>
      <c r="O261" s="61">
        <v>50</v>
      </c>
      <c r="P261" s="61">
        <v>50</v>
      </c>
      <c r="Q261" s="83">
        <v>51</v>
      </c>
      <c r="AI261" s="85">
        <f t="shared" si="7"/>
        <v>90</v>
      </c>
      <c r="AJ261" s="61">
        <v>55</v>
      </c>
      <c r="AK261" s="61">
        <v>52</v>
      </c>
      <c r="AL261" s="61">
        <v>57</v>
      </c>
      <c r="AM261" s="61">
        <v>59</v>
      </c>
      <c r="AN261" s="61">
        <v>65</v>
      </c>
      <c r="AO261" s="61">
        <v>60</v>
      </c>
      <c r="AP261" s="61">
        <v>58</v>
      </c>
      <c r="AQ261" s="89">
        <v>66</v>
      </c>
    </row>
    <row r="262" spans="9:43">
      <c r="I262" s="115">
        <f t="shared" si="6"/>
        <v>89</v>
      </c>
      <c r="J262" s="80">
        <v>48</v>
      </c>
      <c r="K262" s="61">
        <v>48</v>
      </c>
      <c r="L262" s="61">
        <v>49</v>
      </c>
      <c r="M262" s="61">
        <v>50</v>
      </c>
      <c r="N262" s="61">
        <v>49</v>
      </c>
      <c r="O262" s="61">
        <v>49</v>
      </c>
      <c r="P262" s="61">
        <v>50</v>
      </c>
      <c r="Q262" s="83">
        <v>51</v>
      </c>
      <c r="AI262" s="85">
        <f t="shared" si="7"/>
        <v>89</v>
      </c>
      <c r="AJ262" s="61">
        <v>50</v>
      </c>
      <c r="AK262" s="61">
        <v>47</v>
      </c>
      <c r="AL262" s="61">
        <v>55</v>
      </c>
      <c r="AM262" s="61">
        <v>59</v>
      </c>
      <c r="AN262" s="61">
        <v>64</v>
      </c>
      <c r="AO262" s="61">
        <v>58</v>
      </c>
      <c r="AP262" s="61">
        <v>58</v>
      </c>
      <c r="AQ262" s="89">
        <v>66</v>
      </c>
    </row>
    <row r="263" spans="9:43">
      <c r="I263" s="115">
        <f t="shared" si="6"/>
        <v>88</v>
      </c>
      <c r="J263" s="80">
        <v>47</v>
      </c>
      <c r="K263" s="61">
        <v>47</v>
      </c>
      <c r="L263" s="61">
        <v>49</v>
      </c>
      <c r="M263" s="61">
        <v>49</v>
      </c>
      <c r="N263" s="61">
        <v>49</v>
      </c>
      <c r="O263" s="61">
        <v>49</v>
      </c>
      <c r="P263" s="61">
        <v>49</v>
      </c>
      <c r="Q263" s="83">
        <v>51</v>
      </c>
      <c r="AI263" s="85">
        <f t="shared" si="7"/>
        <v>88</v>
      </c>
      <c r="AJ263" s="61">
        <v>47</v>
      </c>
      <c r="AK263" s="61">
        <v>45</v>
      </c>
      <c r="AL263" s="61">
        <v>55</v>
      </c>
      <c r="AM263" s="61">
        <v>56</v>
      </c>
      <c r="AN263" s="61">
        <v>64</v>
      </c>
      <c r="AO263" s="61">
        <v>58</v>
      </c>
      <c r="AP263" s="61">
        <v>54</v>
      </c>
      <c r="AQ263" s="89">
        <v>66</v>
      </c>
    </row>
    <row r="264" spans="9:43">
      <c r="I264" s="115">
        <f t="shared" si="6"/>
        <v>87</v>
      </c>
      <c r="J264" s="80">
        <v>47</v>
      </c>
      <c r="K264" s="61">
        <v>47</v>
      </c>
      <c r="L264" s="61">
        <v>49</v>
      </c>
      <c r="M264" s="61">
        <v>49</v>
      </c>
      <c r="N264" s="61">
        <v>49</v>
      </c>
      <c r="O264" s="61">
        <v>49</v>
      </c>
      <c r="P264" s="61">
        <v>49</v>
      </c>
      <c r="Q264" s="83">
        <v>50</v>
      </c>
      <c r="AI264" s="85">
        <f t="shared" si="7"/>
        <v>87</v>
      </c>
      <c r="AJ264" s="61">
        <v>47</v>
      </c>
      <c r="AK264" s="61">
        <v>45</v>
      </c>
      <c r="AL264" s="61">
        <v>55</v>
      </c>
      <c r="AM264" s="61">
        <v>56</v>
      </c>
      <c r="AN264" s="61">
        <v>64</v>
      </c>
      <c r="AO264" s="61">
        <v>58</v>
      </c>
      <c r="AP264" s="61">
        <v>54</v>
      </c>
      <c r="AQ264" s="89">
        <v>62</v>
      </c>
    </row>
    <row r="265" spans="9:43">
      <c r="I265" s="115">
        <f t="shared" si="6"/>
        <v>86</v>
      </c>
      <c r="J265" s="80">
        <v>47</v>
      </c>
      <c r="K265" s="61">
        <v>47</v>
      </c>
      <c r="L265" s="61">
        <v>48</v>
      </c>
      <c r="M265" s="61">
        <v>48</v>
      </c>
      <c r="N265" s="61">
        <v>48</v>
      </c>
      <c r="O265" s="61">
        <v>48</v>
      </c>
      <c r="P265" s="61">
        <v>48</v>
      </c>
      <c r="Q265" s="83">
        <v>50</v>
      </c>
      <c r="AI265" s="85">
        <f t="shared" si="7"/>
        <v>86</v>
      </c>
      <c r="AJ265" s="61">
        <v>47</v>
      </c>
      <c r="AK265" s="61">
        <v>45</v>
      </c>
      <c r="AL265" s="61">
        <v>54</v>
      </c>
      <c r="AM265" s="61">
        <v>54</v>
      </c>
      <c r="AN265" s="61">
        <v>60</v>
      </c>
      <c r="AO265" s="61">
        <v>52</v>
      </c>
      <c r="AP265" s="61">
        <v>48</v>
      </c>
      <c r="AQ265" s="89">
        <v>62</v>
      </c>
    </row>
    <row r="266" spans="9:43">
      <c r="I266" s="115">
        <f t="shared" si="6"/>
        <v>85</v>
      </c>
      <c r="J266" s="80">
        <v>47</v>
      </c>
      <c r="K266" s="61">
        <v>47</v>
      </c>
      <c r="L266" s="61">
        <v>48</v>
      </c>
      <c r="M266" s="61">
        <v>48</v>
      </c>
      <c r="N266" s="61">
        <v>48</v>
      </c>
      <c r="O266" s="61">
        <v>48</v>
      </c>
      <c r="P266" s="61">
        <v>48</v>
      </c>
      <c r="Q266" s="83">
        <v>49</v>
      </c>
      <c r="AI266" s="85">
        <f t="shared" si="7"/>
        <v>85</v>
      </c>
      <c r="AJ266" s="61">
        <v>47</v>
      </c>
      <c r="AK266" s="61">
        <v>45</v>
      </c>
      <c r="AL266" s="61">
        <v>54</v>
      </c>
      <c r="AM266" s="61">
        <v>54</v>
      </c>
      <c r="AN266" s="61">
        <v>60</v>
      </c>
      <c r="AO266" s="61">
        <v>52</v>
      </c>
      <c r="AP266" s="61">
        <v>48</v>
      </c>
      <c r="AQ266" s="89">
        <v>60</v>
      </c>
    </row>
    <row r="267" spans="9:43">
      <c r="I267" s="115">
        <f t="shared" si="6"/>
        <v>84</v>
      </c>
      <c r="J267" s="80">
        <v>46</v>
      </c>
      <c r="K267" s="61">
        <v>46</v>
      </c>
      <c r="L267" s="61">
        <v>47</v>
      </c>
      <c r="M267" s="61">
        <v>48</v>
      </c>
      <c r="N267" s="61">
        <v>47</v>
      </c>
      <c r="O267" s="61">
        <v>47</v>
      </c>
      <c r="P267" s="61">
        <v>47</v>
      </c>
      <c r="Q267" s="83">
        <v>49</v>
      </c>
      <c r="AI267" s="85">
        <f t="shared" si="7"/>
        <v>84</v>
      </c>
      <c r="AJ267" s="61">
        <v>41</v>
      </c>
      <c r="AK267" s="61">
        <v>39</v>
      </c>
      <c r="AL267" s="61">
        <v>50</v>
      </c>
      <c r="AM267" s="61">
        <v>54</v>
      </c>
      <c r="AN267" s="61">
        <v>52</v>
      </c>
      <c r="AO267" s="61">
        <v>46</v>
      </c>
      <c r="AP267" s="61">
        <v>45</v>
      </c>
      <c r="AQ267" s="89">
        <v>60</v>
      </c>
    </row>
    <row r="268" spans="9:43">
      <c r="I268" s="115">
        <f t="shared" si="6"/>
        <v>83</v>
      </c>
      <c r="J268" s="80">
        <v>45</v>
      </c>
      <c r="K268" s="61">
        <v>45</v>
      </c>
      <c r="L268" s="61">
        <v>47</v>
      </c>
      <c r="M268" s="61">
        <v>47</v>
      </c>
      <c r="N268" s="61">
        <v>47</v>
      </c>
      <c r="O268" s="61">
        <v>47</v>
      </c>
      <c r="P268" s="61">
        <v>47</v>
      </c>
      <c r="Q268" s="83">
        <v>48</v>
      </c>
      <c r="AI268" s="85">
        <f t="shared" si="7"/>
        <v>83</v>
      </c>
      <c r="AJ268" s="61">
        <v>40</v>
      </c>
      <c r="AK268" s="61">
        <v>38</v>
      </c>
      <c r="AL268" s="61">
        <v>50</v>
      </c>
      <c r="AM268" s="61">
        <v>49</v>
      </c>
      <c r="AN268" s="61">
        <v>52</v>
      </c>
      <c r="AO268" s="61">
        <v>46</v>
      </c>
      <c r="AP268" s="61">
        <v>45</v>
      </c>
      <c r="AQ268" s="89">
        <v>54</v>
      </c>
    </row>
    <row r="269" spans="9:43">
      <c r="I269" s="115">
        <f t="shared" si="6"/>
        <v>82</v>
      </c>
      <c r="J269" s="80">
        <v>45</v>
      </c>
      <c r="K269" s="61">
        <v>45</v>
      </c>
      <c r="L269" s="61">
        <v>46</v>
      </c>
      <c r="M269" s="61">
        <v>47</v>
      </c>
      <c r="N269" s="61">
        <v>46</v>
      </c>
      <c r="O269" s="61">
        <v>46</v>
      </c>
      <c r="P269" s="61">
        <v>46</v>
      </c>
      <c r="Q269" s="83">
        <v>48</v>
      </c>
      <c r="AI269" s="85">
        <f t="shared" si="7"/>
        <v>82</v>
      </c>
      <c r="AJ269" s="61">
        <v>40</v>
      </c>
      <c r="AK269" s="61">
        <v>38</v>
      </c>
      <c r="AL269" s="61">
        <v>46</v>
      </c>
      <c r="AM269" s="61">
        <v>49</v>
      </c>
      <c r="AN269" s="61">
        <v>48</v>
      </c>
      <c r="AO269" s="61">
        <v>43</v>
      </c>
      <c r="AP269" s="61">
        <v>43</v>
      </c>
      <c r="AQ269" s="89">
        <v>54</v>
      </c>
    </row>
    <row r="270" spans="9:43">
      <c r="I270" s="115">
        <f t="shared" si="6"/>
        <v>81</v>
      </c>
      <c r="J270" s="80">
        <v>45</v>
      </c>
      <c r="K270" s="61">
        <v>45</v>
      </c>
      <c r="L270" s="61">
        <v>46</v>
      </c>
      <c r="M270" s="61">
        <v>46</v>
      </c>
      <c r="N270" s="61">
        <v>46</v>
      </c>
      <c r="O270" s="61">
        <v>46</v>
      </c>
      <c r="P270" s="61">
        <v>46</v>
      </c>
      <c r="Q270" s="83">
        <v>47</v>
      </c>
      <c r="AI270" s="85">
        <f t="shared" si="7"/>
        <v>81</v>
      </c>
      <c r="AJ270" s="61">
        <v>40</v>
      </c>
      <c r="AK270" s="61">
        <v>38</v>
      </c>
      <c r="AL270" s="61">
        <v>46</v>
      </c>
      <c r="AM270" s="61">
        <v>45</v>
      </c>
      <c r="AN270" s="61">
        <v>48</v>
      </c>
      <c r="AO270" s="61">
        <v>43</v>
      </c>
      <c r="AP270" s="61">
        <v>43</v>
      </c>
      <c r="AQ270" s="89">
        <v>50</v>
      </c>
    </row>
    <row r="271" spans="9:43">
      <c r="I271" s="115">
        <f t="shared" si="6"/>
        <v>80</v>
      </c>
      <c r="J271" s="80">
        <v>44</v>
      </c>
      <c r="K271" s="61">
        <v>44</v>
      </c>
      <c r="L271" s="61">
        <v>46</v>
      </c>
      <c r="M271" s="61">
        <v>46</v>
      </c>
      <c r="N271" s="61">
        <v>45</v>
      </c>
      <c r="O271" s="61">
        <v>45</v>
      </c>
      <c r="P271" s="61">
        <v>46</v>
      </c>
      <c r="Q271" s="83">
        <v>47</v>
      </c>
      <c r="AI271" s="85">
        <f t="shared" si="7"/>
        <v>80</v>
      </c>
      <c r="AJ271" s="61">
        <v>34</v>
      </c>
      <c r="AK271" s="61">
        <v>34</v>
      </c>
      <c r="AL271" s="61">
        <v>46</v>
      </c>
      <c r="AM271" s="61">
        <v>45</v>
      </c>
      <c r="AN271" s="61">
        <v>42</v>
      </c>
      <c r="AO271" s="61">
        <v>35</v>
      </c>
      <c r="AP271" s="61">
        <v>43</v>
      </c>
      <c r="AQ271" s="89">
        <v>50</v>
      </c>
    </row>
    <row r="272" spans="9:43">
      <c r="I272" s="115">
        <f t="shared" si="6"/>
        <v>79</v>
      </c>
      <c r="J272" s="80">
        <v>44</v>
      </c>
      <c r="K272" s="61">
        <v>44</v>
      </c>
      <c r="L272" s="61">
        <v>45</v>
      </c>
      <c r="M272" s="61">
        <v>46</v>
      </c>
      <c r="N272" s="61">
        <v>45</v>
      </c>
      <c r="O272" s="61">
        <v>45</v>
      </c>
      <c r="P272" s="61">
        <v>45</v>
      </c>
      <c r="Q272" s="83">
        <v>47</v>
      </c>
      <c r="AI272" s="85">
        <f t="shared" si="7"/>
        <v>79</v>
      </c>
      <c r="AJ272" s="61">
        <v>34</v>
      </c>
      <c r="AK272" s="61">
        <v>34</v>
      </c>
      <c r="AL272" s="61">
        <v>42</v>
      </c>
      <c r="AM272" s="61">
        <v>45</v>
      </c>
      <c r="AN272" s="61">
        <v>42</v>
      </c>
      <c r="AO272" s="61">
        <v>35</v>
      </c>
      <c r="AP272" s="61">
        <v>40</v>
      </c>
      <c r="AQ272" s="89">
        <v>50</v>
      </c>
    </row>
    <row r="273" spans="9:43">
      <c r="I273" s="115">
        <f t="shared" si="6"/>
        <v>78</v>
      </c>
      <c r="J273" s="80">
        <v>43</v>
      </c>
      <c r="K273" s="61">
        <v>43</v>
      </c>
      <c r="L273" s="61">
        <v>45</v>
      </c>
      <c r="M273" s="61">
        <v>45</v>
      </c>
      <c r="N273" s="61">
        <v>45</v>
      </c>
      <c r="O273" s="61">
        <v>45</v>
      </c>
      <c r="P273" s="61">
        <v>45</v>
      </c>
      <c r="Q273" s="83">
        <v>46</v>
      </c>
      <c r="AI273" s="85">
        <f t="shared" si="7"/>
        <v>78</v>
      </c>
      <c r="AJ273" s="61">
        <v>30</v>
      </c>
      <c r="AK273" s="61">
        <v>31</v>
      </c>
      <c r="AL273" s="61">
        <v>42</v>
      </c>
      <c r="AM273" s="61">
        <v>42</v>
      </c>
      <c r="AN273" s="61">
        <v>42</v>
      </c>
      <c r="AO273" s="61">
        <v>35</v>
      </c>
      <c r="AP273" s="61">
        <v>40</v>
      </c>
      <c r="AQ273" s="89">
        <v>48</v>
      </c>
    </row>
    <row r="274" spans="9:43">
      <c r="I274" s="115">
        <f t="shared" si="6"/>
        <v>77</v>
      </c>
      <c r="J274" s="80">
        <v>43</v>
      </c>
      <c r="K274" s="61">
        <v>43</v>
      </c>
      <c r="L274" s="61">
        <v>44</v>
      </c>
      <c r="M274" s="61">
        <v>45</v>
      </c>
      <c r="N274" s="61">
        <v>44</v>
      </c>
      <c r="O274" s="61">
        <v>44</v>
      </c>
      <c r="P274" s="61">
        <v>44</v>
      </c>
      <c r="Q274" s="83">
        <v>46</v>
      </c>
      <c r="AI274" s="85">
        <f t="shared" si="7"/>
        <v>77</v>
      </c>
      <c r="AJ274" s="61">
        <v>30</v>
      </c>
      <c r="AK274" s="61">
        <v>31</v>
      </c>
      <c r="AL274" s="61">
        <v>36</v>
      </c>
      <c r="AM274" s="61">
        <v>42</v>
      </c>
      <c r="AN274" s="61">
        <v>32</v>
      </c>
      <c r="AO274" s="61">
        <v>31</v>
      </c>
      <c r="AP274" s="61">
        <v>35</v>
      </c>
      <c r="AQ274" s="89">
        <v>48</v>
      </c>
    </row>
    <row r="275" spans="9:43">
      <c r="I275" s="115">
        <f t="shared" si="6"/>
        <v>76</v>
      </c>
      <c r="J275" s="80">
        <v>42</v>
      </c>
      <c r="K275" s="61">
        <v>43</v>
      </c>
      <c r="L275" s="61">
        <v>44</v>
      </c>
      <c r="M275" s="61">
        <v>45</v>
      </c>
      <c r="N275" s="61">
        <v>44</v>
      </c>
      <c r="O275" s="61">
        <v>44</v>
      </c>
      <c r="P275" s="61">
        <v>44</v>
      </c>
      <c r="Q275" s="83">
        <v>45</v>
      </c>
      <c r="AI275" s="85">
        <f t="shared" si="7"/>
        <v>76</v>
      </c>
      <c r="AJ275" s="61">
        <v>28</v>
      </c>
      <c r="AK275" s="61">
        <v>31</v>
      </c>
      <c r="AL275" s="61">
        <v>36</v>
      </c>
      <c r="AM275" s="61">
        <v>42</v>
      </c>
      <c r="AN275" s="61">
        <v>32</v>
      </c>
      <c r="AO275" s="61">
        <v>31</v>
      </c>
      <c r="AP275" s="61">
        <v>35</v>
      </c>
      <c r="AQ275" s="89">
        <v>43</v>
      </c>
    </row>
    <row r="276" spans="9:43">
      <c r="I276" s="115">
        <f t="shared" si="6"/>
        <v>75</v>
      </c>
      <c r="J276" s="80">
        <v>42</v>
      </c>
      <c r="K276" s="61">
        <v>42</v>
      </c>
      <c r="L276" s="61">
        <v>44</v>
      </c>
      <c r="M276" s="61">
        <v>44</v>
      </c>
      <c r="N276" s="61">
        <v>43</v>
      </c>
      <c r="O276" s="61">
        <v>43</v>
      </c>
      <c r="P276" s="61">
        <v>43</v>
      </c>
      <c r="Q276" s="83">
        <v>45</v>
      </c>
      <c r="AI276" s="85">
        <f t="shared" si="7"/>
        <v>75</v>
      </c>
      <c r="AJ276" s="61">
        <v>28</v>
      </c>
      <c r="AK276" s="61">
        <v>27</v>
      </c>
      <c r="AL276" s="61">
        <v>36</v>
      </c>
      <c r="AM276" s="61">
        <v>37</v>
      </c>
      <c r="AN276" s="61">
        <v>29</v>
      </c>
      <c r="AO276" s="61">
        <v>29</v>
      </c>
      <c r="AP276" s="61">
        <v>31</v>
      </c>
      <c r="AQ276" s="89">
        <v>43</v>
      </c>
    </row>
    <row r="277" spans="9:43">
      <c r="I277" s="115">
        <f t="shared" si="6"/>
        <v>74</v>
      </c>
      <c r="J277" s="80">
        <v>41</v>
      </c>
      <c r="K277" s="61">
        <v>42</v>
      </c>
      <c r="L277" s="61">
        <v>43</v>
      </c>
      <c r="M277" s="61">
        <v>44</v>
      </c>
      <c r="N277" s="61">
        <v>43</v>
      </c>
      <c r="O277" s="61">
        <v>43</v>
      </c>
      <c r="P277" s="61">
        <v>43</v>
      </c>
      <c r="Q277" s="83">
        <v>44</v>
      </c>
      <c r="AI277" s="85">
        <f t="shared" si="7"/>
        <v>74</v>
      </c>
      <c r="AJ277" s="61">
        <v>25</v>
      </c>
      <c r="AK277" s="61">
        <v>27</v>
      </c>
      <c r="AL277" s="61">
        <v>31</v>
      </c>
      <c r="AM277" s="61">
        <v>37</v>
      </c>
      <c r="AN277" s="61">
        <v>29</v>
      </c>
      <c r="AO277" s="61">
        <v>29</v>
      </c>
      <c r="AP277" s="61">
        <v>31</v>
      </c>
      <c r="AQ277" s="89">
        <v>36</v>
      </c>
    </row>
    <row r="278" spans="9:43">
      <c r="I278" s="115">
        <f t="shared" si="6"/>
        <v>73</v>
      </c>
      <c r="J278" s="80">
        <v>41</v>
      </c>
      <c r="K278" s="61">
        <v>41</v>
      </c>
      <c r="L278" s="61">
        <v>43</v>
      </c>
      <c r="M278" s="61">
        <v>43</v>
      </c>
      <c r="N278" s="61">
        <v>42</v>
      </c>
      <c r="O278" s="61">
        <v>42</v>
      </c>
      <c r="P278" s="61">
        <v>42</v>
      </c>
      <c r="Q278" s="83">
        <v>44</v>
      </c>
      <c r="AI278" s="85">
        <f t="shared" si="7"/>
        <v>73</v>
      </c>
      <c r="AJ278" s="61">
        <v>25</v>
      </c>
      <c r="AK278" s="61">
        <v>23</v>
      </c>
      <c r="AL278" s="61">
        <v>31</v>
      </c>
      <c r="AM278" s="61">
        <v>35</v>
      </c>
      <c r="AN278" s="61">
        <v>25</v>
      </c>
      <c r="AO278" s="61">
        <v>26</v>
      </c>
      <c r="AP278" s="61">
        <v>29</v>
      </c>
      <c r="AQ278" s="89">
        <v>36</v>
      </c>
    </row>
    <row r="279" spans="9:43">
      <c r="I279" s="115">
        <f t="shared" si="6"/>
        <v>72</v>
      </c>
      <c r="J279" s="80">
        <v>40</v>
      </c>
      <c r="K279" s="61">
        <v>41</v>
      </c>
      <c r="L279" s="61">
        <v>42</v>
      </c>
      <c r="M279" s="61">
        <v>43</v>
      </c>
      <c r="N279" s="61">
        <v>42</v>
      </c>
      <c r="O279" s="61">
        <v>42</v>
      </c>
      <c r="P279" s="61">
        <v>42</v>
      </c>
      <c r="Q279" s="83">
        <v>44</v>
      </c>
      <c r="AI279" s="85">
        <f t="shared" si="7"/>
        <v>72</v>
      </c>
      <c r="AJ279" s="61">
        <v>19</v>
      </c>
      <c r="AK279" s="61">
        <v>23</v>
      </c>
      <c r="AL279" s="61">
        <v>29</v>
      </c>
      <c r="AM279" s="61">
        <v>35</v>
      </c>
      <c r="AN279" s="61">
        <v>25</v>
      </c>
      <c r="AO279" s="61">
        <v>26</v>
      </c>
      <c r="AP279" s="61">
        <v>29</v>
      </c>
      <c r="AQ279" s="89">
        <v>36</v>
      </c>
    </row>
    <row r="280" spans="9:43">
      <c r="I280" s="115">
        <f t="shared" si="6"/>
        <v>71</v>
      </c>
      <c r="J280" s="80">
        <v>40</v>
      </c>
      <c r="K280" s="61">
        <v>41</v>
      </c>
      <c r="L280" s="61">
        <v>42</v>
      </c>
      <c r="M280" s="61">
        <v>43</v>
      </c>
      <c r="N280" s="61">
        <v>41</v>
      </c>
      <c r="O280" s="61">
        <v>41</v>
      </c>
      <c r="P280" s="61">
        <v>41</v>
      </c>
      <c r="Q280" s="83">
        <v>43</v>
      </c>
      <c r="AI280" s="85">
        <f t="shared" si="7"/>
        <v>71</v>
      </c>
      <c r="AJ280" s="61">
        <v>19</v>
      </c>
      <c r="AK280" s="61">
        <v>23</v>
      </c>
      <c r="AL280" s="61">
        <v>29</v>
      </c>
      <c r="AM280" s="61">
        <v>35</v>
      </c>
      <c r="AN280" s="61">
        <v>23</v>
      </c>
      <c r="AO280" s="61">
        <v>23</v>
      </c>
      <c r="AP280" s="61">
        <v>24</v>
      </c>
      <c r="AQ280" s="89">
        <v>32</v>
      </c>
    </row>
    <row r="281" spans="9:43">
      <c r="I281" s="115">
        <f t="shared" si="6"/>
        <v>70</v>
      </c>
      <c r="J281" s="80">
        <v>40</v>
      </c>
      <c r="K281" s="61">
        <v>40</v>
      </c>
      <c r="L281" s="61">
        <v>41</v>
      </c>
      <c r="M281" s="61">
        <v>42</v>
      </c>
      <c r="N281" s="61">
        <v>41</v>
      </c>
      <c r="O281" s="61">
        <v>41</v>
      </c>
      <c r="P281" s="61">
        <v>41</v>
      </c>
      <c r="Q281" s="83">
        <v>43</v>
      </c>
      <c r="AI281" s="85">
        <f t="shared" si="7"/>
        <v>70</v>
      </c>
      <c r="AJ281" s="61">
        <v>19</v>
      </c>
      <c r="AK281" s="61">
        <v>17</v>
      </c>
      <c r="AL281" s="61">
        <v>25</v>
      </c>
      <c r="AM281" s="61">
        <v>32</v>
      </c>
      <c r="AN281" s="61">
        <v>23</v>
      </c>
      <c r="AO281" s="61">
        <v>23</v>
      </c>
      <c r="AP281" s="61">
        <v>24</v>
      </c>
      <c r="AQ281" s="89">
        <v>32</v>
      </c>
    </row>
    <row r="282" spans="9:43">
      <c r="I282" s="115">
        <f t="shared" si="6"/>
        <v>69</v>
      </c>
      <c r="J282" s="80">
        <v>39</v>
      </c>
      <c r="K282" s="61">
        <v>40</v>
      </c>
      <c r="L282" s="61">
        <v>41</v>
      </c>
      <c r="M282" s="61">
        <v>42</v>
      </c>
      <c r="N282" s="61">
        <v>40</v>
      </c>
      <c r="O282" s="61">
        <v>40</v>
      </c>
      <c r="P282" s="61">
        <v>40</v>
      </c>
      <c r="Q282" s="83">
        <v>42</v>
      </c>
      <c r="AI282" s="85">
        <f t="shared" si="7"/>
        <v>69</v>
      </c>
      <c r="AJ282" s="61">
        <v>16</v>
      </c>
      <c r="AK282" s="61">
        <v>17</v>
      </c>
      <c r="AL282" s="61">
        <v>25</v>
      </c>
      <c r="AM282" s="61">
        <v>32</v>
      </c>
      <c r="AN282" s="61">
        <v>20</v>
      </c>
      <c r="AO282" s="61">
        <v>18</v>
      </c>
      <c r="AP282" s="61">
        <v>20</v>
      </c>
      <c r="AQ282" s="89">
        <v>26</v>
      </c>
    </row>
    <row r="283" spans="9:43">
      <c r="I283" s="115">
        <f t="shared" si="6"/>
        <v>68</v>
      </c>
      <c r="J283" s="80">
        <v>39</v>
      </c>
      <c r="K283" s="61">
        <v>39</v>
      </c>
      <c r="L283" s="61">
        <v>41</v>
      </c>
      <c r="M283" s="61">
        <v>41</v>
      </c>
      <c r="N283" s="61">
        <v>40</v>
      </c>
      <c r="O283" s="61">
        <v>40</v>
      </c>
      <c r="P283" s="61">
        <v>40</v>
      </c>
      <c r="Q283" s="83">
        <v>42</v>
      </c>
      <c r="AI283" s="85">
        <f t="shared" si="7"/>
        <v>68</v>
      </c>
      <c r="AJ283" s="61">
        <v>16</v>
      </c>
      <c r="AK283" s="61">
        <v>16</v>
      </c>
      <c r="AL283" s="61">
        <v>25</v>
      </c>
      <c r="AM283" s="61">
        <v>27</v>
      </c>
      <c r="AN283" s="61">
        <v>20</v>
      </c>
      <c r="AO283" s="61">
        <v>18</v>
      </c>
      <c r="AP283" s="61">
        <v>20</v>
      </c>
      <c r="AQ283" s="89">
        <v>26</v>
      </c>
    </row>
    <row r="284" spans="9:43">
      <c r="I284" s="115">
        <f t="shared" si="6"/>
        <v>67</v>
      </c>
      <c r="J284" s="80">
        <v>38</v>
      </c>
      <c r="K284" s="61">
        <v>39</v>
      </c>
      <c r="L284" s="61">
        <v>40</v>
      </c>
      <c r="M284" s="61">
        <v>41</v>
      </c>
      <c r="N284" s="61">
        <v>39</v>
      </c>
      <c r="O284" s="61">
        <v>39</v>
      </c>
      <c r="P284" s="61">
        <v>40</v>
      </c>
      <c r="Q284" s="83">
        <v>41</v>
      </c>
      <c r="AI284" s="85">
        <f t="shared" si="7"/>
        <v>67</v>
      </c>
      <c r="AJ284" s="61">
        <v>14</v>
      </c>
      <c r="AK284" s="61">
        <v>16</v>
      </c>
      <c r="AL284" s="61">
        <v>19</v>
      </c>
      <c r="AM284" s="61">
        <v>27</v>
      </c>
      <c r="AN284" s="61">
        <v>14</v>
      </c>
      <c r="AO284" s="61">
        <v>12</v>
      </c>
      <c r="AP284" s="61">
        <v>20</v>
      </c>
      <c r="AQ284" s="89">
        <v>21</v>
      </c>
    </row>
    <row r="285" spans="9:43">
      <c r="I285" s="115">
        <f t="shared" si="6"/>
        <v>66</v>
      </c>
      <c r="J285" s="80">
        <v>38</v>
      </c>
      <c r="K285" s="61">
        <v>39</v>
      </c>
      <c r="L285" s="61">
        <v>40</v>
      </c>
      <c r="M285" s="61">
        <v>41</v>
      </c>
      <c r="N285" s="61">
        <v>39</v>
      </c>
      <c r="O285" s="61">
        <v>39</v>
      </c>
      <c r="P285" s="61">
        <v>39</v>
      </c>
      <c r="Q285" s="83">
        <v>41</v>
      </c>
      <c r="AI285" s="85">
        <f t="shared" si="7"/>
        <v>66</v>
      </c>
      <c r="AJ285" s="61">
        <v>14</v>
      </c>
      <c r="AK285" s="61">
        <v>16</v>
      </c>
      <c r="AL285" s="61">
        <v>19</v>
      </c>
      <c r="AM285" s="61">
        <v>27</v>
      </c>
      <c r="AN285" s="61">
        <v>14</v>
      </c>
      <c r="AO285" s="61">
        <v>12</v>
      </c>
      <c r="AP285" s="61">
        <v>18</v>
      </c>
      <c r="AQ285" s="89">
        <v>21</v>
      </c>
    </row>
    <row r="286" spans="9:43">
      <c r="I286" s="115">
        <f t="shared" si="6"/>
        <v>65</v>
      </c>
      <c r="J286" s="80">
        <v>37</v>
      </c>
      <c r="K286" s="61">
        <v>38</v>
      </c>
      <c r="L286" s="61">
        <v>39</v>
      </c>
      <c r="M286" s="61">
        <v>40</v>
      </c>
      <c r="N286" s="61">
        <v>39</v>
      </c>
      <c r="O286" s="61">
        <v>39</v>
      </c>
      <c r="P286" s="61">
        <v>39</v>
      </c>
      <c r="Q286" s="83">
        <v>41</v>
      </c>
      <c r="AI286" s="85">
        <f t="shared" si="7"/>
        <v>65</v>
      </c>
      <c r="AJ286" s="61">
        <v>10</v>
      </c>
      <c r="AK286" s="61">
        <v>12</v>
      </c>
      <c r="AL286" s="61">
        <v>16</v>
      </c>
      <c r="AM286" s="61">
        <v>21</v>
      </c>
      <c r="AN286" s="61">
        <v>14</v>
      </c>
      <c r="AO286" s="61">
        <v>12</v>
      </c>
      <c r="AP286" s="61">
        <v>18</v>
      </c>
      <c r="AQ286" s="89">
        <v>21</v>
      </c>
    </row>
    <row r="287" spans="9:43">
      <c r="I287" s="115">
        <f t="shared" si="6"/>
        <v>64</v>
      </c>
      <c r="J287" s="80">
        <v>37</v>
      </c>
      <c r="K287" s="61">
        <v>38</v>
      </c>
      <c r="L287" s="61">
        <v>39</v>
      </c>
      <c r="M287" s="61">
        <v>40</v>
      </c>
      <c r="N287" s="61">
        <v>38</v>
      </c>
      <c r="O287" s="61">
        <v>38</v>
      </c>
      <c r="P287" s="61">
        <v>38</v>
      </c>
      <c r="Q287" s="83">
        <v>40</v>
      </c>
      <c r="AI287" s="85">
        <f t="shared" si="7"/>
        <v>64</v>
      </c>
      <c r="AJ287" s="61">
        <v>10</v>
      </c>
      <c r="AK287" s="61">
        <v>12</v>
      </c>
      <c r="AL287" s="61">
        <v>16</v>
      </c>
      <c r="AM287" s="61">
        <v>21</v>
      </c>
      <c r="AN287" s="61">
        <v>12</v>
      </c>
      <c r="AO287" s="61">
        <v>7</v>
      </c>
      <c r="AP287" s="61">
        <v>13</v>
      </c>
      <c r="AQ287" s="89">
        <v>13</v>
      </c>
    </row>
    <row r="288" spans="9:43">
      <c r="I288" s="115">
        <f t="shared" si="6"/>
        <v>63</v>
      </c>
      <c r="J288" s="80">
        <v>36</v>
      </c>
      <c r="K288" s="61">
        <v>37</v>
      </c>
      <c r="L288" s="61">
        <v>38</v>
      </c>
      <c r="M288" s="61">
        <v>39</v>
      </c>
      <c r="N288" s="61">
        <v>37</v>
      </c>
      <c r="O288" s="61">
        <v>37</v>
      </c>
      <c r="P288" s="61">
        <v>38</v>
      </c>
      <c r="Q288" s="83">
        <v>40</v>
      </c>
      <c r="AI288" s="85">
        <f t="shared" si="7"/>
        <v>63</v>
      </c>
      <c r="AJ288" s="61">
        <v>6</v>
      </c>
      <c r="AK288" s="61">
        <v>3</v>
      </c>
      <c r="AL288" s="61">
        <v>12</v>
      </c>
      <c r="AM288" s="61">
        <v>17</v>
      </c>
      <c r="AN288" s="61">
        <v>10</v>
      </c>
      <c r="AO288" s="61">
        <v>7</v>
      </c>
      <c r="AP288" s="61">
        <v>13</v>
      </c>
      <c r="AQ288" s="89">
        <v>13</v>
      </c>
    </row>
    <row r="289" spans="9:43">
      <c r="I289" s="115">
        <f t="shared" si="6"/>
        <v>62</v>
      </c>
      <c r="J289" s="80">
        <v>36</v>
      </c>
      <c r="K289" s="61">
        <v>37</v>
      </c>
      <c r="L289" s="61">
        <v>38</v>
      </c>
      <c r="M289" s="61">
        <v>39</v>
      </c>
      <c r="N289" s="61">
        <v>37</v>
      </c>
      <c r="O289" s="61">
        <v>37</v>
      </c>
      <c r="P289" s="61">
        <v>37</v>
      </c>
      <c r="Q289" s="83">
        <v>39</v>
      </c>
      <c r="AI289" s="85">
        <f t="shared" si="7"/>
        <v>62</v>
      </c>
      <c r="AJ289" s="61">
        <v>6</v>
      </c>
      <c r="AK289" s="61">
        <v>3</v>
      </c>
      <c r="AL289" s="61">
        <v>12</v>
      </c>
      <c r="AM289" s="61">
        <v>17</v>
      </c>
      <c r="AN289" s="61">
        <v>10</v>
      </c>
      <c r="AO289" s="61">
        <v>7</v>
      </c>
      <c r="AP289" s="61">
        <v>5</v>
      </c>
      <c r="AQ289" s="89">
        <v>8</v>
      </c>
    </row>
    <row r="290" spans="9:43">
      <c r="I290" s="115">
        <f t="shared" si="6"/>
        <v>61</v>
      </c>
      <c r="J290" s="80">
        <v>35</v>
      </c>
      <c r="K290" s="61">
        <v>36</v>
      </c>
      <c r="L290" s="61">
        <v>38</v>
      </c>
      <c r="M290" s="61">
        <v>39</v>
      </c>
      <c r="N290" s="61">
        <v>36</v>
      </c>
      <c r="O290" s="61">
        <v>36</v>
      </c>
      <c r="P290" s="61">
        <v>37</v>
      </c>
      <c r="Q290" s="83">
        <v>39</v>
      </c>
      <c r="AI290" s="85">
        <f t="shared" si="7"/>
        <v>61</v>
      </c>
      <c r="AJ290" s="61">
        <v>1</v>
      </c>
      <c r="AK290" s="61">
        <v>3</v>
      </c>
      <c r="AL290" s="61">
        <v>12</v>
      </c>
      <c r="AM290" s="61">
        <v>17</v>
      </c>
      <c r="AN290" s="61">
        <v>3</v>
      </c>
      <c r="AO290" s="61">
        <v>2</v>
      </c>
      <c r="AP290" s="61">
        <v>5</v>
      </c>
      <c r="AQ290" s="89">
        <v>8</v>
      </c>
    </row>
    <row r="291" spans="9:43" ht="15.75" thickBot="1">
      <c r="I291" s="123">
        <f t="shared" si="6"/>
        <v>60</v>
      </c>
      <c r="J291" s="125">
        <v>35</v>
      </c>
      <c r="K291" s="125">
        <v>36</v>
      </c>
      <c r="L291" s="125">
        <v>37</v>
      </c>
      <c r="M291" s="125">
        <v>38</v>
      </c>
      <c r="N291" s="125">
        <v>36</v>
      </c>
      <c r="O291" s="61">
        <v>36</v>
      </c>
      <c r="P291" s="125">
        <v>36</v>
      </c>
      <c r="Q291" s="141">
        <v>38</v>
      </c>
      <c r="AI291" s="102">
        <f t="shared" si="7"/>
        <v>60</v>
      </c>
      <c r="AJ291" s="105">
        <v>1</v>
      </c>
      <c r="AK291" s="105">
        <v>3</v>
      </c>
      <c r="AL291" s="105">
        <v>5</v>
      </c>
      <c r="AM291" s="105">
        <v>6</v>
      </c>
      <c r="AN291" s="105">
        <v>3</v>
      </c>
      <c r="AO291" s="105">
        <v>2</v>
      </c>
      <c r="AP291" s="105">
        <v>1</v>
      </c>
      <c r="AQ291" s="106">
        <v>4</v>
      </c>
    </row>
    <row r="292" spans="9:43" ht="16.5" thickTop="1" thickBot="1">
      <c r="I292" s="109" t="s">
        <v>78</v>
      </c>
      <c r="J292" s="110">
        <v>3</v>
      </c>
      <c r="K292" s="110">
        <v>2</v>
      </c>
      <c r="L292" s="110">
        <v>3</v>
      </c>
      <c r="M292" s="110">
        <v>2</v>
      </c>
      <c r="N292" s="110">
        <v>3</v>
      </c>
      <c r="O292" s="110">
        <v>3</v>
      </c>
      <c r="P292" s="110">
        <v>3</v>
      </c>
      <c r="Q292" s="111">
        <v>3</v>
      </c>
    </row>
    <row r="293" spans="9:43" ht="15.75" thickTop="1"/>
  </sheetData>
  <sheetProtection algorithmName="SHA-512" hashValue="sVVGz8HP08fDfB15Z8p2drNMrm8fxDQMsBQsESU97FQ9nnL6QXCFLFz0lrTHPl+wlUUdC3sdyBSFp+nBz4rPuA==" saltValue="crky/UIlWPvfLhRh+Pi6PQ==" spinCount="100000" sheet="1" objects="1" scenarios="1"/>
  <mergeCells count="80">
    <mergeCell ref="J5:M5"/>
    <mergeCell ref="N5:Q5"/>
    <mergeCell ref="J4:Q4"/>
    <mergeCell ref="F6:G6"/>
    <mergeCell ref="D4:E4"/>
    <mergeCell ref="R4:Y4"/>
    <mergeCell ref="R5:U5"/>
    <mergeCell ref="V5:Y5"/>
    <mergeCell ref="Z4:AG4"/>
    <mergeCell ref="Z5:AC5"/>
    <mergeCell ref="AD5:AG5"/>
    <mergeCell ref="J29:Q29"/>
    <mergeCell ref="R29:Y29"/>
    <mergeCell ref="Z29:AG29"/>
    <mergeCell ref="J30:M30"/>
    <mergeCell ref="N30:Q30"/>
    <mergeCell ref="R30:U30"/>
    <mergeCell ref="V30:Y30"/>
    <mergeCell ref="Z30:AC30"/>
    <mergeCell ref="AD30:AG30"/>
    <mergeCell ref="J54:Q54"/>
    <mergeCell ref="R54:Y54"/>
    <mergeCell ref="Z54:AG54"/>
    <mergeCell ref="J55:M55"/>
    <mergeCell ref="N55:Q55"/>
    <mergeCell ref="R55:U55"/>
    <mergeCell ref="V55:Y55"/>
    <mergeCell ref="Z55:AC55"/>
    <mergeCell ref="AD55:AG55"/>
    <mergeCell ref="AJ4:AQ4"/>
    <mergeCell ref="AR4:AY4"/>
    <mergeCell ref="AZ4:BG4"/>
    <mergeCell ref="AJ5:AM5"/>
    <mergeCell ref="AN5:AQ5"/>
    <mergeCell ref="AR5:AU5"/>
    <mergeCell ref="AV5:AY5"/>
    <mergeCell ref="AZ5:BC5"/>
    <mergeCell ref="BD5:BG5"/>
    <mergeCell ref="AJ29:AQ29"/>
    <mergeCell ref="AR29:AY29"/>
    <mergeCell ref="AZ29:BG29"/>
    <mergeCell ref="AJ30:AM30"/>
    <mergeCell ref="AN30:AQ30"/>
    <mergeCell ref="AR30:AU30"/>
    <mergeCell ref="AV30:AY30"/>
    <mergeCell ref="AZ30:BC30"/>
    <mergeCell ref="BD30:BG30"/>
    <mergeCell ref="AJ54:AQ54"/>
    <mergeCell ref="AR54:AY54"/>
    <mergeCell ref="AZ54:BG54"/>
    <mergeCell ref="AJ55:AM55"/>
    <mergeCell ref="AN55:AQ55"/>
    <mergeCell ref="AR55:AU55"/>
    <mergeCell ref="AV55:AY55"/>
    <mergeCell ref="AZ55:BC55"/>
    <mergeCell ref="BD55:BG55"/>
    <mergeCell ref="J79:Q79"/>
    <mergeCell ref="J80:M80"/>
    <mergeCell ref="N80:Q80"/>
    <mergeCell ref="J168:Q168"/>
    <mergeCell ref="J169:M169"/>
    <mergeCell ref="N169:Q169"/>
    <mergeCell ref="R79:Y79"/>
    <mergeCell ref="R80:U80"/>
    <mergeCell ref="V80:Y80"/>
    <mergeCell ref="Z79:AG79"/>
    <mergeCell ref="Z80:AC80"/>
    <mergeCell ref="AD80:AG80"/>
    <mergeCell ref="AZ79:BG79"/>
    <mergeCell ref="AJ80:AM80"/>
    <mergeCell ref="AN80:AQ80"/>
    <mergeCell ref="AR80:AU80"/>
    <mergeCell ref="AV80:AY80"/>
    <mergeCell ref="AZ80:BC80"/>
    <mergeCell ref="BD80:BG80"/>
    <mergeCell ref="AJ168:AQ168"/>
    <mergeCell ref="AJ169:AM169"/>
    <mergeCell ref="AN169:AQ169"/>
    <mergeCell ref="AJ79:AQ79"/>
    <mergeCell ref="AR79:AY7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1171-CD03-4828-91C3-1E262AE835FF}">
  <dimension ref="A3:BG293"/>
  <sheetViews>
    <sheetView zoomScaleNormal="100" workbookViewId="0">
      <selection activeCell="L20" sqref="L20"/>
    </sheetView>
  </sheetViews>
  <sheetFormatPr defaultRowHeight="15"/>
  <cols>
    <col min="1" max="1" width="4" style="143" customWidth="1"/>
    <col min="2" max="2" width="11.42578125" style="143" customWidth="1"/>
    <col min="3" max="16384" width="9.140625" style="143"/>
  </cols>
  <sheetData>
    <row r="3" spans="1:59" ht="15.75" thickBot="1">
      <c r="B3" s="144" t="s">
        <v>3</v>
      </c>
      <c r="C3" s="76" t="str">
        <f>IF(Parent!K4="Select:","",Parent!K4)</f>
        <v>5-7</v>
      </c>
      <c r="D3" s="145"/>
      <c r="E3" s="145"/>
      <c r="F3" s="145"/>
    </row>
    <row r="4" spans="1:59" ht="15.75" thickTop="1">
      <c r="B4" s="146" t="s">
        <v>53</v>
      </c>
      <c r="C4" s="76" t="str">
        <f>IF(Parent!K5="Select:","",Parent!K5)</f>
        <v>Boys</v>
      </c>
      <c r="D4" s="283" t="s">
        <v>54</v>
      </c>
      <c r="E4" s="283"/>
      <c r="F4" s="98">
        <f>IF(C4="Girls",4,0)</f>
        <v>0</v>
      </c>
      <c r="I4" s="147"/>
      <c r="J4" s="284" t="s">
        <v>55</v>
      </c>
      <c r="K4" s="285"/>
      <c r="L4" s="285"/>
      <c r="M4" s="285"/>
      <c r="N4" s="285"/>
      <c r="O4" s="285"/>
      <c r="P4" s="285"/>
      <c r="Q4" s="286"/>
      <c r="R4" s="284" t="s">
        <v>56</v>
      </c>
      <c r="S4" s="285"/>
      <c r="T4" s="285"/>
      <c r="U4" s="285"/>
      <c r="V4" s="285"/>
      <c r="W4" s="285"/>
      <c r="X4" s="285"/>
      <c r="Y4" s="286"/>
      <c r="Z4" s="284" t="s">
        <v>57</v>
      </c>
      <c r="AA4" s="285"/>
      <c r="AB4" s="285"/>
      <c r="AC4" s="285"/>
      <c r="AD4" s="285"/>
      <c r="AE4" s="285"/>
      <c r="AF4" s="285"/>
      <c r="AG4" s="286"/>
      <c r="AI4" s="148"/>
      <c r="AJ4" s="287" t="s">
        <v>58</v>
      </c>
      <c r="AK4" s="287"/>
      <c r="AL4" s="287"/>
      <c r="AM4" s="287"/>
      <c r="AN4" s="287"/>
      <c r="AO4" s="287"/>
      <c r="AP4" s="287"/>
      <c r="AQ4" s="287"/>
      <c r="AR4" s="293" t="s">
        <v>59</v>
      </c>
      <c r="AS4" s="287"/>
      <c r="AT4" s="287"/>
      <c r="AU4" s="287"/>
      <c r="AV4" s="287"/>
      <c r="AW4" s="287"/>
      <c r="AX4" s="287"/>
      <c r="AY4" s="288"/>
      <c r="AZ4" s="287" t="s">
        <v>60</v>
      </c>
      <c r="BA4" s="287"/>
      <c r="BB4" s="287"/>
      <c r="BC4" s="287"/>
      <c r="BD4" s="287"/>
      <c r="BE4" s="287"/>
      <c r="BF4" s="287"/>
      <c r="BG4" s="288"/>
    </row>
    <row r="5" spans="1:59" ht="15.75" thickBot="1">
      <c r="I5" s="149"/>
      <c r="J5" s="289" t="s">
        <v>8</v>
      </c>
      <c r="K5" s="290"/>
      <c r="L5" s="290"/>
      <c r="M5" s="290"/>
      <c r="N5" s="290" t="s">
        <v>61</v>
      </c>
      <c r="O5" s="290"/>
      <c r="P5" s="290"/>
      <c r="Q5" s="291"/>
      <c r="R5" s="289" t="s">
        <v>8</v>
      </c>
      <c r="S5" s="290"/>
      <c r="T5" s="290"/>
      <c r="U5" s="290"/>
      <c r="V5" s="290" t="s">
        <v>61</v>
      </c>
      <c r="W5" s="290"/>
      <c r="X5" s="290"/>
      <c r="Y5" s="291"/>
      <c r="Z5" s="289" t="s">
        <v>8</v>
      </c>
      <c r="AA5" s="290"/>
      <c r="AB5" s="290"/>
      <c r="AC5" s="290"/>
      <c r="AD5" s="290" t="s">
        <v>61</v>
      </c>
      <c r="AE5" s="290"/>
      <c r="AF5" s="290"/>
      <c r="AG5" s="291"/>
      <c r="AI5" s="150"/>
      <c r="AJ5" s="290" t="s">
        <v>8</v>
      </c>
      <c r="AK5" s="290"/>
      <c r="AL5" s="290"/>
      <c r="AM5" s="290"/>
      <c r="AN5" s="290" t="s">
        <v>61</v>
      </c>
      <c r="AO5" s="290"/>
      <c r="AP5" s="290"/>
      <c r="AQ5" s="290"/>
      <c r="AR5" s="292" t="s">
        <v>8</v>
      </c>
      <c r="AS5" s="290"/>
      <c r="AT5" s="290"/>
      <c r="AU5" s="290"/>
      <c r="AV5" s="290" t="s">
        <v>61</v>
      </c>
      <c r="AW5" s="290"/>
      <c r="AX5" s="290"/>
      <c r="AY5" s="294"/>
      <c r="AZ5" s="290" t="s">
        <v>8</v>
      </c>
      <c r="BA5" s="290"/>
      <c r="BB5" s="290"/>
      <c r="BC5" s="290"/>
      <c r="BD5" s="290" t="s">
        <v>61</v>
      </c>
      <c r="BE5" s="290"/>
      <c r="BF5" s="290"/>
      <c r="BG5" s="294"/>
    </row>
    <row r="6" spans="1:59" ht="15.75" thickTop="1">
      <c r="A6" s="151"/>
      <c r="B6" s="152" t="s">
        <v>62</v>
      </c>
      <c r="C6" s="153" t="s">
        <v>63</v>
      </c>
      <c r="D6" s="153" t="s">
        <v>64</v>
      </c>
      <c r="E6" s="153" t="s">
        <v>65</v>
      </c>
      <c r="F6" s="295" t="s">
        <v>44</v>
      </c>
      <c r="G6" s="296"/>
      <c r="H6" s="154"/>
      <c r="I6" s="155" t="s">
        <v>66</v>
      </c>
      <c r="J6" s="156" t="s">
        <v>4</v>
      </c>
      <c r="K6" s="157" t="s">
        <v>67</v>
      </c>
      <c r="L6" s="157" t="s">
        <v>68</v>
      </c>
      <c r="M6" s="157" t="s">
        <v>51</v>
      </c>
      <c r="N6" s="157" t="s">
        <v>4</v>
      </c>
      <c r="O6" s="157" t="s">
        <v>67</v>
      </c>
      <c r="P6" s="157" t="s">
        <v>68</v>
      </c>
      <c r="Q6" s="158" t="s">
        <v>51</v>
      </c>
      <c r="R6" s="156" t="s">
        <v>4</v>
      </c>
      <c r="S6" s="157" t="s">
        <v>67</v>
      </c>
      <c r="T6" s="157" t="s">
        <v>68</v>
      </c>
      <c r="U6" s="157" t="s">
        <v>51</v>
      </c>
      <c r="V6" s="157" t="s">
        <v>4</v>
      </c>
      <c r="W6" s="157" t="s">
        <v>67</v>
      </c>
      <c r="X6" s="157" t="s">
        <v>68</v>
      </c>
      <c r="Y6" s="158" t="s">
        <v>51</v>
      </c>
      <c r="Z6" s="156" t="s">
        <v>4</v>
      </c>
      <c r="AA6" s="157" t="s">
        <v>67</v>
      </c>
      <c r="AB6" s="157" t="s">
        <v>68</v>
      </c>
      <c r="AC6" s="157" t="s">
        <v>51</v>
      </c>
      <c r="AD6" s="157" t="s">
        <v>4</v>
      </c>
      <c r="AE6" s="157" t="s">
        <v>67</v>
      </c>
      <c r="AF6" s="157" t="s">
        <v>68</v>
      </c>
      <c r="AG6" s="158" t="s">
        <v>51</v>
      </c>
      <c r="AI6" s="159" t="s">
        <v>66</v>
      </c>
      <c r="AJ6" s="157" t="s">
        <v>4</v>
      </c>
      <c r="AK6" s="157" t="s">
        <v>67</v>
      </c>
      <c r="AL6" s="157" t="s">
        <v>68</v>
      </c>
      <c r="AM6" s="157" t="s">
        <v>51</v>
      </c>
      <c r="AN6" s="157" t="s">
        <v>4</v>
      </c>
      <c r="AO6" s="157" t="s">
        <v>67</v>
      </c>
      <c r="AP6" s="157" t="s">
        <v>68</v>
      </c>
      <c r="AQ6" s="157" t="s">
        <v>51</v>
      </c>
      <c r="AR6" s="160" t="s">
        <v>4</v>
      </c>
      <c r="AS6" s="157" t="s">
        <v>67</v>
      </c>
      <c r="AT6" s="157" t="s">
        <v>68</v>
      </c>
      <c r="AU6" s="157" t="s">
        <v>51</v>
      </c>
      <c r="AV6" s="157" t="s">
        <v>4</v>
      </c>
      <c r="AW6" s="157" t="s">
        <v>67</v>
      </c>
      <c r="AX6" s="157" t="s">
        <v>68</v>
      </c>
      <c r="AY6" s="161" t="s">
        <v>51</v>
      </c>
      <c r="AZ6" s="157" t="s">
        <v>4</v>
      </c>
      <c r="BA6" s="157" t="s">
        <v>67</v>
      </c>
      <c r="BB6" s="157" t="s">
        <v>68</v>
      </c>
      <c r="BC6" s="157" t="s">
        <v>51</v>
      </c>
      <c r="BD6" s="157" t="s">
        <v>4</v>
      </c>
      <c r="BE6" s="157" t="s">
        <v>67</v>
      </c>
      <c r="BF6" s="157" t="s">
        <v>68</v>
      </c>
      <c r="BG6" s="161" t="s">
        <v>51</v>
      </c>
    </row>
    <row r="7" spans="1:59">
      <c r="B7" s="162" t="s">
        <v>20</v>
      </c>
      <c r="C7" s="76">
        <f>Teacher!P10</f>
        <v>0</v>
      </c>
      <c r="D7" s="163" t="str">
        <f>IFERROR(VLOOKUP(C7,I6:AG27,C25,FALSE),"")</f>
        <v/>
      </c>
      <c r="E7" s="163" t="str">
        <f>IFERROR(VLOOKUP(C7,AI6:BG27,C25,FALSE),"")</f>
        <v/>
      </c>
      <c r="F7" s="164" t="e">
        <f>D7-(VLOOKUP("CI",I28:AG28,C25,FALSE))</f>
        <v>#VALUE!</v>
      </c>
      <c r="G7" s="165" t="e">
        <f>D7+(VLOOKUP("CI",I28:AG28,C25,FALSE))</f>
        <v>#VALUE!</v>
      </c>
      <c r="H7" s="166"/>
      <c r="I7" s="167">
        <v>24</v>
      </c>
      <c r="J7" s="167"/>
      <c r="K7" s="168"/>
      <c r="L7" s="168"/>
      <c r="M7" s="168"/>
      <c r="N7" s="168"/>
      <c r="O7" s="168"/>
      <c r="P7" s="168"/>
      <c r="Q7" s="169"/>
      <c r="R7" s="170"/>
      <c r="S7" s="171"/>
      <c r="T7" s="171"/>
      <c r="U7" s="171"/>
      <c r="V7" s="171"/>
      <c r="W7" s="171"/>
      <c r="X7" s="171"/>
      <c r="Y7" s="172"/>
      <c r="Z7" s="167"/>
      <c r="AA7" s="168"/>
      <c r="AB7" s="168"/>
      <c r="AC7" s="168"/>
      <c r="AD7" s="168"/>
      <c r="AE7" s="168"/>
      <c r="AF7" s="168"/>
      <c r="AG7" s="169"/>
      <c r="AI7" s="173">
        <v>24</v>
      </c>
      <c r="AJ7" s="168"/>
      <c r="AK7" s="168"/>
      <c r="AL7" s="168"/>
      <c r="AM7" s="168"/>
      <c r="AN7" s="168"/>
      <c r="AO7" s="168"/>
      <c r="AP7" s="168"/>
      <c r="AQ7" s="168"/>
      <c r="AR7" s="174"/>
      <c r="AS7" s="175"/>
      <c r="AT7" s="175"/>
      <c r="AU7" s="175"/>
      <c r="AV7" s="175"/>
      <c r="AW7" s="175"/>
      <c r="AX7" s="175"/>
      <c r="AY7" s="176"/>
      <c r="AZ7" s="168"/>
      <c r="BA7" s="168"/>
      <c r="BB7" s="168"/>
      <c r="BC7" s="168"/>
      <c r="BD7" s="168"/>
      <c r="BE7" s="168"/>
      <c r="BF7" s="168"/>
      <c r="BG7" s="177"/>
    </row>
    <row r="8" spans="1:59">
      <c r="A8" s="178"/>
      <c r="B8" s="162" t="s">
        <v>71</v>
      </c>
      <c r="C8" s="76">
        <f>Teacher!P11</f>
        <v>0</v>
      </c>
      <c r="D8" s="163" t="str">
        <f>IFERROR(VLOOKUP(C8,I6:AG27,C25+8,FALSE),"")</f>
        <v/>
      </c>
      <c r="E8" s="163" t="str">
        <f>IFERROR(VLOOKUP(C8,AI6:BG27,C25+8,FALSE),"")</f>
        <v/>
      </c>
      <c r="F8" s="164" t="e">
        <f>D8-(VLOOKUP("CI",I28:AG28,C25+8,FALSE))</f>
        <v>#VALUE!</v>
      </c>
      <c r="G8" s="165" t="e">
        <f>D8+(VLOOKUP("CI",I28:AG28,C25+8,FALSE))</f>
        <v>#VALUE!</v>
      </c>
      <c r="H8" s="166"/>
      <c r="I8" s="167">
        <v>23</v>
      </c>
      <c r="J8" s="167"/>
      <c r="K8" s="168"/>
      <c r="L8" s="168"/>
      <c r="M8" s="168"/>
      <c r="N8" s="168"/>
      <c r="O8" s="168"/>
      <c r="P8" s="168"/>
      <c r="Q8" s="169"/>
      <c r="R8" s="170"/>
      <c r="S8" s="171"/>
      <c r="T8" s="171"/>
      <c r="U8" s="171"/>
      <c r="V8" s="171"/>
      <c r="W8" s="171"/>
      <c r="X8" s="171"/>
      <c r="Y8" s="172"/>
      <c r="Z8" s="167"/>
      <c r="AA8" s="168"/>
      <c r="AB8" s="168"/>
      <c r="AC8" s="168"/>
      <c r="AD8" s="168"/>
      <c r="AE8" s="168"/>
      <c r="AF8" s="168"/>
      <c r="AG8" s="169"/>
      <c r="AI8" s="173">
        <v>23</v>
      </c>
      <c r="AJ8" s="168"/>
      <c r="AK8" s="168"/>
      <c r="AL8" s="168"/>
      <c r="AM8" s="168"/>
      <c r="AN8" s="168"/>
      <c r="AO8" s="168"/>
      <c r="AP8" s="168"/>
      <c r="AQ8" s="168"/>
      <c r="AR8" s="174"/>
      <c r="AS8" s="175"/>
      <c r="AT8" s="175"/>
      <c r="AU8" s="175"/>
      <c r="AV8" s="175"/>
      <c r="AW8" s="175"/>
      <c r="AX8" s="175"/>
      <c r="AY8" s="176"/>
      <c r="AZ8" s="168"/>
      <c r="BA8" s="168"/>
      <c r="BB8" s="168"/>
      <c r="BC8" s="168"/>
      <c r="BD8" s="168"/>
      <c r="BE8" s="168"/>
      <c r="BF8" s="168"/>
      <c r="BG8" s="177"/>
    </row>
    <row r="9" spans="1:59">
      <c r="A9" s="179"/>
      <c r="B9" s="180" t="s">
        <v>23</v>
      </c>
      <c r="C9" s="76">
        <f>Teacher!P12</f>
        <v>0</v>
      </c>
      <c r="D9" s="163" t="str">
        <f>IFERROR(VLOOKUP(C9,I81:AG166,C25,FALSE),"")</f>
        <v/>
      </c>
      <c r="E9" s="163" t="str">
        <f>IFERROR(VLOOKUP(C9,AI81:BG166,C25,FALSE),"")</f>
        <v/>
      </c>
      <c r="F9" s="164" t="e">
        <f>D9-(VLOOKUP("CI",I167:AG167,C25,FALSE))</f>
        <v>#VALUE!</v>
      </c>
      <c r="G9" s="165" t="e">
        <f>D9+(VLOOKUP("CI",I167:AG167,C25,FALSE))</f>
        <v>#VALUE!</v>
      </c>
      <c r="H9" s="166"/>
      <c r="I9" s="167">
        <v>22</v>
      </c>
      <c r="J9" s="167"/>
      <c r="K9" s="168"/>
      <c r="L9" s="168"/>
      <c r="M9" s="168"/>
      <c r="N9" s="168"/>
      <c r="O9" s="168"/>
      <c r="P9" s="168"/>
      <c r="Q9" s="169"/>
      <c r="R9" s="170"/>
      <c r="S9" s="171"/>
      <c r="T9" s="171"/>
      <c r="U9" s="171"/>
      <c r="V9" s="171"/>
      <c r="W9" s="171"/>
      <c r="X9" s="171"/>
      <c r="Y9" s="172"/>
      <c r="Z9" s="167"/>
      <c r="AA9" s="168"/>
      <c r="AB9" s="168"/>
      <c r="AC9" s="168"/>
      <c r="AD9" s="168"/>
      <c r="AE9" s="168"/>
      <c r="AF9" s="168"/>
      <c r="AG9" s="169"/>
      <c r="AI9" s="173">
        <v>22</v>
      </c>
      <c r="AJ9" s="168"/>
      <c r="AK9" s="168"/>
      <c r="AL9" s="168"/>
      <c r="AM9" s="168"/>
      <c r="AN9" s="168"/>
      <c r="AO9" s="168"/>
      <c r="AP9" s="168"/>
      <c r="AQ9" s="168"/>
      <c r="AR9" s="174"/>
      <c r="AS9" s="175"/>
      <c r="AT9" s="175"/>
      <c r="AU9" s="175"/>
      <c r="AV9" s="175"/>
      <c r="AW9" s="175"/>
      <c r="AX9" s="175"/>
      <c r="AY9" s="176"/>
      <c r="AZ9" s="168"/>
      <c r="BA9" s="168"/>
      <c r="BB9" s="168"/>
      <c r="BC9" s="168"/>
      <c r="BD9" s="168"/>
      <c r="BE9" s="168"/>
      <c r="BF9" s="168"/>
      <c r="BG9" s="177"/>
    </row>
    <row r="10" spans="1:59">
      <c r="B10" s="162" t="s">
        <v>26</v>
      </c>
      <c r="C10" s="76">
        <f>Teacher!P13</f>
        <v>0</v>
      </c>
      <c r="D10" s="163" t="str">
        <f>IFERROR(VLOOKUP(C10,I6:AG27,C25+16,FALSE),"")</f>
        <v/>
      </c>
      <c r="E10" s="163" t="str">
        <f>IFERROR(VLOOKUP(C10,AI6:BG27,C25+16,FALSE),"")</f>
        <v/>
      </c>
      <c r="F10" s="164" t="e">
        <f>D10-(VLOOKUP("CI",I28:AG28,C25+16,FALSE))</f>
        <v>#VALUE!</v>
      </c>
      <c r="G10" s="165" t="e">
        <f>D10+(VLOOKUP("CI",I28:AG28,C25+16,FALSE))</f>
        <v>#VALUE!</v>
      </c>
      <c r="H10" s="166"/>
      <c r="I10" s="167">
        <v>21</v>
      </c>
      <c r="J10" s="167"/>
      <c r="K10" s="168"/>
      <c r="L10" s="168"/>
      <c r="M10" s="168"/>
      <c r="N10" s="168"/>
      <c r="O10" s="168"/>
      <c r="P10" s="168"/>
      <c r="Q10" s="169"/>
      <c r="R10" s="170"/>
      <c r="S10" s="171"/>
      <c r="T10" s="171"/>
      <c r="U10" s="171"/>
      <c r="V10" s="171"/>
      <c r="W10" s="171"/>
      <c r="X10" s="171"/>
      <c r="Y10" s="172"/>
      <c r="Z10" s="167"/>
      <c r="AA10" s="168"/>
      <c r="AB10" s="168"/>
      <c r="AC10" s="168"/>
      <c r="AD10" s="168"/>
      <c r="AE10" s="168"/>
      <c r="AF10" s="168"/>
      <c r="AG10" s="169"/>
      <c r="AI10" s="173">
        <v>21</v>
      </c>
      <c r="AJ10" s="168"/>
      <c r="AK10" s="168"/>
      <c r="AL10" s="168"/>
      <c r="AM10" s="168"/>
      <c r="AN10" s="168"/>
      <c r="AO10" s="168"/>
      <c r="AP10" s="168"/>
      <c r="AQ10" s="168"/>
      <c r="AR10" s="174"/>
      <c r="AS10" s="175"/>
      <c r="AT10" s="175"/>
      <c r="AU10" s="175"/>
      <c r="AV10" s="175"/>
      <c r="AW10" s="175"/>
      <c r="AX10" s="175"/>
      <c r="AY10" s="176"/>
      <c r="AZ10" s="168"/>
      <c r="BA10" s="168"/>
      <c r="BB10" s="168"/>
      <c r="BC10" s="168"/>
      <c r="BD10" s="168"/>
      <c r="BE10" s="168"/>
      <c r="BF10" s="168"/>
      <c r="BG10" s="177"/>
    </row>
    <row r="11" spans="1:59">
      <c r="B11" s="162" t="s">
        <v>72</v>
      </c>
      <c r="C11" s="76">
        <f>Teacher!P14</f>
        <v>0</v>
      </c>
      <c r="D11" s="163" t="str">
        <f>IFERROR(VLOOKUP(C11,I31:AG52,C25,FALSE),"")</f>
        <v/>
      </c>
      <c r="E11" s="163" t="str">
        <f>IFERROR(VLOOKUP(C11,AI31:BG52,C25,FALSE),"")</f>
        <v/>
      </c>
      <c r="F11" s="164" t="e">
        <f>D11-(VLOOKUP("CI",I53:AG53,C25,FALSE))</f>
        <v>#VALUE!</v>
      </c>
      <c r="G11" s="165" t="e">
        <f>D11+(VLOOKUP("CI",I53:AG53,C25,FALSE))</f>
        <v>#VALUE!</v>
      </c>
      <c r="H11" s="166"/>
      <c r="I11" s="167">
        <v>20</v>
      </c>
      <c r="J11" s="167"/>
      <c r="K11" s="168"/>
      <c r="L11" s="168"/>
      <c r="M11" s="168"/>
      <c r="N11" s="168"/>
      <c r="O11" s="168"/>
      <c r="P11" s="168"/>
      <c r="Q11" s="169"/>
      <c r="R11" s="170"/>
      <c r="S11" s="171"/>
      <c r="T11" s="171"/>
      <c r="U11" s="171"/>
      <c r="V11" s="171"/>
      <c r="W11" s="171"/>
      <c r="X11" s="171"/>
      <c r="Y11" s="172"/>
      <c r="Z11" s="167"/>
      <c r="AA11" s="168"/>
      <c r="AB11" s="168"/>
      <c r="AC11" s="168"/>
      <c r="AD11" s="168"/>
      <c r="AE11" s="168"/>
      <c r="AF11" s="168"/>
      <c r="AG11" s="169"/>
      <c r="AI11" s="173">
        <v>20</v>
      </c>
      <c r="AJ11" s="168"/>
      <c r="AK11" s="168"/>
      <c r="AL11" s="168"/>
      <c r="AM11" s="168"/>
      <c r="AN11" s="168"/>
      <c r="AO11" s="168"/>
      <c r="AP11" s="168"/>
      <c r="AQ11" s="168"/>
      <c r="AR11" s="174"/>
      <c r="AS11" s="175"/>
      <c r="AT11" s="175"/>
      <c r="AU11" s="175"/>
      <c r="AV11" s="175"/>
      <c r="AW11" s="175"/>
      <c r="AX11" s="175"/>
      <c r="AY11" s="176"/>
      <c r="AZ11" s="168"/>
      <c r="BA11" s="168"/>
      <c r="BB11" s="168"/>
      <c r="BC11" s="168"/>
      <c r="BD11" s="168"/>
      <c r="BE11" s="168"/>
      <c r="BF11" s="168"/>
      <c r="BG11" s="177"/>
    </row>
    <row r="12" spans="1:59">
      <c r="B12" s="162" t="s">
        <v>28</v>
      </c>
      <c r="C12" s="76">
        <f>Teacher!P15</f>
        <v>0</v>
      </c>
      <c r="D12" s="163" t="str">
        <f>IFERROR(VLOOKUP(C12,I81:AG166,C25+8,FALSE),"")</f>
        <v/>
      </c>
      <c r="E12" s="163" t="str">
        <f>IFERROR(VLOOKUP(C12,AI81:BG166,C25+8,FALSE),"")</f>
        <v/>
      </c>
      <c r="F12" s="164" t="e">
        <f>D12-(VLOOKUP("CI",I167:AG167,C25+8,FALSE))</f>
        <v>#VALUE!</v>
      </c>
      <c r="G12" s="165" t="e">
        <f>D12+(VLOOKUP("CI",I167:AG167,C25+8,FALSE))</f>
        <v>#VALUE!</v>
      </c>
      <c r="H12" s="166"/>
      <c r="I12" s="167">
        <v>19</v>
      </c>
      <c r="J12" s="167"/>
      <c r="K12" s="168"/>
      <c r="L12" s="168"/>
      <c r="M12" s="168"/>
      <c r="N12" s="168"/>
      <c r="O12" s="168"/>
      <c r="P12" s="168"/>
      <c r="Q12" s="169"/>
      <c r="R12" s="170"/>
      <c r="S12" s="171"/>
      <c r="T12" s="171"/>
      <c r="U12" s="171"/>
      <c r="V12" s="171"/>
      <c r="W12" s="171"/>
      <c r="X12" s="171"/>
      <c r="Y12" s="172"/>
      <c r="Z12" s="167"/>
      <c r="AA12" s="168"/>
      <c r="AB12" s="168"/>
      <c r="AC12" s="168"/>
      <c r="AD12" s="168"/>
      <c r="AE12" s="168"/>
      <c r="AF12" s="168"/>
      <c r="AG12" s="169"/>
      <c r="AI12" s="173">
        <v>19</v>
      </c>
      <c r="AJ12" s="168"/>
      <c r="AK12" s="168"/>
      <c r="AL12" s="168"/>
      <c r="AM12" s="168"/>
      <c r="AN12" s="168"/>
      <c r="AO12" s="168"/>
      <c r="AP12" s="168"/>
      <c r="AQ12" s="168"/>
      <c r="AR12" s="174"/>
      <c r="AS12" s="175"/>
      <c r="AT12" s="175"/>
      <c r="AU12" s="175"/>
      <c r="AV12" s="175"/>
      <c r="AW12" s="175"/>
      <c r="AX12" s="175"/>
      <c r="AY12" s="176"/>
      <c r="AZ12" s="168"/>
      <c r="BA12" s="168"/>
      <c r="BB12" s="168"/>
      <c r="BC12" s="168"/>
      <c r="BD12" s="168"/>
      <c r="BE12" s="168"/>
      <c r="BF12" s="168"/>
      <c r="BG12" s="177"/>
    </row>
    <row r="13" spans="1:59">
      <c r="B13" s="162" t="s">
        <v>30</v>
      </c>
      <c r="C13" s="76">
        <f>Teacher!P16</f>
        <v>0</v>
      </c>
      <c r="D13" s="163" t="str">
        <f>IFERROR(VLOOKUP(C13,I31:AG52,C25+8,FALSE),"")</f>
        <v/>
      </c>
      <c r="E13" s="163" t="str">
        <f>IFERROR(VLOOKUP(C13,AI31:BG52,C25+8,FALSE),"")</f>
        <v/>
      </c>
      <c r="F13" s="164" t="e">
        <f>D13-(VLOOKUP("CI",I53:AG53,C25+8,FALSE))</f>
        <v>#VALUE!</v>
      </c>
      <c r="G13" s="165" t="e">
        <f>D13+(VLOOKUP("CI",I53:AG53,C25+8,FALSE))</f>
        <v>#VALUE!</v>
      </c>
      <c r="H13" s="166"/>
      <c r="I13" s="167">
        <v>18</v>
      </c>
      <c r="J13" s="167"/>
      <c r="K13" s="168"/>
      <c r="L13" s="168"/>
      <c r="M13" s="168"/>
      <c r="N13" s="168"/>
      <c r="O13" s="168"/>
      <c r="P13" s="168"/>
      <c r="Q13" s="169"/>
      <c r="R13" s="170"/>
      <c r="S13" s="171"/>
      <c r="T13" s="171"/>
      <c r="U13" s="171"/>
      <c r="V13" s="171"/>
      <c r="W13" s="171"/>
      <c r="X13" s="171"/>
      <c r="Y13" s="172"/>
      <c r="Z13" s="167"/>
      <c r="AA13" s="168"/>
      <c r="AB13" s="168"/>
      <c r="AC13" s="168"/>
      <c r="AD13" s="168"/>
      <c r="AE13" s="168"/>
      <c r="AF13" s="168"/>
      <c r="AG13" s="169"/>
      <c r="AI13" s="173">
        <v>18</v>
      </c>
      <c r="AJ13" s="168"/>
      <c r="AK13" s="168"/>
      <c r="AL13" s="168"/>
      <c r="AM13" s="168"/>
      <c r="AN13" s="168"/>
      <c r="AO13" s="168"/>
      <c r="AP13" s="168"/>
      <c r="AQ13" s="168"/>
      <c r="AR13" s="174"/>
      <c r="AS13" s="175"/>
      <c r="AT13" s="175"/>
      <c r="AU13" s="175"/>
      <c r="AV13" s="175"/>
      <c r="AW13" s="175"/>
      <c r="AX13" s="175"/>
      <c r="AY13" s="176"/>
      <c r="AZ13" s="168"/>
      <c r="BA13" s="168"/>
      <c r="BB13" s="168"/>
      <c r="BC13" s="168"/>
      <c r="BD13" s="168"/>
      <c r="BE13" s="168"/>
      <c r="BF13" s="168"/>
      <c r="BG13" s="177"/>
    </row>
    <row r="14" spans="1:59">
      <c r="B14" s="162" t="s">
        <v>73</v>
      </c>
      <c r="C14" s="76">
        <f>Teacher!P17</f>
        <v>0</v>
      </c>
      <c r="D14" s="163" t="str">
        <f>IFERROR(VLOOKUP(C14,I31:AG52,C25+16,FALSE),"")</f>
        <v/>
      </c>
      <c r="E14" s="163" t="str">
        <f>IFERROR(VLOOKUP(C14,AI31:BG52,C25+16,FALSE),"")</f>
        <v/>
      </c>
      <c r="F14" s="164" t="e">
        <f>D14-(VLOOKUP("CI",I53:AG53,C25+16,FALSE))</f>
        <v>#VALUE!</v>
      </c>
      <c r="G14" s="165" t="e">
        <f>D14+(VLOOKUP("CI",I53:AG53,C25+16,FALSE))</f>
        <v>#VALUE!</v>
      </c>
      <c r="H14" s="166"/>
      <c r="I14" s="167">
        <v>17</v>
      </c>
      <c r="J14" s="167"/>
      <c r="K14" s="168"/>
      <c r="L14" s="168"/>
      <c r="M14" s="168"/>
      <c r="N14" s="168"/>
      <c r="O14" s="168"/>
      <c r="P14" s="168"/>
      <c r="Q14" s="169"/>
      <c r="R14" s="170"/>
      <c r="S14" s="171"/>
      <c r="T14" s="171"/>
      <c r="U14" s="171"/>
      <c r="V14" s="171"/>
      <c r="W14" s="171"/>
      <c r="X14" s="171"/>
      <c r="Y14" s="172"/>
      <c r="Z14" s="167"/>
      <c r="AA14" s="168"/>
      <c r="AB14" s="168"/>
      <c r="AC14" s="168"/>
      <c r="AD14" s="168"/>
      <c r="AE14" s="168"/>
      <c r="AF14" s="168"/>
      <c r="AG14" s="169"/>
      <c r="AI14" s="173">
        <v>17</v>
      </c>
      <c r="AJ14" s="168"/>
      <c r="AK14" s="168"/>
      <c r="AL14" s="168"/>
      <c r="AM14" s="168"/>
      <c r="AN14" s="168"/>
      <c r="AO14" s="168"/>
      <c r="AP14" s="168"/>
      <c r="AQ14" s="168"/>
      <c r="AR14" s="174"/>
      <c r="AS14" s="175"/>
      <c r="AT14" s="175"/>
      <c r="AU14" s="175"/>
      <c r="AV14" s="175"/>
      <c r="AW14" s="175"/>
      <c r="AX14" s="175"/>
      <c r="AY14" s="176"/>
      <c r="AZ14" s="168"/>
      <c r="BA14" s="168"/>
      <c r="BB14" s="168"/>
      <c r="BC14" s="168"/>
      <c r="BD14" s="168"/>
      <c r="BE14" s="168"/>
      <c r="BF14" s="168"/>
      <c r="BG14" s="177"/>
    </row>
    <row r="15" spans="1:59">
      <c r="B15" s="162" t="s">
        <v>74</v>
      </c>
      <c r="C15" s="76">
        <f>Teacher!P18</f>
        <v>0</v>
      </c>
      <c r="D15" s="163" t="str">
        <f>IFERROR(VLOOKUP(C15,I56:AG77,C25,FALSE),"")</f>
        <v/>
      </c>
      <c r="E15" s="163" t="str">
        <f>IFERROR(VLOOKUP(C15,AI56:BG77,C25,FALSE),"")</f>
        <v/>
      </c>
      <c r="F15" s="164" t="e">
        <f>D15-(VLOOKUP("CI",I78:AG78,C25,FALSE))</f>
        <v>#VALUE!</v>
      </c>
      <c r="G15" s="165" t="e">
        <f>D15+(VLOOKUP("CI",I78:AG78,C25,FALSE))</f>
        <v>#VALUE!</v>
      </c>
      <c r="H15" s="166"/>
      <c r="I15" s="167">
        <v>16</v>
      </c>
      <c r="J15" s="167"/>
      <c r="K15" s="168"/>
      <c r="L15" s="168"/>
      <c r="M15" s="168"/>
      <c r="N15" s="168"/>
      <c r="O15" s="168"/>
      <c r="P15" s="168"/>
      <c r="Q15" s="169"/>
      <c r="R15" s="170"/>
      <c r="S15" s="171"/>
      <c r="T15" s="171"/>
      <c r="U15" s="171"/>
      <c r="V15" s="171"/>
      <c r="W15" s="171"/>
      <c r="X15" s="171"/>
      <c r="Y15" s="172"/>
      <c r="Z15" s="167"/>
      <c r="AA15" s="168"/>
      <c r="AB15" s="168"/>
      <c r="AC15" s="168"/>
      <c r="AD15" s="168"/>
      <c r="AE15" s="168"/>
      <c r="AF15" s="168"/>
      <c r="AG15" s="169"/>
      <c r="AI15" s="173">
        <v>16</v>
      </c>
      <c r="AJ15" s="168"/>
      <c r="AK15" s="168"/>
      <c r="AL15" s="168"/>
      <c r="AM15" s="168"/>
      <c r="AN15" s="168"/>
      <c r="AO15" s="168"/>
      <c r="AP15" s="168"/>
      <c r="AQ15" s="168"/>
      <c r="AR15" s="174"/>
      <c r="AS15" s="175"/>
      <c r="AT15" s="175"/>
      <c r="AU15" s="175"/>
      <c r="AV15" s="175"/>
      <c r="AW15" s="175"/>
      <c r="AX15" s="175"/>
      <c r="AY15" s="176"/>
      <c r="AZ15" s="168"/>
      <c r="BA15" s="168"/>
      <c r="BB15" s="168"/>
      <c r="BC15" s="168"/>
      <c r="BD15" s="168"/>
      <c r="BE15" s="168"/>
      <c r="BF15" s="168"/>
      <c r="BG15" s="177"/>
    </row>
    <row r="16" spans="1:59">
      <c r="B16" s="162" t="s">
        <v>75</v>
      </c>
      <c r="C16" s="76">
        <f>Teacher!P19</f>
        <v>0</v>
      </c>
      <c r="D16" s="163" t="str">
        <f>IFERROR(VLOOKUP(C16,I56:AG77,C25+8,FALSE),"")</f>
        <v/>
      </c>
      <c r="E16" s="163" t="str">
        <f>IFERROR(VLOOKUP(C16,AI56:BG77,C25+8,FALSE),"")</f>
        <v/>
      </c>
      <c r="F16" s="164" t="e">
        <f>D16-(VLOOKUP("CI",I78:AG78,C25+8,FALSE))</f>
        <v>#VALUE!</v>
      </c>
      <c r="G16" s="165" t="e">
        <f>D16+(VLOOKUP("CI",I78:AG78,C25+8,FALSE))</f>
        <v>#VALUE!</v>
      </c>
      <c r="H16" s="166"/>
      <c r="I16" s="167">
        <v>15</v>
      </c>
      <c r="J16" s="167"/>
      <c r="K16" s="168"/>
      <c r="L16" s="168"/>
      <c r="M16" s="168"/>
      <c r="N16" s="168"/>
      <c r="O16" s="168"/>
      <c r="P16" s="168"/>
      <c r="Q16" s="169"/>
      <c r="R16" s="170"/>
      <c r="S16" s="171"/>
      <c r="T16" s="171"/>
      <c r="U16" s="171"/>
      <c r="V16" s="171"/>
      <c r="W16" s="171"/>
      <c r="X16" s="171"/>
      <c r="Y16" s="172"/>
      <c r="Z16" s="167"/>
      <c r="AA16" s="168"/>
      <c r="AB16" s="168"/>
      <c r="AC16" s="168"/>
      <c r="AD16" s="168"/>
      <c r="AE16" s="168"/>
      <c r="AF16" s="168"/>
      <c r="AG16" s="169"/>
      <c r="AI16" s="173">
        <v>15</v>
      </c>
      <c r="AJ16" s="168"/>
      <c r="AK16" s="168"/>
      <c r="AL16" s="168"/>
      <c r="AM16" s="168"/>
      <c r="AN16" s="168"/>
      <c r="AO16" s="168"/>
      <c r="AP16" s="168"/>
      <c r="AQ16" s="168"/>
      <c r="AR16" s="174"/>
      <c r="AS16" s="175"/>
      <c r="AT16" s="175"/>
      <c r="AU16" s="175"/>
      <c r="AV16" s="175"/>
      <c r="AW16" s="175"/>
      <c r="AX16" s="175"/>
      <c r="AY16" s="176"/>
      <c r="AZ16" s="168"/>
      <c r="BA16" s="168"/>
      <c r="BB16" s="168"/>
      <c r="BC16" s="168"/>
      <c r="BD16" s="168"/>
      <c r="BE16" s="168"/>
      <c r="BF16" s="168"/>
      <c r="BG16" s="177"/>
    </row>
    <row r="17" spans="2:59">
      <c r="B17" s="162" t="s">
        <v>76</v>
      </c>
      <c r="C17" s="76">
        <f>Teacher!P20</f>
        <v>0</v>
      </c>
      <c r="D17" s="163" t="str">
        <f>IFERROR(VLOOKUP(C17,I56:AG77,C25+16,FALSE),"")</f>
        <v/>
      </c>
      <c r="E17" s="163" t="str">
        <f>IFERROR(VLOOKUP(C17,AI56:BG77,C25+16,FALSE),"")</f>
        <v/>
      </c>
      <c r="F17" s="164" t="e">
        <f>D17-(VLOOKUP("CI",I78:AG78,C25+16,FALSE))</f>
        <v>#VALUE!</v>
      </c>
      <c r="G17" s="165" t="e">
        <f>D17+(VLOOKUP("CI",I78:AG78,C25+16,FALSE))</f>
        <v>#VALUE!</v>
      </c>
      <c r="H17" s="166"/>
      <c r="I17" s="167">
        <v>14</v>
      </c>
      <c r="J17" s="167"/>
      <c r="K17" s="168"/>
      <c r="L17" s="168"/>
      <c r="M17" s="168"/>
      <c r="N17" s="168"/>
      <c r="O17" s="168"/>
      <c r="P17" s="168"/>
      <c r="Q17" s="169"/>
      <c r="R17" s="170"/>
      <c r="S17" s="171"/>
      <c r="T17" s="171"/>
      <c r="U17" s="171"/>
      <c r="V17" s="171"/>
      <c r="W17" s="171"/>
      <c r="X17" s="171"/>
      <c r="Y17" s="172"/>
      <c r="Z17" s="167"/>
      <c r="AA17" s="168"/>
      <c r="AB17" s="168"/>
      <c r="AC17" s="168"/>
      <c r="AD17" s="168"/>
      <c r="AE17" s="168"/>
      <c r="AF17" s="168"/>
      <c r="AG17" s="169"/>
      <c r="AI17" s="173">
        <v>14</v>
      </c>
      <c r="AJ17" s="168"/>
      <c r="AK17" s="168"/>
      <c r="AL17" s="168"/>
      <c r="AM17" s="168"/>
      <c r="AN17" s="168"/>
      <c r="AO17" s="168"/>
      <c r="AP17" s="168"/>
      <c r="AQ17" s="168"/>
      <c r="AR17" s="174"/>
      <c r="AS17" s="175"/>
      <c r="AT17" s="175"/>
      <c r="AU17" s="175"/>
      <c r="AV17" s="175"/>
      <c r="AW17" s="175"/>
      <c r="AX17" s="175"/>
      <c r="AY17" s="176"/>
      <c r="AZ17" s="168"/>
      <c r="BA17" s="168"/>
      <c r="BB17" s="168"/>
      <c r="BC17" s="168"/>
      <c r="BD17" s="168"/>
      <c r="BE17" s="168"/>
      <c r="BF17" s="168"/>
      <c r="BG17" s="177"/>
    </row>
    <row r="18" spans="2:59">
      <c r="B18" s="162" t="s">
        <v>36</v>
      </c>
      <c r="C18" s="76">
        <f>Teacher!P21</f>
        <v>0</v>
      </c>
      <c r="D18" s="163" t="str">
        <f>IFERROR(VLOOKUP(C18,I81:AG166,C25+16,FALSE),"")</f>
        <v/>
      </c>
      <c r="E18" s="163" t="str">
        <f>IFERROR(VLOOKUP(C18,AI81:BG166,C25+16,FALSE),"")</f>
        <v/>
      </c>
      <c r="F18" s="164" t="e">
        <f>D18-(VLOOKUP("CI",I167:AG167,C25+16,FALSE))</f>
        <v>#VALUE!</v>
      </c>
      <c r="G18" s="165" t="e">
        <f>D18+(VLOOKUP("CI",I167:AG167,C25+16,FALSE))</f>
        <v>#VALUE!</v>
      </c>
      <c r="H18" s="166"/>
      <c r="I18" s="167">
        <v>13</v>
      </c>
      <c r="J18" s="167"/>
      <c r="K18" s="168"/>
      <c r="L18" s="168"/>
      <c r="M18" s="168"/>
      <c r="N18" s="168"/>
      <c r="O18" s="168"/>
      <c r="P18" s="168"/>
      <c r="Q18" s="169"/>
      <c r="R18" s="170"/>
      <c r="S18" s="171"/>
      <c r="T18" s="171"/>
      <c r="U18" s="171"/>
      <c r="V18" s="171"/>
      <c r="W18" s="171"/>
      <c r="X18" s="171"/>
      <c r="Y18" s="172"/>
      <c r="Z18" s="167"/>
      <c r="AA18" s="168"/>
      <c r="AB18" s="168"/>
      <c r="AC18" s="168"/>
      <c r="AD18" s="168"/>
      <c r="AE18" s="168"/>
      <c r="AF18" s="168"/>
      <c r="AG18" s="169"/>
      <c r="AI18" s="173">
        <v>13</v>
      </c>
      <c r="AJ18" s="168"/>
      <c r="AK18" s="168"/>
      <c r="AL18" s="168"/>
      <c r="AM18" s="168"/>
      <c r="AN18" s="168"/>
      <c r="AO18" s="168"/>
      <c r="AP18" s="168"/>
      <c r="AQ18" s="168"/>
      <c r="AR18" s="174"/>
      <c r="AS18" s="175"/>
      <c r="AT18" s="175"/>
      <c r="AU18" s="175"/>
      <c r="AV18" s="175"/>
      <c r="AW18" s="175"/>
      <c r="AX18" s="175"/>
      <c r="AY18" s="176"/>
      <c r="AZ18" s="168"/>
      <c r="BA18" s="168"/>
      <c r="BB18" s="168"/>
      <c r="BC18" s="168"/>
      <c r="BD18" s="168"/>
      <c r="BE18" s="168"/>
      <c r="BF18" s="168"/>
      <c r="BG18" s="177"/>
    </row>
    <row r="19" spans="2:59" ht="15.75" thickBot="1">
      <c r="B19" s="181" t="s">
        <v>37</v>
      </c>
      <c r="C19" s="94">
        <f>Teacher!P22</f>
        <v>0</v>
      </c>
      <c r="D19" s="182" t="str">
        <f>IFERROR(VLOOKUP(C19,I170:Q291,C25,FALSE),"")</f>
        <v/>
      </c>
      <c r="E19" s="182" t="str">
        <f>IFERROR(VLOOKUP(C19,AI170:AQ291,C25,FALSE),"")</f>
        <v/>
      </c>
      <c r="F19" s="183" t="e">
        <f>D19-(VLOOKUP("CI",I292:Q292,C25,FALSE))</f>
        <v>#VALUE!</v>
      </c>
      <c r="G19" s="184" t="e">
        <f>D19+(VLOOKUP("CI",I292:Q292,C25,FALSE))</f>
        <v>#VALUE!</v>
      </c>
      <c r="H19" s="166"/>
      <c r="I19" s="167">
        <v>12</v>
      </c>
      <c r="J19" s="167"/>
      <c r="K19" s="168"/>
      <c r="L19" s="168"/>
      <c r="M19" s="168"/>
      <c r="N19" s="168"/>
      <c r="O19" s="168"/>
      <c r="P19" s="168"/>
      <c r="Q19" s="169"/>
      <c r="R19" s="167"/>
      <c r="S19" s="168"/>
      <c r="T19" s="168"/>
      <c r="U19" s="168"/>
      <c r="V19" s="168"/>
      <c r="W19" s="168"/>
      <c r="X19" s="168"/>
      <c r="Y19" s="169"/>
      <c r="Z19" s="167"/>
      <c r="AA19" s="168"/>
      <c r="AB19" s="168"/>
      <c r="AC19" s="168"/>
      <c r="AD19" s="168"/>
      <c r="AE19" s="168"/>
      <c r="AF19" s="168"/>
      <c r="AG19" s="169"/>
      <c r="AI19" s="173">
        <v>12</v>
      </c>
      <c r="AJ19" s="168"/>
      <c r="AK19" s="168"/>
      <c r="AL19" s="168"/>
      <c r="AM19" s="168"/>
      <c r="AN19" s="168"/>
      <c r="AO19" s="168"/>
      <c r="AP19" s="168"/>
      <c r="AQ19" s="168"/>
      <c r="AR19" s="185"/>
      <c r="AS19" s="168"/>
      <c r="AT19" s="168"/>
      <c r="AU19" s="168"/>
      <c r="AV19" s="168"/>
      <c r="AW19" s="168"/>
      <c r="AX19" s="168"/>
      <c r="AY19" s="177"/>
      <c r="AZ19" s="168"/>
      <c r="BA19" s="168"/>
      <c r="BB19" s="168"/>
      <c r="BC19" s="168"/>
      <c r="BD19" s="168"/>
      <c r="BE19" s="168"/>
      <c r="BF19" s="168"/>
      <c r="BG19" s="177"/>
    </row>
    <row r="20" spans="2:59" ht="15.75" thickTop="1">
      <c r="I20" s="167">
        <v>11</v>
      </c>
      <c r="J20" s="167"/>
      <c r="K20" s="168"/>
      <c r="L20" s="168"/>
      <c r="M20" s="168"/>
      <c r="N20" s="168"/>
      <c r="O20" s="168"/>
      <c r="P20" s="168"/>
      <c r="Q20" s="169"/>
      <c r="R20" s="167"/>
      <c r="S20" s="168"/>
      <c r="T20" s="168"/>
      <c r="U20" s="168"/>
      <c r="V20" s="168"/>
      <c r="W20" s="168"/>
      <c r="X20" s="168"/>
      <c r="Y20" s="169"/>
      <c r="Z20" s="167"/>
      <c r="AA20" s="168"/>
      <c r="AB20" s="168"/>
      <c r="AC20" s="168"/>
      <c r="AD20" s="168"/>
      <c r="AE20" s="168"/>
      <c r="AF20" s="168"/>
      <c r="AG20" s="169"/>
      <c r="AI20" s="173">
        <v>11</v>
      </c>
      <c r="AJ20" s="168"/>
      <c r="AK20" s="168"/>
      <c r="AL20" s="168"/>
      <c r="AM20" s="168"/>
      <c r="AN20" s="168"/>
      <c r="AO20" s="168"/>
      <c r="AP20" s="168"/>
      <c r="AQ20" s="168"/>
      <c r="AR20" s="185"/>
      <c r="AS20" s="168"/>
      <c r="AT20" s="168"/>
      <c r="AU20" s="168"/>
      <c r="AV20" s="168"/>
      <c r="AW20" s="168"/>
      <c r="AX20" s="168"/>
      <c r="AY20" s="177"/>
      <c r="AZ20" s="168"/>
      <c r="BA20" s="168"/>
      <c r="BB20" s="168"/>
      <c r="BC20" s="168"/>
      <c r="BD20" s="168"/>
      <c r="BE20" s="168"/>
      <c r="BF20" s="168"/>
      <c r="BG20" s="177"/>
    </row>
    <row r="21" spans="2:59">
      <c r="B21" s="144"/>
      <c r="C21" s="186" t="s">
        <v>4</v>
      </c>
      <c r="D21" s="186" t="s">
        <v>67</v>
      </c>
      <c r="E21" s="186" t="s">
        <v>68</v>
      </c>
      <c r="F21" s="186" t="s">
        <v>51</v>
      </c>
      <c r="G21" s="145"/>
      <c r="I21" s="167">
        <v>10</v>
      </c>
      <c r="J21" s="167"/>
      <c r="K21" s="168"/>
      <c r="L21" s="168"/>
      <c r="M21" s="168"/>
      <c r="N21" s="168"/>
      <c r="O21" s="168"/>
      <c r="P21" s="168"/>
      <c r="Q21" s="169"/>
      <c r="R21" s="167"/>
      <c r="S21" s="168"/>
      <c r="T21" s="168"/>
      <c r="U21" s="168"/>
      <c r="V21" s="168"/>
      <c r="W21" s="168"/>
      <c r="X21" s="168"/>
      <c r="Y21" s="169"/>
      <c r="Z21" s="167"/>
      <c r="AA21" s="168"/>
      <c r="AB21" s="168"/>
      <c r="AC21" s="168"/>
      <c r="AD21" s="168"/>
      <c r="AE21" s="168"/>
      <c r="AF21" s="168"/>
      <c r="AG21" s="169"/>
      <c r="AI21" s="173">
        <v>10</v>
      </c>
      <c r="AJ21" s="168"/>
      <c r="AK21" s="168"/>
      <c r="AL21" s="168"/>
      <c r="AM21" s="168"/>
      <c r="AN21" s="168"/>
      <c r="AO21" s="168"/>
      <c r="AP21" s="168"/>
      <c r="AQ21" s="168"/>
      <c r="AR21" s="185"/>
      <c r="AS21" s="168"/>
      <c r="AT21" s="168"/>
      <c r="AU21" s="168"/>
      <c r="AV21" s="168"/>
      <c r="AW21" s="168"/>
      <c r="AX21" s="168"/>
      <c r="AY21" s="177"/>
      <c r="AZ21" s="168"/>
      <c r="BA21" s="168"/>
      <c r="BB21" s="168"/>
      <c r="BC21" s="168"/>
      <c r="BD21" s="168"/>
      <c r="BE21" s="168"/>
      <c r="BF21" s="168"/>
      <c r="BG21" s="177"/>
    </row>
    <row r="22" spans="2:59">
      <c r="B22" s="187" t="s">
        <v>8</v>
      </c>
      <c r="C22" s="98">
        <v>2</v>
      </c>
      <c r="D22" s="98">
        <v>3</v>
      </c>
      <c r="E22" s="98">
        <v>4</v>
      </c>
      <c r="F22" s="98">
        <v>5</v>
      </c>
      <c r="G22" s="145"/>
      <c r="I22" s="167">
        <v>9</v>
      </c>
      <c r="J22" s="167"/>
      <c r="K22" s="168"/>
      <c r="L22" s="168"/>
      <c r="M22" s="168"/>
      <c r="N22" s="168"/>
      <c r="O22" s="168"/>
      <c r="P22" s="168"/>
      <c r="Q22" s="169"/>
      <c r="R22" s="167"/>
      <c r="S22" s="168"/>
      <c r="T22" s="168"/>
      <c r="U22" s="168"/>
      <c r="V22" s="168"/>
      <c r="W22" s="168"/>
      <c r="X22" s="168"/>
      <c r="Y22" s="169"/>
      <c r="Z22" s="167"/>
      <c r="AA22" s="168"/>
      <c r="AB22" s="168"/>
      <c r="AC22" s="168"/>
      <c r="AD22" s="168"/>
      <c r="AE22" s="168"/>
      <c r="AF22" s="168"/>
      <c r="AG22" s="169"/>
      <c r="AI22" s="173">
        <v>9</v>
      </c>
      <c r="AJ22" s="168"/>
      <c r="AK22" s="168"/>
      <c r="AL22" s="168"/>
      <c r="AM22" s="168"/>
      <c r="AN22" s="168"/>
      <c r="AO22" s="168"/>
      <c r="AP22" s="168"/>
      <c r="AQ22" s="168"/>
      <c r="AR22" s="185"/>
      <c r="AS22" s="168"/>
      <c r="AT22" s="168"/>
      <c r="AU22" s="168"/>
      <c r="AV22" s="168"/>
      <c r="AW22" s="168"/>
      <c r="AX22" s="168"/>
      <c r="AY22" s="177"/>
      <c r="AZ22" s="168"/>
      <c r="BA22" s="168"/>
      <c r="BB22" s="168"/>
      <c r="BC22" s="168"/>
      <c r="BD22" s="168"/>
      <c r="BE22" s="168"/>
      <c r="BF22" s="168"/>
      <c r="BG22" s="177"/>
    </row>
    <row r="23" spans="2:59">
      <c r="B23" s="187" t="s">
        <v>61</v>
      </c>
      <c r="C23" s="98">
        <v>6</v>
      </c>
      <c r="D23" s="98">
        <v>7</v>
      </c>
      <c r="E23" s="98">
        <v>8</v>
      </c>
      <c r="F23" s="98">
        <v>9</v>
      </c>
      <c r="G23" s="145"/>
      <c r="I23" s="167">
        <v>8</v>
      </c>
      <c r="J23" s="167"/>
      <c r="K23" s="168"/>
      <c r="L23" s="168"/>
      <c r="M23" s="168"/>
      <c r="N23" s="168"/>
      <c r="O23" s="168"/>
      <c r="P23" s="168"/>
      <c r="Q23" s="169"/>
      <c r="R23" s="167"/>
      <c r="S23" s="168"/>
      <c r="T23" s="168"/>
      <c r="U23" s="168"/>
      <c r="V23" s="168"/>
      <c r="W23" s="168"/>
      <c r="X23" s="168"/>
      <c r="Y23" s="169"/>
      <c r="Z23" s="167"/>
      <c r="AA23" s="168"/>
      <c r="AB23" s="168"/>
      <c r="AC23" s="168"/>
      <c r="AD23" s="168"/>
      <c r="AE23" s="168"/>
      <c r="AF23" s="168"/>
      <c r="AG23" s="169"/>
      <c r="AI23" s="173">
        <v>8</v>
      </c>
      <c r="AJ23" s="168"/>
      <c r="AK23" s="168"/>
      <c r="AL23" s="168"/>
      <c r="AM23" s="168"/>
      <c r="AN23" s="168"/>
      <c r="AO23" s="168"/>
      <c r="AP23" s="168"/>
      <c r="AQ23" s="168"/>
      <c r="AR23" s="185"/>
      <c r="AS23" s="168"/>
      <c r="AT23" s="168"/>
      <c r="AU23" s="168"/>
      <c r="AV23" s="168"/>
      <c r="AW23" s="168"/>
      <c r="AX23" s="168"/>
      <c r="AY23" s="177"/>
      <c r="AZ23" s="168"/>
      <c r="BA23" s="168"/>
      <c r="BB23" s="168"/>
      <c r="BC23" s="168"/>
      <c r="BD23" s="168"/>
      <c r="BE23" s="168"/>
      <c r="BF23" s="168"/>
      <c r="BG23" s="177"/>
    </row>
    <row r="24" spans="2:59">
      <c r="B24" s="188"/>
      <c r="C24" s="98"/>
      <c r="D24" s="145"/>
      <c r="E24" s="145"/>
      <c r="F24" s="145"/>
      <c r="G24" s="145"/>
      <c r="I24" s="167">
        <v>7</v>
      </c>
      <c r="J24" s="170"/>
      <c r="K24" s="171"/>
      <c r="L24" s="171"/>
      <c r="M24" s="171"/>
      <c r="N24" s="171"/>
      <c r="O24" s="171"/>
      <c r="P24" s="171"/>
      <c r="Q24" s="172"/>
      <c r="R24" s="167"/>
      <c r="S24" s="168"/>
      <c r="T24" s="168"/>
      <c r="U24" s="168"/>
      <c r="V24" s="168"/>
      <c r="W24" s="168"/>
      <c r="X24" s="168"/>
      <c r="Y24" s="169"/>
      <c r="Z24" s="170"/>
      <c r="AA24" s="171"/>
      <c r="AB24" s="171"/>
      <c r="AC24" s="171"/>
      <c r="AD24" s="171"/>
      <c r="AE24" s="171"/>
      <c r="AF24" s="171"/>
      <c r="AG24" s="172"/>
      <c r="AI24" s="173">
        <v>7</v>
      </c>
      <c r="AJ24" s="175"/>
      <c r="AK24" s="175"/>
      <c r="AL24" s="175"/>
      <c r="AM24" s="175"/>
      <c r="AN24" s="175"/>
      <c r="AO24" s="175"/>
      <c r="AP24" s="175"/>
      <c r="AQ24" s="175"/>
      <c r="AR24" s="185"/>
      <c r="AS24" s="168"/>
      <c r="AT24" s="168"/>
      <c r="AU24" s="168"/>
      <c r="AV24" s="168"/>
      <c r="AW24" s="168"/>
      <c r="AX24" s="168"/>
      <c r="AY24" s="177"/>
      <c r="AZ24" s="175"/>
      <c r="BA24" s="175"/>
      <c r="BB24" s="175"/>
      <c r="BC24" s="175"/>
      <c r="BD24" s="175"/>
      <c r="BE24" s="175"/>
      <c r="BF24" s="175"/>
      <c r="BG24" s="176"/>
    </row>
    <row r="25" spans="2:59">
      <c r="B25" s="187" t="s">
        <v>77</v>
      </c>
      <c r="C25" s="98">
        <f>IFERROR(INDEX(B21:F23,MATCH(C4,B21:B23,0),MATCH(C3,B21:F21,0)),"")</f>
        <v>2</v>
      </c>
      <c r="D25" s="145"/>
      <c r="E25" s="145"/>
      <c r="F25" s="145"/>
      <c r="G25" s="145"/>
      <c r="I25" s="167">
        <v>6</v>
      </c>
      <c r="J25" s="170"/>
      <c r="K25" s="171"/>
      <c r="L25" s="171"/>
      <c r="M25" s="171"/>
      <c r="N25" s="171"/>
      <c r="O25" s="171"/>
      <c r="P25" s="171"/>
      <c r="Q25" s="172"/>
      <c r="R25" s="167"/>
      <c r="S25" s="168"/>
      <c r="T25" s="168"/>
      <c r="U25" s="168"/>
      <c r="V25" s="168"/>
      <c r="W25" s="168"/>
      <c r="X25" s="168"/>
      <c r="Y25" s="169"/>
      <c r="Z25" s="170"/>
      <c r="AA25" s="171"/>
      <c r="AB25" s="171"/>
      <c r="AC25" s="171"/>
      <c r="AD25" s="171"/>
      <c r="AE25" s="171"/>
      <c r="AF25" s="171"/>
      <c r="AG25" s="172"/>
      <c r="AI25" s="173">
        <v>6</v>
      </c>
      <c r="AJ25" s="175"/>
      <c r="AK25" s="175"/>
      <c r="AL25" s="175"/>
      <c r="AM25" s="175"/>
      <c r="AN25" s="175"/>
      <c r="AO25" s="175"/>
      <c r="AP25" s="175"/>
      <c r="AQ25" s="175"/>
      <c r="AR25" s="185"/>
      <c r="AS25" s="168"/>
      <c r="AT25" s="168"/>
      <c r="AU25" s="168"/>
      <c r="AV25" s="168"/>
      <c r="AW25" s="168"/>
      <c r="AX25" s="168"/>
      <c r="AY25" s="177"/>
      <c r="AZ25" s="175"/>
      <c r="BA25" s="175"/>
      <c r="BB25" s="175"/>
      <c r="BC25" s="175"/>
      <c r="BD25" s="175"/>
      <c r="BE25" s="175"/>
      <c r="BF25" s="175"/>
      <c r="BG25" s="176"/>
    </row>
    <row r="26" spans="2:59">
      <c r="B26" s="145"/>
      <c r="C26" s="145"/>
      <c r="D26" s="145"/>
      <c r="E26" s="145"/>
      <c r="F26" s="145"/>
      <c r="G26" s="145"/>
      <c r="I26" s="167">
        <v>5</v>
      </c>
      <c r="J26" s="170"/>
      <c r="K26" s="171"/>
      <c r="L26" s="171"/>
      <c r="M26" s="171"/>
      <c r="N26" s="171"/>
      <c r="O26" s="171"/>
      <c r="P26" s="171"/>
      <c r="Q26" s="172"/>
      <c r="R26" s="167"/>
      <c r="S26" s="168"/>
      <c r="T26" s="168"/>
      <c r="U26" s="168"/>
      <c r="V26" s="168"/>
      <c r="W26" s="168"/>
      <c r="X26" s="168"/>
      <c r="Y26" s="169"/>
      <c r="Z26" s="170"/>
      <c r="AA26" s="171"/>
      <c r="AB26" s="171"/>
      <c r="AC26" s="171"/>
      <c r="AD26" s="171"/>
      <c r="AE26" s="171"/>
      <c r="AF26" s="171"/>
      <c r="AG26" s="172"/>
      <c r="AI26" s="173">
        <v>5</v>
      </c>
      <c r="AJ26" s="175"/>
      <c r="AK26" s="175"/>
      <c r="AL26" s="175"/>
      <c r="AM26" s="175"/>
      <c r="AN26" s="175"/>
      <c r="AO26" s="175"/>
      <c r="AP26" s="175"/>
      <c r="AQ26" s="175"/>
      <c r="AR26" s="185"/>
      <c r="AS26" s="168"/>
      <c r="AT26" s="168"/>
      <c r="AU26" s="168"/>
      <c r="AV26" s="168"/>
      <c r="AW26" s="168"/>
      <c r="AX26" s="168"/>
      <c r="AY26" s="177"/>
      <c r="AZ26" s="175"/>
      <c r="BA26" s="175"/>
      <c r="BB26" s="175"/>
      <c r="BC26" s="175"/>
      <c r="BD26" s="175"/>
      <c r="BE26" s="175"/>
      <c r="BF26" s="175"/>
      <c r="BG26" s="176"/>
    </row>
    <row r="27" spans="2:59" ht="15.75" thickBot="1">
      <c r="B27" s="189"/>
      <c r="I27" s="190">
        <v>4</v>
      </c>
      <c r="J27" s="191"/>
      <c r="K27" s="192"/>
      <c r="L27" s="192"/>
      <c r="M27" s="192"/>
      <c r="N27" s="192"/>
      <c r="O27" s="192"/>
      <c r="P27" s="192"/>
      <c r="Q27" s="193"/>
      <c r="R27" s="190"/>
      <c r="S27" s="194"/>
      <c r="T27" s="194"/>
      <c r="U27" s="194"/>
      <c r="V27" s="194"/>
      <c r="W27" s="194"/>
      <c r="X27" s="194"/>
      <c r="Y27" s="195"/>
      <c r="Z27" s="191"/>
      <c r="AA27" s="192"/>
      <c r="AB27" s="192"/>
      <c r="AC27" s="192"/>
      <c r="AD27" s="192"/>
      <c r="AE27" s="192"/>
      <c r="AF27" s="192"/>
      <c r="AG27" s="193"/>
      <c r="AI27" s="196">
        <v>4</v>
      </c>
      <c r="AJ27" s="197"/>
      <c r="AK27" s="197"/>
      <c r="AL27" s="197"/>
      <c r="AM27" s="197"/>
      <c r="AN27" s="197"/>
      <c r="AO27" s="197"/>
      <c r="AP27" s="197"/>
      <c r="AQ27" s="197"/>
      <c r="AR27" s="198"/>
      <c r="AS27" s="199"/>
      <c r="AT27" s="199"/>
      <c r="AU27" s="199"/>
      <c r="AV27" s="199"/>
      <c r="AW27" s="199"/>
      <c r="AX27" s="199"/>
      <c r="AY27" s="200"/>
      <c r="AZ27" s="197"/>
      <c r="BA27" s="197"/>
      <c r="BB27" s="197"/>
      <c r="BC27" s="197"/>
      <c r="BD27" s="197"/>
      <c r="BE27" s="197"/>
      <c r="BF27" s="197"/>
      <c r="BG27" s="201"/>
    </row>
    <row r="28" spans="2:59" ht="16.5" thickTop="1" thickBot="1">
      <c r="I28" s="170" t="s">
        <v>78</v>
      </c>
      <c r="J28" s="171"/>
      <c r="K28" s="171"/>
      <c r="L28" s="171"/>
      <c r="M28" s="171"/>
      <c r="N28" s="171"/>
      <c r="O28" s="171"/>
      <c r="P28" s="171"/>
      <c r="Q28" s="171"/>
      <c r="R28" s="170"/>
      <c r="S28" s="171"/>
      <c r="T28" s="171"/>
      <c r="U28" s="171"/>
      <c r="V28" s="171"/>
      <c r="W28" s="171"/>
      <c r="X28" s="171"/>
      <c r="Y28" s="172"/>
      <c r="Z28" s="171"/>
      <c r="AA28" s="171"/>
      <c r="AB28" s="171"/>
      <c r="AC28" s="171"/>
      <c r="AD28" s="171"/>
      <c r="AE28" s="171"/>
      <c r="AF28" s="171"/>
      <c r="AG28" s="172"/>
    </row>
    <row r="29" spans="2:59" ht="15.75" thickTop="1">
      <c r="I29" s="202"/>
      <c r="J29" s="285" t="s">
        <v>79</v>
      </c>
      <c r="K29" s="285"/>
      <c r="L29" s="285"/>
      <c r="M29" s="285"/>
      <c r="N29" s="285"/>
      <c r="O29" s="285"/>
      <c r="P29" s="285"/>
      <c r="Q29" s="285"/>
      <c r="R29" s="284" t="s">
        <v>80</v>
      </c>
      <c r="S29" s="285"/>
      <c r="T29" s="285"/>
      <c r="U29" s="285"/>
      <c r="V29" s="285"/>
      <c r="W29" s="285"/>
      <c r="X29" s="285"/>
      <c r="Y29" s="286"/>
      <c r="Z29" s="285" t="s">
        <v>81</v>
      </c>
      <c r="AA29" s="285"/>
      <c r="AB29" s="285"/>
      <c r="AC29" s="285"/>
      <c r="AD29" s="285"/>
      <c r="AE29" s="285"/>
      <c r="AF29" s="285"/>
      <c r="AG29" s="286"/>
      <c r="AI29" s="148"/>
      <c r="AJ29" s="287" t="s">
        <v>82</v>
      </c>
      <c r="AK29" s="287"/>
      <c r="AL29" s="287"/>
      <c r="AM29" s="287"/>
      <c r="AN29" s="287"/>
      <c r="AO29" s="287"/>
      <c r="AP29" s="287"/>
      <c r="AQ29" s="287"/>
      <c r="AR29" s="293" t="s">
        <v>83</v>
      </c>
      <c r="AS29" s="287"/>
      <c r="AT29" s="287"/>
      <c r="AU29" s="287"/>
      <c r="AV29" s="287"/>
      <c r="AW29" s="287"/>
      <c r="AX29" s="287"/>
      <c r="AY29" s="288"/>
      <c r="AZ29" s="287" t="s">
        <v>84</v>
      </c>
      <c r="BA29" s="287"/>
      <c r="BB29" s="287"/>
      <c r="BC29" s="287"/>
      <c r="BD29" s="287"/>
      <c r="BE29" s="287"/>
      <c r="BF29" s="287"/>
      <c r="BG29" s="288"/>
    </row>
    <row r="30" spans="2:59">
      <c r="I30" s="203"/>
      <c r="J30" s="290" t="s">
        <v>8</v>
      </c>
      <c r="K30" s="290"/>
      <c r="L30" s="290"/>
      <c r="M30" s="290"/>
      <c r="N30" s="290" t="s">
        <v>61</v>
      </c>
      <c r="O30" s="290"/>
      <c r="P30" s="290"/>
      <c r="Q30" s="290"/>
      <c r="R30" s="289" t="s">
        <v>8</v>
      </c>
      <c r="S30" s="290"/>
      <c r="T30" s="290"/>
      <c r="U30" s="290"/>
      <c r="V30" s="290" t="s">
        <v>61</v>
      </c>
      <c r="W30" s="290"/>
      <c r="X30" s="290"/>
      <c r="Y30" s="291"/>
      <c r="Z30" s="290" t="s">
        <v>8</v>
      </c>
      <c r="AA30" s="290"/>
      <c r="AB30" s="290"/>
      <c r="AC30" s="290"/>
      <c r="AD30" s="290" t="s">
        <v>61</v>
      </c>
      <c r="AE30" s="290"/>
      <c r="AF30" s="290"/>
      <c r="AG30" s="291"/>
      <c r="AI30" s="150"/>
      <c r="AJ30" s="290" t="s">
        <v>8</v>
      </c>
      <c r="AK30" s="290"/>
      <c r="AL30" s="290"/>
      <c r="AM30" s="290"/>
      <c r="AN30" s="290" t="s">
        <v>61</v>
      </c>
      <c r="AO30" s="290"/>
      <c r="AP30" s="290"/>
      <c r="AQ30" s="290"/>
      <c r="AR30" s="292" t="s">
        <v>8</v>
      </c>
      <c r="AS30" s="290"/>
      <c r="AT30" s="290"/>
      <c r="AU30" s="290"/>
      <c r="AV30" s="290" t="s">
        <v>61</v>
      </c>
      <c r="AW30" s="290"/>
      <c r="AX30" s="290"/>
      <c r="AY30" s="294"/>
      <c r="AZ30" s="290" t="s">
        <v>8</v>
      </c>
      <c r="BA30" s="290"/>
      <c r="BB30" s="290"/>
      <c r="BC30" s="290"/>
      <c r="BD30" s="290" t="s">
        <v>61</v>
      </c>
      <c r="BE30" s="290"/>
      <c r="BF30" s="290"/>
      <c r="BG30" s="294"/>
    </row>
    <row r="31" spans="2:59">
      <c r="I31" s="204" t="s">
        <v>66</v>
      </c>
      <c r="J31" s="157" t="s">
        <v>4</v>
      </c>
      <c r="K31" s="157" t="s">
        <v>67</v>
      </c>
      <c r="L31" s="157" t="s">
        <v>68</v>
      </c>
      <c r="M31" s="157" t="s">
        <v>51</v>
      </c>
      <c r="N31" s="157" t="s">
        <v>4</v>
      </c>
      <c r="O31" s="157" t="s">
        <v>67</v>
      </c>
      <c r="P31" s="157" t="s">
        <v>68</v>
      </c>
      <c r="Q31" s="157" t="s">
        <v>51</v>
      </c>
      <c r="R31" s="156" t="s">
        <v>4</v>
      </c>
      <c r="S31" s="157" t="s">
        <v>67</v>
      </c>
      <c r="T31" s="157" t="s">
        <v>68</v>
      </c>
      <c r="U31" s="157" t="s">
        <v>51</v>
      </c>
      <c r="V31" s="157" t="s">
        <v>4</v>
      </c>
      <c r="W31" s="157" t="s">
        <v>67</v>
      </c>
      <c r="X31" s="157" t="s">
        <v>68</v>
      </c>
      <c r="Y31" s="158" t="s">
        <v>51</v>
      </c>
      <c r="Z31" s="157" t="s">
        <v>4</v>
      </c>
      <c r="AA31" s="157" t="s">
        <v>67</v>
      </c>
      <c r="AB31" s="157" t="s">
        <v>68</v>
      </c>
      <c r="AC31" s="157" t="s">
        <v>51</v>
      </c>
      <c r="AD31" s="157" t="s">
        <v>4</v>
      </c>
      <c r="AE31" s="157" t="s">
        <v>67</v>
      </c>
      <c r="AF31" s="157" t="s">
        <v>68</v>
      </c>
      <c r="AG31" s="158" t="s">
        <v>51</v>
      </c>
      <c r="AI31" s="159" t="s">
        <v>66</v>
      </c>
      <c r="AJ31" s="157" t="s">
        <v>4</v>
      </c>
      <c r="AK31" s="157" t="s">
        <v>67</v>
      </c>
      <c r="AL31" s="157" t="s">
        <v>68</v>
      </c>
      <c r="AM31" s="157" t="s">
        <v>51</v>
      </c>
      <c r="AN31" s="157" t="s">
        <v>4</v>
      </c>
      <c r="AO31" s="157" t="s">
        <v>67</v>
      </c>
      <c r="AP31" s="157" t="s">
        <v>68</v>
      </c>
      <c r="AQ31" s="157" t="s">
        <v>51</v>
      </c>
      <c r="AR31" s="160" t="s">
        <v>4</v>
      </c>
      <c r="AS31" s="157" t="s">
        <v>67</v>
      </c>
      <c r="AT31" s="157" t="s">
        <v>68</v>
      </c>
      <c r="AU31" s="157" t="s">
        <v>51</v>
      </c>
      <c r="AV31" s="157" t="s">
        <v>4</v>
      </c>
      <c r="AW31" s="157" t="s">
        <v>67</v>
      </c>
      <c r="AX31" s="157" t="s">
        <v>68</v>
      </c>
      <c r="AY31" s="161" t="s">
        <v>51</v>
      </c>
      <c r="AZ31" s="157" t="s">
        <v>4</v>
      </c>
      <c r="BA31" s="157" t="s">
        <v>67</v>
      </c>
      <c r="BB31" s="157" t="s">
        <v>68</v>
      </c>
      <c r="BC31" s="157" t="s">
        <v>51</v>
      </c>
      <c r="BD31" s="157" t="s">
        <v>4</v>
      </c>
      <c r="BE31" s="157" t="s">
        <v>67</v>
      </c>
      <c r="BF31" s="157" t="s">
        <v>68</v>
      </c>
      <c r="BG31" s="161" t="s">
        <v>51</v>
      </c>
    </row>
    <row r="32" spans="2:59">
      <c r="I32" s="205">
        <v>24</v>
      </c>
      <c r="J32" s="168"/>
      <c r="K32" s="168"/>
      <c r="L32" s="168"/>
      <c r="M32" s="168"/>
      <c r="N32" s="168"/>
      <c r="O32" s="168"/>
      <c r="P32" s="168"/>
      <c r="Q32" s="168"/>
      <c r="R32" s="170"/>
      <c r="S32" s="171"/>
      <c r="T32" s="171"/>
      <c r="U32" s="171"/>
      <c r="V32" s="171"/>
      <c r="W32" s="171"/>
      <c r="X32" s="171"/>
      <c r="Y32" s="172"/>
      <c r="Z32" s="168"/>
      <c r="AA32" s="168"/>
      <c r="AB32" s="168"/>
      <c r="AC32" s="168"/>
      <c r="AD32" s="168"/>
      <c r="AE32" s="168"/>
      <c r="AF32" s="168"/>
      <c r="AG32" s="169"/>
      <c r="AI32" s="173">
        <v>24</v>
      </c>
      <c r="AJ32" s="168"/>
      <c r="AK32" s="168"/>
      <c r="AL32" s="168"/>
      <c r="AM32" s="168"/>
      <c r="AN32" s="168"/>
      <c r="AO32" s="168"/>
      <c r="AP32" s="168"/>
      <c r="AQ32" s="168"/>
      <c r="AR32" s="174"/>
      <c r="AS32" s="175"/>
      <c r="AT32" s="175"/>
      <c r="AU32" s="175"/>
      <c r="AV32" s="175"/>
      <c r="AW32" s="175"/>
      <c r="AX32" s="175"/>
      <c r="AY32" s="176"/>
      <c r="AZ32" s="168"/>
      <c r="BA32" s="168"/>
      <c r="BB32" s="168"/>
      <c r="BC32" s="168"/>
      <c r="BD32" s="168"/>
      <c r="BE32" s="168"/>
      <c r="BF32" s="168"/>
      <c r="BG32" s="177"/>
    </row>
    <row r="33" spans="9:59">
      <c r="I33" s="205">
        <v>23</v>
      </c>
      <c r="J33" s="168"/>
      <c r="K33" s="168"/>
      <c r="L33" s="168"/>
      <c r="M33" s="168"/>
      <c r="N33" s="168"/>
      <c r="O33" s="168"/>
      <c r="P33" s="168"/>
      <c r="Q33" s="168"/>
      <c r="R33" s="170"/>
      <c r="S33" s="171"/>
      <c r="T33" s="171"/>
      <c r="U33" s="171"/>
      <c r="V33" s="171"/>
      <c r="W33" s="171"/>
      <c r="X33" s="171"/>
      <c r="Y33" s="172"/>
      <c r="Z33" s="168"/>
      <c r="AA33" s="168"/>
      <c r="AB33" s="168"/>
      <c r="AC33" s="168"/>
      <c r="AD33" s="168"/>
      <c r="AE33" s="168"/>
      <c r="AF33" s="168"/>
      <c r="AG33" s="169"/>
      <c r="AI33" s="173">
        <v>23</v>
      </c>
      <c r="AJ33" s="168"/>
      <c r="AK33" s="168"/>
      <c r="AL33" s="168"/>
      <c r="AM33" s="168"/>
      <c r="AN33" s="168"/>
      <c r="AO33" s="168"/>
      <c r="AP33" s="168"/>
      <c r="AQ33" s="168"/>
      <c r="AR33" s="174"/>
      <c r="AS33" s="175"/>
      <c r="AT33" s="175"/>
      <c r="AU33" s="175"/>
      <c r="AV33" s="175"/>
      <c r="AW33" s="175"/>
      <c r="AX33" s="175"/>
      <c r="AY33" s="176"/>
      <c r="AZ33" s="168"/>
      <c r="BA33" s="168"/>
      <c r="BB33" s="168"/>
      <c r="BC33" s="168"/>
      <c r="BD33" s="168"/>
      <c r="BE33" s="168"/>
      <c r="BF33" s="168"/>
      <c r="BG33" s="177"/>
    </row>
    <row r="34" spans="9:59">
      <c r="I34" s="205">
        <v>22</v>
      </c>
      <c r="J34" s="168"/>
      <c r="K34" s="168"/>
      <c r="L34" s="168"/>
      <c r="M34" s="168"/>
      <c r="N34" s="168"/>
      <c r="O34" s="168"/>
      <c r="P34" s="168"/>
      <c r="Q34" s="168"/>
      <c r="R34" s="170"/>
      <c r="S34" s="171"/>
      <c r="T34" s="171"/>
      <c r="U34" s="171"/>
      <c r="V34" s="171"/>
      <c r="W34" s="171"/>
      <c r="X34" s="171"/>
      <c r="Y34" s="172"/>
      <c r="Z34" s="168"/>
      <c r="AA34" s="168"/>
      <c r="AB34" s="168"/>
      <c r="AC34" s="168"/>
      <c r="AD34" s="168"/>
      <c r="AE34" s="168"/>
      <c r="AF34" s="168"/>
      <c r="AG34" s="169"/>
      <c r="AI34" s="173">
        <v>22</v>
      </c>
      <c r="AJ34" s="168"/>
      <c r="AK34" s="168"/>
      <c r="AL34" s="168"/>
      <c r="AM34" s="168"/>
      <c r="AN34" s="168"/>
      <c r="AO34" s="168"/>
      <c r="AP34" s="168"/>
      <c r="AQ34" s="168"/>
      <c r="AR34" s="174"/>
      <c r="AS34" s="175"/>
      <c r="AT34" s="175"/>
      <c r="AU34" s="175"/>
      <c r="AV34" s="175"/>
      <c r="AW34" s="175"/>
      <c r="AX34" s="175"/>
      <c r="AY34" s="176"/>
      <c r="AZ34" s="168"/>
      <c r="BA34" s="168"/>
      <c r="BB34" s="168"/>
      <c r="BC34" s="168"/>
      <c r="BD34" s="168"/>
      <c r="BE34" s="168"/>
      <c r="BF34" s="168"/>
      <c r="BG34" s="177"/>
    </row>
    <row r="35" spans="9:59">
      <c r="I35" s="205">
        <v>21</v>
      </c>
      <c r="J35" s="168"/>
      <c r="K35" s="168"/>
      <c r="L35" s="168"/>
      <c r="M35" s="168"/>
      <c r="N35" s="168"/>
      <c r="O35" s="168"/>
      <c r="P35" s="168"/>
      <c r="Q35" s="168"/>
      <c r="R35" s="170"/>
      <c r="S35" s="171"/>
      <c r="T35" s="171"/>
      <c r="U35" s="171"/>
      <c r="V35" s="171"/>
      <c r="W35" s="171"/>
      <c r="X35" s="171"/>
      <c r="Y35" s="172"/>
      <c r="Z35" s="168"/>
      <c r="AA35" s="168"/>
      <c r="AB35" s="168"/>
      <c r="AC35" s="168"/>
      <c r="AD35" s="168"/>
      <c r="AE35" s="168"/>
      <c r="AF35" s="168"/>
      <c r="AG35" s="169"/>
      <c r="AI35" s="173">
        <v>21</v>
      </c>
      <c r="AJ35" s="168"/>
      <c r="AK35" s="168"/>
      <c r="AL35" s="168"/>
      <c r="AM35" s="168"/>
      <c r="AN35" s="168"/>
      <c r="AO35" s="168"/>
      <c r="AP35" s="168"/>
      <c r="AQ35" s="168"/>
      <c r="AR35" s="174"/>
      <c r="AS35" s="175"/>
      <c r="AT35" s="175"/>
      <c r="AU35" s="175"/>
      <c r="AV35" s="175"/>
      <c r="AW35" s="175"/>
      <c r="AX35" s="175"/>
      <c r="AY35" s="176"/>
      <c r="AZ35" s="168"/>
      <c r="BA35" s="168"/>
      <c r="BB35" s="168"/>
      <c r="BC35" s="168"/>
      <c r="BD35" s="168"/>
      <c r="BE35" s="168"/>
      <c r="BF35" s="168"/>
      <c r="BG35" s="177"/>
    </row>
    <row r="36" spans="9:59">
      <c r="I36" s="205">
        <v>20</v>
      </c>
      <c r="J36" s="168"/>
      <c r="K36" s="168"/>
      <c r="L36" s="168"/>
      <c r="M36" s="168"/>
      <c r="N36" s="168"/>
      <c r="O36" s="168"/>
      <c r="P36" s="168"/>
      <c r="Q36" s="168"/>
      <c r="R36" s="170"/>
      <c r="S36" s="171"/>
      <c r="T36" s="171"/>
      <c r="U36" s="171"/>
      <c r="V36" s="171"/>
      <c r="W36" s="171"/>
      <c r="X36" s="171"/>
      <c r="Y36" s="172"/>
      <c r="Z36" s="168"/>
      <c r="AA36" s="168"/>
      <c r="AB36" s="168"/>
      <c r="AC36" s="168"/>
      <c r="AD36" s="168"/>
      <c r="AE36" s="168"/>
      <c r="AF36" s="168"/>
      <c r="AG36" s="169"/>
      <c r="AI36" s="173">
        <v>20</v>
      </c>
      <c r="AJ36" s="168"/>
      <c r="AK36" s="168"/>
      <c r="AL36" s="168"/>
      <c r="AM36" s="168"/>
      <c r="AN36" s="168"/>
      <c r="AO36" s="168"/>
      <c r="AP36" s="168"/>
      <c r="AQ36" s="168"/>
      <c r="AR36" s="174"/>
      <c r="AS36" s="175"/>
      <c r="AT36" s="175"/>
      <c r="AU36" s="175"/>
      <c r="AV36" s="175"/>
      <c r="AW36" s="175"/>
      <c r="AX36" s="175"/>
      <c r="AY36" s="176"/>
      <c r="AZ36" s="168"/>
      <c r="BA36" s="168"/>
      <c r="BB36" s="168"/>
      <c r="BC36" s="168"/>
      <c r="BD36" s="168"/>
      <c r="BE36" s="168"/>
      <c r="BF36" s="168"/>
      <c r="BG36" s="177"/>
    </row>
    <row r="37" spans="9:59">
      <c r="I37" s="205">
        <v>19</v>
      </c>
      <c r="J37" s="168"/>
      <c r="K37" s="168"/>
      <c r="L37" s="168"/>
      <c r="M37" s="168"/>
      <c r="N37" s="168"/>
      <c r="O37" s="168"/>
      <c r="P37" s="168"/>
      <c r="Q37" s="168"/>
      <c r="R37" s="170"/>
      <c r="S37" s="171"/>
      <c r="T37" s="171"/>
      <c r="U37" s="171"/>
      <c r="V37" s="171"/>
      <c r="W37" s="171"/>
      <c r="X37" s="171"/>
      <c r="Y37" s="172"/>
      <c r="Z37" s="168"/>
      <c r="AA37" s="168"/>
      <c r="AB37" s="168"/>
      <c r="AC37" s="168"/>
      <c r="AD37" s="168"/>
      <c r="AE37" s="168"/>
      <c r="AF37" s="168"/>
      <c r="AG37" s="169"/>
      <c r="AI37" s="173">
        <v>19</v>
      </c>
      <c r="AJ37" s="168"/>
      <c r="AK37" s="168"/>
      <c r="AL37" s="168"/>
      <c r="AM37" s="168"/>
      <c r="AN37" s="168"/>
      <c r="AO37" s="168"/>
      <c r="AP37" s="168"/>
      <c r="AQ37" s="168"/>
      <c r="AR37" s="174"/>
      <c r="AS37" s="175"/>
      <c r="AT37" s="175"/>
      <c r="AU37" s="175"/>
      <c r="AV37" s="175"/>
      <c r="AW37" s="175"/>
      <c r="AX37" s="175"/>
      <c r="AY37" s="176"/>
      <c r="AZ37" s="168"/>
      <c r="BA37" s="168"/>
      <c r="BB37" s="168"/>
      <c r="BC37" s="168"/>
      <c r="BD37" s="168"/>
      <c r="BE37" s="168"/>
      <c r="BF37" s="168"/>
      <c r="BG37" s="177"/>
    </row>
    <row r="38" spans="9:59">
      <c r="I38" s="205">
        <v>18</v>
      </c>
      <c r="J38" s="168"/>
      <c r="K38" s="168"/>
      <c r="L38" s="168"/>
      <c r="M38" s="168"/>
      <c r="N38" s="168"/>
      <c r="O38" s="168"/>
      <c r="P38" s="168"/>
      <c r="Q38" s="168"/>
      <c r="R38" s="170"/>
      <c r="S38" s="171"/>
      <c r="T38" s="171"/>
      <c r="U38" s="171"/>
      <c r="V38" s="171"/>
      <c r="W38" s="171"/>
      <c r="X38" s="171"/>
      <c r="Y38" s="172"/>
      <c r="Z38" s="168"/>
      <c r="AA38" s="168"/>
      <c r="AB38" s="168"/>
      <c r="AC38" s="168"/>
      <c r="AD38" s="168"/>
      <c r="AE38" s="168"/>
      <c r="AF38" s="168"/>
      <c r="AG38" s="169"/>
      <c r="AI38" s="173">
        <v>18</v>
      </c>
      <c r="AJ38" s="168"/>
      <c r="AK38" s="168"/>
      <c r="AL38" s="168"/>
      <c r="AM38" s="168"/>
      <c r="AN38" s="168"/>
      <c r="AO38" s="168"/>
      <c r="AP38" s="168"/>
      <c r="AQ38" s="168"/>
      <c r="AR38" s="174"/>
      <c r="AS38" s="175"/>
      <c r="AT38" s="175"/>
      <c r="AU38" s="175"/>
      <c r="AV38" s="175"/>
      <c r="AW38" s="175"/>
      <c r="AX38" s="175"/>
      <c r="AY38" s="176"/>
      <c r="AZ38" s="168"/>
      <c r="BA38" s="168"/>
      <c r="BB38" s="168"/>
      <c r="BC38" s="168"/>
      <c r="BD38" s="168"/>
      <c r="BE38" s="168"/>
      <c r="BF38" s="168"/>
      <c r="BG38" s="177"/>
    </row>
    <row r="39" spans="9:59">
      <c r="I39" s="205">
        <v>17</v>
      </c>
      <c r="J39" s="168"/>
      <c r="K39" s="168"/>
      <c r="L39" s="168"/>
      <c r="M39" s="168"/>
      <c r="N39" s="168"/>
      <c r="O39" s="168"/>
      <c r="P39" s="168"/>
      <c r="Q39" s="168"/>
      <c r="R39" s="170"/>
      <c r="S39" s="171"/>
      <c r="T39" s="171"/>
      <c r="U39" s="171"/>
      <c r="V39" s="171"/>
      <c r="W39" s="171"/>
      <c r="X39" s="171"/>
      <c r="Y39" s="172"/>
      <c r="Z39" s="168"/>
      <c r="AA39" s="168"/>
      <c r="AB39" s="168"/>
      <c r="AC39" s="168"/>
      <c r="AD39" s="168"/>
      <c r="AE39" s="168"/>
      <c r="AF39" s="168"/>
      <c r="AG39" s="169"/>
      <c r="AI39" s="173">
        <v>17</v>
      </c>
      <c r="AJ39" s="168"/>
      <c r="AK39" s="168"/>
      <c r="AL39" s="168"/>
      <c r="AM39" s="168"/>
      <c r="AN39" s="168"/>
      <c r="AO39" s="168"/>
      <c r="AP39" s="168"/>
      <c r="AQ39" s="168"/>
      <c r="AR39" s="174"/>
      <c r="AS39" s="175"/>
      <c r="AT39" s="175"/>
      <c r="AU39" s="175"/>
      <c r="AV39" s="175"/>
      <c r="AW39" s="175"/>
      <c r="AX39" s="175"/>
      <c r="AY39" s="176"/>
      <c r="AZ39" s="168"/>
      <c r="BA39" s="168"/>
      <c r="BB39" s="168"/>
      <c r="BC39" s="168"/>
      <c r="BD39" s="168"/>
      <c r="BE39" s="168"/>
      <c r="BF39" s="168"/>
      <c r="BG39" s="177"/>
    </row>
    <row r="40" spans="9:59">
      <c r="I40" s="205">
        <v>16</v>
      </c>
      <c r="J40" s="168"/>
      <c r="K40" s="168"/>
      <c r="L40" s="168"/>
      <c r="M40" s="168"/>
      <c r="N40" s="168"/>
      <c r="O40" s="168"/>
      <c r="P40" s="168"/>
      <c r="Q40" s="168"/>
      <c r="R40" s="170"/>
      <c r="S40" s="171"/>
      <c r="T40" s="171"/>
      <c r="U40" s="171"/>
      <c r="V40" s="171"/>
      <c r="W40" s="171"/>
      <c r="X40" s="171"/>
      <c r="Y40" s="172"/>
      <c r="Z40" s="168"/>
      <c r="AA40" s="168"/>
      <c r="AB40" s="168"/>
      <c r="AC40" s="168"/>
      <c r="AD40" s="168"/>
      <c r="AE40" s="168"/>
      <c r="AF40" s="168"/>
      <c r="AG40" s="169"/>
      <c r="AI40" s="173">
        <v>16</v>
      </c>
      <c r="AJ40" s="168"/>
      <c r="AK40" s="168"/>
      <c r="AL40" s="168"/>
      <c r="AM40" s="168"/>
      <c r="AN40" s="168"/>
      <c r="AO40" s="168"/>
      <c r="AP40" s="168"/>
      <c r="AQ40" s="168"/>
      <c r="AR40" s="174"/>
      <c r="AS40" s="175"/>
      <c r="AT40" s="175"/>
      <c r="AU40" s="175"/>
      <c r="AV40" s="175"/>
      <c r="AW40" s="175"/>
      <c r="AX40" s="175"/>
      <c r="AY40" s="176"/>
      <c r="AZ40" s="168"/>
      <c r="BA40" s="168"/>
      <c r="BB40" s="168"/>
      <c r="BC40" s="168"/>
      <c r="BD40" s="168"/>
      <c r="BE40" s="168"/>
      <c r="BF40" s="168"/>
      <c r="BG40" s="177"/>
    </row>
    <row r="41" spans="9:59">
      <c r="I41" s="205">
        <v>15</v>
      </c>
      <c r="J41" s="168"/>
      <c r="K41" s="168"/>
      <c r="L41" s="168"/>
      <c r="M41" s="168"/>
      <c r="N41" s="168"/>
      <c r="O41" s="168"/>
      <c r="P41" s="168"/>
      <c r="Q41" s="168"/>
      <c r="R41" s="167"/>
      <c r="S41" s="168"/>
      <c r="T41" s="168"/>
      <c r="U41" s="168"/>
      <c r="V41" s="168"/>
      <c r="W41" s="168"/>
      <c r="X41" s="168"/>
      <c r="Y41" s="169"/>
      <c r="Z41" s="168"/>
      <c r="AA41" s="168"/>
      <c r="AB41" s="168"/>
      <c r="AC41" s="168"/>
      <c r="AD41" s="168"/>
      <c r="AE41" s="168"/>
      <c r="AF41" s="168"/>
      <c r="AG41" s="169"/>
      <c r="AI41" s="173">
        <v>15</v>
      </c>
      <c r="AJ41" s="168"/>
      <c r="AK41" s="168"/>
      <c r="AL41" s="168"/>
      <c r="AM41" s="168"/>
      <c r="AN41" s="168"/>
      <c r="AO41" s="168"/>
      <c r="AP41" s="168"/>
      <c r="AQ41" s="168"/>
      <c r="AR41" s="185"/>
      <c r="AS41" s="168"/>
      <c r="AT41" s="168"/>
      <c r="AU41" s="168"/>
      <c r="AV41" s="168"/>
      <c r="AW41" s="168"/>
      <c r="AX41" s="168"/>
      <c r="AY41" s="177"/>
      <c r="AZ41" s="168"/>
      <c r="BA41" s="168"/>
      <c r="BB41" s="168"/>
      <c r="BC41" s="168"/>
      <c r="BD41" s="168"/>
      <c r="BE41" s="168"/>
      <c r="BF41" s="168"/>
      <c r="BG41" s="177"/>
    </row>
    <row r="42" spans="9:59">
      <c r="I42" s="205">
        <v>14</v>
      </c>
      <c r="J42" s="168"/>
      <c r="K42" s="168"/>
      <c r="L42" s="168"/>
      <c r="M42" s="168"/>
      <c r="N42" s="168"/>
      <c r="O42" s="168"/>
      <c r="P42" s="168"/>
      <c r="Q42" s="168"/>
      <c r="R42" s="167"/>
      <c r="S42" s="168"/>
      <c r="T42" s="168"/>
      <c r="U42" s="168"/>
      <c r="V42" s="168"/>
      <c r="W42" s="168"/>
      <c r="X42" s="168"/>
      <c r="Y42" s="169"/>
      <c r="Z42" s="168"/>
      <c r="AA42" s="168"/>
      <c r="AB42" s="168"/>
      <c r="AC42" s="168"/>
      <c r="AD42" s="168"/>
      <c r="AE42" s="168"/>
      <c r="AF42" s="168"/>
      <c r="AG42" s="169"/>
      <c r="AI42" s="173">
        <v>14</v>
      </c>
      <c r="AJ42" s="168"/>
      <c r="AK42" s="168"/>
      <c r="AL42" s="168"/>
      <c r="AM42" s="168"/>
      <c r="AN42" s="168"/>
      <c r="AO42" s="168"/>
      <c r="AP42" s="168"/>
      <c r="AQ42" s="168"/>
      <c r="AR42" s="185"/>
      <c r="AS42" s="168"/>
      <c r="AT42" s="168"/>
      <c r="AU42" s="168"/>
      <c r="AV42" s="168"/>
      <c r="AW42" s="168"/>
      <c r="AX42" s="168"/>
      <c r="AY42" s="177"/>
      <c r="AZ42" s="168"/>
      <c r="BA42" s="168"/>
      <c r="BB42" s="168"/>
      <c r="BC42" s="168"/>
      <c r="BD42" s="168"/>
      <c r="BE42" s="168"/>
      <c r="BF42" s="168"/>
      <c r="BG42" s="177"/>
    </row>
    <row r="43" spans="9:59">
      <c r="I43" s="205">
        <v>13</v>
      </c>
      <c r="J43" s="168"/>
      <c r="K43" s="168"/>
      <c r="L43" s="168"/>
      <c r="M43" s="168"/>
      <c r="N43" s="168"/>
      <c r="O43" s="168"/>
      <c r="P43" s="168"/>
      <c r="Q43" s="168"/>
      <c r="R43" s="167"/>
      <c r="S43" s="168"/>
      <c r="T43" s="168"/>
      <c r="U43" s="168"/>
      <c r="V43" s="168"/>
      <c r="W43" s="168"/>
      <c r="X43" s="168"/>
      <c r="Y43" s="169"/>
      <c r="Z43" s="168"/>
      <c r="AA43" s="168"/>
      <c r="AB43" s="168"/>
      <c r="AC43" s="168"/>
      <c r="AD43" s="168"/>
      <c r="AE43" s="168"/>
      <c r="AF43" s="168"/>
      <c r="AG43" s="169"/>
      <c r="AI43" s="173">
        <v>13</v>
      </c>
      <c r="AJ43" s="168"/>
      <c r="AK43" s="168"/>
      <c r="AL43" s="168"/>
      <c r="AM43" s="168"/>
      <c r="AN43" s="168"/>
      <c r="AO43" s="168"/>
      <c r="AP43" s="168"/>
      <c r="AQ43" s="168"/>
      <c r="AR43" s="185"/>
      <c r="AS43" s="168"/>
      <c r="AT43" s="168"/>
      <c r="AU43" s="168"/>
      <c r="AV43" s="168"/>
      <c r="AW43" s="168"/>
      <c r="AX43" s="168"/>
      <c r="AY43" s="177"/>
      <c r="AZ43" s="168"/>
      <c r="BA43" s="168"/>
      <c r="BB43" s="168"/>
      <c r="BC43" s="168"/>
      <c r="BD43" s="168"/>
      <c r="BE43" s="168"/>
      <c r="BF43" s="168"/>
      <c r="BG43" s="177"/>
    </row>
    <row r="44" spans="9:59">
      <c r="I44" s="205">
        <v>12</v>
      </c>
      <c r="J44" s="168"/>
      <c r="K44" s="168"/>
      <c r="L44" s="168"/>
      <c r="M44" s="168"/>
      <c r="N44" s="168"/>
      <c r="O44" s="168"/>
      <c r="P44" s="168"/>
      <c r="Q44" s="168"/>
      <c r="R44" s="167"/>
      <c r="S44" s="168"/>
      <c r="T44" s="168"/>
      <c r="U44" s="168"/>
      <c r="V44" s="168"/>
      <c r="W44" s="168"/>
      <c r="X44" s="168"/>
      <c r="Y44" s="169"/>
      <c r="Z44" s="168"/>
      <c r="AA44" s="168"/>
      <c r="AB44" s="168"/>
      <c r="AC44" s="168"/>
      <c r="AD44" s="168"/>
      <c r="AE44" s="168"/>
      <c r="AF44" s="168"/>
      <c r="AG44" s="169"/>
      <c r="AI44" s="173">
        <v>12</v>
      </c>
      <c r="AJ44" s="168"/>
      <c r="AK44" s="168"/>
      <c r="AL44" s="168"/>
      <c r="AM44" s="168"/>
      <c r="AN44" s="168"/>
      <c r="AO44" s="168"/>
      <c r="AP44" s="168"/>
      <c r="AQ44" s="168"/>
      <c r="AR44" s="185"/>
      <c r="AS44" s="168"/>
      <c r="AT44" s="168"/>
      <c r="AU44" s="168"/>
      <c r="AV44" s="168"/>
      <c r="AW44" s="168"/>
      <c r="AX44" s="168"/>
      <c r="AY44" s="177"/>
      <c r="AZ44" s="168"/>
      <c r="BA44" s="168"/>
      <c r="BB44" s="168"/>
      <c r="BC44" s="168"/>
      <c r="BD44" s="168"/>
      <c r="BE44" s="168"/>
      <c r="BF44" s="168"/>
      <c r="BG44" s="177"/>
    </row>
    <row r="45" spans="9:59">
      <c r="I45" s="205">
        <v>11</v>
      </c>
      <c r="J45" s="168"/>
      <c r="K45" s="168"/>
      <c r="L45" s="168"/>
      <c r="M45" s="168"/>
      <c r="N45" s="168"/>
      <c r="O45" s="168"/>
      <c r="P45" s="168"/>
      <c r="Q45" s="168"/>
      <c r="R45" s="167"/>
      <c r="S45" s="168"/>
      <c r="T45" s="168"/>
      <c r="U45" s="168"/>
      <c r="V45" s="168"/>
      <c r="W45" s="168"/>
      <c r="X45" s="168"/>
      <c r="Y45" s="169"/>
      <c r="Z45" s="168"/>
      <c r="AA45" s="168"/>
      <c r="AB45" s="168"/>
      <c r="AC45" s="168"/>
      <c r="AD45" s="168"/>
      <c r="AE45" s="168"/>
      <c r="AF45" s="168"/>
      <c r="AG45" s="169"/>
      <c r="AI45" s="173">
        <v>11</v>
      </c>
      <c r="AJ45" s="168"/>
      <c r="AK45" s="168"/>
      <c r="AL45" s="168"/>
      <c r="AM45" s="168"/>
      <c r="AN45" s="168"/>
      <c r="AO45" s="168"/>
      <c r="AP45" s="168"/>
      <c r="AQ45" s="168"/>
      <c r="AR45" s="185"/>
      <c r="AS45" s="168"/>
      <c r="AT45" s="168"/>
      <c r="AU45" s="168"/>
      <c r="AV45" s="168"/>
      <c r="AW45" s="168"/>
      <c r="AX45" s="168"/>
      <c r="AY45" s="177"/>
      <c r="AZ45" s="168"/>
      <c r="BA45" s="168"/>
      <c r="BB45" s="168"/>
      <c r="BC45" s="168"/>
      <c r="BD45" s="168"/>
      <c r="BE45" s="168"/>
      <c r="BF45" s="168"/>
      <c r="BG45" s="177"/>
    </row>
    <row r="46" spans="9:59">
      <c r="I46" s="205">
        <v>10</v>
      </c>
      <c r="J46" s="168"/>
      <c r="K46" s="168"/>
      <c r="L46" s="168"/>
      <c r="M46" s="168"/>
      <c r="N46" s="168"/>
      <c r="O46" s="168"/>
      <c r="P46" s="168"/>
      <c r="Q46" s="168"/>
      <c r="R46" s="167"/>
      <c r="S46" s="168"/>
      <c r="T46" s="168"/>
      <c r="U46" s="168"/>
      <c r="V46" s="168"/>
      <c r="W46" s="168"/>
      <c r="X46" s="168"/>
      <c r="Y46" s="169"/>
      <c r="Z46" s="168"/>
      <c r="AA46" s="168"/>
      <c r="AB46" s="168"/>
      <c r="AC46" s="168"/>
      <c r="AD46" s="168"/>
      <c r="AE46" s="168"/>
      <c r="AF46" s="168"/>
      <c r="AG46" s="169"/>
      <c r="AI46" s="173">
        <v>10</v>
      </c>
      <c r="AJ46" s="168"/>
      <c r="AK46" s="168"/>
      <c r="AL46" s="168"/>
      <c r="AM46" s="168"/>
      <c r="AN46" s="168"/>
      <c r="AO46" s="168"/>
      <c r="AP46" s="168"/>
      <c r="AQ46" s="168"/>
      <c r="AR46" s="185"/>
      <c r="AS46" s="168"/>
      <c r="AT46" s="168"/>
      <c r="AU46" s="168"/>
      <c r="AV46" s="168"/>
      <c r="AW46" s="168"/>
      <c r="AX46" s="168"/>
      <c r="AY46" s="177"/>
      <c r="AZ46" s="168"/>
      <c r="BA46" s="168"/>
      <c r="BB46" s="168"/>
      <c r="BC46" s="168"/>
      <c r="BD46" s="168"/>
      <c r="BE46" s="168"/>
      <c r="BF46" s="168"/>
      <c r="BG46" s="177"/>
    </row>
    <row r="47" spans="9:59">
      <c r="I47" s="205">
        <v>9</v>
      </c>
      <c r="J47" s="168"/>
      <c r="K47" s="168"/>
      <c r="L47" s="168"/>
      <c r="M47" s="168"/>
      <c r="N47" s="168"/>
      <c r="O47" s="168"/>
      <c r="P47" s="168"/>
      <c r="Q47" s="168"/>
      <c r="R47" s="167"/>
      <c r="S47" s="168"/>
      <c r="T47" s="168"/>
      <c r="U47" s="168"/>
      <c r="V47" s="168"/>
      <c r="W47" s="168"/>
      <c r="X47" s="168"/>
      <c r="Y47" s="169"/>
      <c r="Z47" s="168"/>
      <c r="AA47" s="168"/>
      <c r="AB47" s="168"/>
      <c r="AC47" s="168"/>
      <c r="AD47" s="168"/>
      <c r="AE47" s="168"/>
      <c r="AF47" s="168"/>
      <c r="AG47" s="169"/>
      <c r="AI47" s="173">
        <v>9</v>
      </c>
      <c r="AJ47" s="168"/>
      <c r="AK47" s="168"/>
      <c r="AL47" s="168"/>
      <c r="AM47" s="168"/>
      <c r="AN47" s="168"/>
      <c r="AO47" s="168"/>
      <c r="AP47" s="168"/>
      <c r="AQ47" s="168"/>
      <c r="AR47" s="185"/>
      <c r="AS47" s="168"/>
      <c r="AT47" s="168"/>
      <c r="AU47" s="168"/>
      <c r="AV47" s="168"/>
      <c r="AW47" s="168"/>
      <c r="AX47" s="168"/>
      <c r="AY47" s="177"/>
      <c r="AZ47" s="168"/>
      <c r="BA47" s="168"/>
      <c r="BB47" s="168"/>
      <c r="BC47" s="168"/>
      <c r="BD47" s="168"/>
      <c r="BE47" s="168"/>
      <c r="BF47" s="168"/>
      <c r="BG47" s="177"/>
    </row>
    <row r="48" spans="9:59">
      <c r="I48" s="205">
        <v>8</v>
      </c>
      <c r="J48" s="168"/>
      <c r="K48" s="168"/>
      <c r="L48" s="168"/>
      <c r="M48" s="168"/>
      <c r="N48" s="168"/>
      <c r="O48" s="168"/>
      <c r="P48" s="168"/>
      <c r="Q48" s="168"/>
      <c r="R48" s="167"/>
      <c r="S48" s="168"/>
      <c r="T48" s="168"/>
      <c r="U48" s="168"/>
      <c r="V48" s="168"/>
      <c r="W48" s="168"/>
      <c r="X48" s="168"/>
      <c r="Y48" s="169"/>
      <c r="Z48" s="168"/>
      <c r="AA48" s="168"/>
      <c r="AB48" s="168"/>
      <c r="AC48" s="168"/>
      <c r="AD48" s="168"/>
      <c r="AE48" s="168"/>
      <c r="AF48" s="168"/>
      <c r="AG48" s="169"/>
      <c r="AI48" s="173">
        <v>8</v>
      </c>
      <c r="AJ48" s="168"/>
      <c r="AK48" s="168"/>
      <c r="AL48" s="168"/>
      <c r="AM48" s="168"/>
      <c r="AN48" s="168"/>
      <c r="AO48" s="168"/>
      <c r="AP48" s="168"/>
      <c r="AQ48" s="168"/>
      <c r="AR48" s="185"/>
      <c r="AS48" s="168"/>
      <c r="AT48" s="168"/>
      <c r="AU48" s="168"/>
      <c r="AV48" s="168"/>
      <c r="AW48" s="168"/>
      <c r="AX48" s="168"/>
      <c r="AY48" s="177"/>
      <c r="AZ48" s="168"/>
      <c r="BA48" s="168"/>
      <c r="BB48" s="168"/>
      <c r="BC48" s="168"/>
      <c r="BD48" s="168"/>
      <c r="BE48" s="168"/>
      <c r="BF48" s="168"/>
      <c r="BG48" s="177"/>
    </row>
    <row r="49" spans="9:59">
      <c r="I49" s="205">
        <v>7</v>
      </c>
      <c r="J49" s="171"/>
      <c r="K49" s="171"/>
      <c r="L49" s="171"/>
      <c r="M49" s="171"/>
      <c r="N49" s="171"/>
      <c r="O49" s="171"/>
      <c r="P49" s="171"/>
      <c r="Q49" s="171"/>
      <c r="R49" s="167"/>
      <c r="S49" s="168"/>
      <c r="T49" s="168"/>
      <c r="U49" s="168"/>
      <c r="V49" s="168"/>
      <c r="W49" s="168"/>
      <c r="X49" s="168"/>
      <c r="Y49" s="169"/>
      <c r="Z49" s="171"/>
      <c r="AA49" s="171"/>
      <c r="AB49" s="171"/>
      <c r="AC49" s="171"/>
      <c r="AD49" s="171"/>
      <c r="AE49" s="171"/>
      <c r="AF49" s="171"/>
      <c r="AG49" s="172"/>
      <c r="AI49" s="173">
        <v>7</v>
      </c>
      <c r="AJ49" s="175"/>
      <c r="AK49" s="175"/>
      <c r="AL49" s="175"/>
      <c r="AM49" s="175"/>
      <c r="AN49" s="175"/>
      <c r="AO49" s="175"/>
      <c r="AP49" s="175"/>
      <c r="AQ49" s="175"/>
      <c r="AR49" s="185"/>
      <c r="AS49" s="168"/>
      <c r="AT49" s="168"/>
      <c r="AU49" s="168"/>
      <c r="AV49" s="168"/>
      <c r="AW49" s="168"/>
      <c r="AX49" s="168"/>
      <c r="AY49" s="177"/>
      <c r="AZ49" s="175"/>
      <c r="BA49" s="175"/>
      <c r="BB49" s="175"/>
      <c r="BC49" s="175"/>
      <c r="BD49" s="175"/>
      <c r="BE49" s="175"/>
      <c r="BF49" s="175"/>
      <c r="BG49" s="176"/>
    </row>
    <row r="50" spans="9:59">
      <c r="I50" s="205">
        <v>6</v>
      </c>
      <c r="J50" s="171"/>
      <c r="K50" s="171"/>
      <c r="L50" s="171"/>
      <c r="M50" s="171"/>
      <c r="N50" s="171"/>
      <c r="O50" s="171"/>
      <c r="P50" s="171"/>
      <c r="Q50" s="171"/>
      <c r="R50" s="167"/>
      <c r="S50" s="168"/>
      <c r="T50" s="168"/>
      <c r="U50" s="168"/>
      <c r="V50" s="168"/>
      <c r="W50" s="168"/>
      <c r="X50" s="168"/>
      <c r="Y50" s="169"/>
      <c r="Z50" s="171"/>
      <c r="AA50" s="171"/>
      <c r="AB50" s="171"/>
      <c r="AC50" s="171"/>
      <c r="AD50" s="171"/>
      <c r="AE50" s="171"/>
      <c r="AF50" s="171"/>
      <c r="AG50" s="172"/>
      <c r="AI50" s="173">
        <v>6</v>
      </c>
      <c r="AJ50" s="175"/>
      <c r="AK50" s="175"/>
      <c r="AL50" s="175"/>
      <c r="AM50" s="175"/>
      <c r="AN50" s="175"/>
      <c r="AO50" s="175"/>
      <c r="AP50" s="175"/>
      <c r="AQ50" s="175"/>
      <c r="AR50" s="185"/>
      <c r="AS50" s="168"/>
      <c r="AT50" s="168"/>
      <c r="AU50" s="168"/>
      <c r="AV50" s="168"/>
      <c r="AW50" s="168"/>
      <c r="AX50" s="168"/>
      <c r="AY50" s="177"/>
      <c r="AZ50" s="175"/>
      <c r="BA50" s="175"/>
      <c r="BB50" s="175"/>
      <c r="BC50" s="175"/>
      <c r="BD50" s="175"/>
      <c r="BE50" s="175"/>
      <c r="BF50" s="175"/>
      <c r="BG50" s="176"/>
    </row>
    <row r="51" spans="9:59">
      <c r="I51" s="205">
        <v>5</v>
      </c>
      <c r="J51" s="171"/>
      <c r="K51" s="171"/>
      <c r="L51" s="171"/>
      <c r="M51" s="171"/>
      <c r="N51" s="171"/>
      <c r="O51" s="171"/>
      <c r="P51" s="171"/>
      <c r="Q51" s="171"/>
      <c r="R51" s="167"/>
      <c r="S51" s="168"/>
      <c r="T51" s="168"/>
      <c r="U51" s="168"/>
      <c r="V51" s="168"/>
      <c r="W51" s="168"/>
      <c r="X51" s="168"/>
      <c r="Y51" s="169"/>
      <c r="Z51" s="171"/>
      <c r="AA51" s="171"/>
      <c r="AB51" s="171"/>
      <c r="AC51" s="171"/>
      <c r="AD51" s="171"/>
      <c r="AE51" s="171"/>
      <c r="AF51" s="171"/>
      <c r="AG51" s="172"/>
      <c r="AI51" s="173">
        <v>5</v>
      </c>
      <c r="AJ51" s="175"/>
      <c r="AK51" s="175"/>
      <c r="AL51" s="175"/>
      <c r="AM51" s="175"/>
      <c r="AN51" s="175"/>
      <c r="AO51" s="175"/>
      <c r="AP51" s="175"/>
      <c r="AQ51" s="175"/>
      <c r="AR51" s="185"/>
      <c r="AS51" s="168"/>
      <c r="AT51" s="168"/>
      <c r="AU51" s="168"/>
      <c r="AV51" s="168"/>
      <c r="AW51" s="168"/>
      <c r="AX51" s="168"/>
      <c r="AY51" s="177"/>
      <c r="AZ51" s="175"/>
      <c r="BA51" s="175"/>
      <c r="BB51" s="175"/>
      <c r="BC51" s="175"/>
      <c r="BD51" s="175"/>
      <c r="BE51" s="175"/>
      <c r="BF51" s="175"/>
      <c r="BG51" s="176"/>
    </row>
    <row r="52" spans="9:59" ht="15.75" thickBot="1">
      <c r="I52" s="206">
        <v>4</v>
      </c>
      <c r="J52" s="192"/>
      <c r="K52" s="192"/>
      <c r="L52" s="192"/>
      <c r="M52" s="192"/>
      <c r="N52" s="192"/>
      <c r="O52" s="192"/>
      <c r="P52" s="192"/>
      <c r="Q52" s="192"/>
      <c r="R52" s="191"/>
      <c r="S52" s="192"/>
      <c r="T52" s="192"/>
      <c r="U52" s="192"/>
      <c r="V52" s="192"/>
      <c r="W52" s="192"/>
      <c r="X52" s="192"/>
      <c r="Y52" s="193"/>
      <c r="Z52" s="192"/>
      <c r="AA52" s="192"/>
      <c r="AB52" s="192"/>
      <c r="AC52" s="192"/>
      <c r="AD52" s="192"/>
      <c r="AE52" s="192"/>
      <c r="AF52" s="192"/>
      <c r="AG52" s="193"/>
      <c r="AI52" s="196">
        <v>4</v>
      </c>
      <c r="AJ52" s="197"/>
      <c r="AK52" s="197"/>
      <c r="AL52" s="197"/>
      <c r="AM52" s="197"/>
      <c r="AN52" s="197"/>
      <c r="AO52" s="197"/>
      <c r="AP52" s="197"/>
      <c r="AQ52" s="197"/>
      <c r="AR52" s="207"/>
      <c r="AS52" s="197"/>
      <c r="AT52" s="197"/>
      <c r="AU52" s="197"/>
      <c r="AV52" s="197"/>
      <c r="AW52" s="197"/>
      <c r="AX52" s="197"/>
      <c r="AY52" s="201"/>
      <c r="AZ52" s="197"/>
      <c r="BA52" s="197"/>
      <c r="BB52" s="197"/>
      <c r="BC52" s="197"/>
      <c r="BD52" s="197"/>
      <c r="BE52" s="197"/>
      <c r="BF52" s="197"/>
      <c r="BG52" s="201"/>
    </row>
    <row r="53" spans="9:59" ht="16.5" thickTop="1" thickBot="1">
      <c r="I53" s="170" t="s">
        <v>78</v>
      </c>
      <c r="J53" s="171"/>
      <c r="K53" s="171"/>
      <c r="L53" s="171"/>
      <c r="M53" s="171"/>
      <c r="N53" s="171"/>
      <c r="O53" s="171"/>
      <c r="P53" s="171"/>
      <c r="Q53" s="171"/>
      <c r="R53" s="170"/>
      <c r="S53" s="171"/>
      <c r="T53" s="171"/>
      <c r="U53" s="171"/>
      <c r="V53" s="171"/>
      <c r="W53" s="171"/>
      <c r="X53" s="171"/>
      <c r="Y53" s="172"/>
      <c r="Z53" s="171"/>
      <c r="AA53" s="171"/>
      <c r="AB53" s="171"/>
      <c r="AC53" s="171"/>
      <c r="AD53" s="171"/>
      <c r="AE53" s="171"/>
      <c r="AF53" s="171"/>
      <c r="AG53" s="172"/>
    </row>
    <row r="54" spans="9:59" ht="15.75" thickTop="1">
      <c r="I54" s="202"/>
      <c r="J54" s="285" t="s">
        <v>85</v>
      </c>
      <c r="K54" s="285"/>
      <c r="L54" s="285"/>
      <c r="M54" s="285"/>
      <c r="N54" s="285"/>
      <c r="O54" s="285"/>
      <c r="P54" s="285"/>
      <c r="Q54" s="285"/>
      <c r="R54" s="284" t="s">
        <v>86</v>
      </c>
      <c r="S54" s="285"/>
      <c r="T54" s="285"/>
      <c r="U54" s="285"/>
      <c r="V54" s="285"/>
      <c r="W54" s="285"/>
      <c r="X54" s="285"/>
      <c r="Y54" s="286"/>
      <c r="Z54" s="285" t="s">
        <v>87</v>
      </c>
      <c r="AA54" s="285"/>
      <c r="AB54" s="285"/>
      <c r="AC54" s="285"/>
      <c r="AD54" s="285"/>
      <c r="AE54" s="285"/>
      <c r="AF54" s="285"/>
      <c r="AG54" s="286"/>
      <c r="AI54" s="148"/>
      <c r="AJ54" s="287" t="s">
        <v>88</v>
      </c>
      <c r="AK54" s="287"/>
      <c r="AL54" s="287"/>
      <c r="AM54" s="287"/>
      <c r="AN54" s="287"/>
      <c r="AO54" s="287"/>
      <c r="AP54" s="287"/>
      <c r="AQ54" s="287"/>
      <c r="AR54" s="293" t="s">
        <v>89</v>
      </c>
      <c r="AS54" s="287"/>
      <c r="AT54" s="287"/>
      <c r="AU54" s="287"/>
      <c r="AV54" s="287"/>
      <c r="AW54" s="287"/>
      <c r="AX54" s="287"/>
      <c r="AY54" s="288"/>
      <c r="AZ54" s="287" t="s">
        <v>90</v>
      </c>
      <c r="BA54" s="287"/>
      <c r="BB54" s="287"/>
      <c r="BC54" s="287"/>
      <c r="BD54" s="287"/>
      <c r="BE54" s="287"/>
      <c r="BF54" s="287"/>
      <c r="BG54" s="288"/>
    </row>
    <row r="55" spans="9:59">
      <c r="I55" s="203"/>
      <c r="J55" s="290" t="s">
        <v>8</v>
      </c>
      <c r="K55" s="290"/>
      <c r="L55" s="290"/>
      <c r="M55" s="290"/>
      <c r="N55" s="290" t="s">
        <v>61</v>
      </c>
      <c r="O55" s="290"/>
      <c r="P55" s="290"/>
      <c r="Q55" s="290"/>
      <c r="R55" s="289" t="s">
        <v>8</v>
      </c>
      <c r="S55" s="290"/>
      <c r="T55" s="290"/>
      <c r="U55" s="290"/>
      <c r="V55" s="290" t="s">
        <v>61</v>
      </c>
      <c r="W55" s="290"/>
      <c r="X55" s="290"/>
      <c r="Y55" s="291"/>
      <c r="Z55" s="290" t="s">
        <v>8</v>
      </c>
      <c r="AA55" s="290"/>
      <c r="AB55" s="290"/>
      <c r="AC55" s="290"/>
      <c r="AD55" s="290" t="s">
        <v>61</v>
      </c>
      <c r="AE55" s="290"/>
      <c r="AF55" s="290"/>
      <c r="AG55" s="291"/>
      <c r="AI55" s="150"/>
      <c r="AJ55" s="290" t="s">
        <v>8</v>
      </c>
      <c r="AK55" s="290"/>
      <c r="AL55" s="290"/>
      <c r="AM55" s="290"/>
      <c r="AN55" s="290" t="s">
        <v>61</v>
      </c>
      <c r="AO55" s="290"/>
      <c r="AP55" s="290"/>
      <c r="AQ55" s="290"/>
      <c r="AR55" s="292" t="s">
        <v>8</v>
      </c>
      <c r="AS55" s="290"/>
      <c r="AT55" s="290"/>
      <c r="AU55" s="290"/>
      <c r="AV55" s="290" t="s">
        <v>61</v>
      </c>
      <c r="AW55" s="290"/>
      <c r="AX55" s="290"/>
      <c r="AY55" s="294"/>
      <c r="AZ55" s="290" t="s">
        <v>8</v>
      </c>
      <c r="BA55" s="290"/>
      <c r="BB55" s="290"/>
      <c r="BC55" s="290"/>
      <c r="BD55" s="290" t="s">
        <v>61</v>
      </c>
      <c r="BE55" s="290"/>
      <c r="BF55" s="290"/>
      <c r="BG55" s="294"/>
    </row>
    <row r="56" spans="9:59">
      <c r="I56" s="204" t="s">
        <v>66</v>
      </c>
      <c r="J56" s="157" t="s">
        <v>4</v>
      </c>
      <c r="K56" s="157" t="s">
        <v>67</v>
      </c>
      <c r="L56" s="157" t="s">
        <v>68</v>
      </c>
      <c r="M56" s="157" t="s">
        <v>51</v>
      </c>
      <c r="N56" s="157" t="s">
        <v>4</v>
      </c>
      <c r="O56" s="157" t="s">
        <v>67</v>
      </c>
      <c r="P56" s="157" t="s">
        <v>68</v>
      </c>
      <c r="Q56" s="157" t="s">
        <v>51</v>
      </c>
      <c r="R56" s="156" t="s">
        <v>4</v>
      </c>
      <c r="S56" s="157" t="s">
        <v>67</v>
      </c>
      <c r="T56" s="157" t="s">
        <v>68</v>
      </c>
      <c r="U56" s="157" t="s">
        <v>51</v>
      </c>
      <c r="V56" s="157" t="s">
        <v>4</v>
      </c>
      <c r="W56" s="157" t="s">
        <v>67</v>
      </c>
      <c r="X56" s="157" t="s">
        <v>68</v>
      </c>
      <c r="Y56" s="158" t="s">
        <v>51</v>
      </c>
      <c r="Z56" s="157" t="s">
        <v>4</v>
      </c>
      <c r="AA56" s="157" t="s">
        <v>67</v>
      </c>
      <c r="AB56" s="157" t="s">
        <v>68</v>
      </c>
      <c r="AC56" s="157" t="s">
        <v>51</v>
      </c>
      <c r="AD56" s="157" t="s">
        <v>4</v>
      </c>
      <c r="AE56" s="157" t="s">
        <v>67</v>
      </c>
      <c r="AF56" s="157" t="s">
        <v>68</v>
      </c>
      <c r="AG56" s="158" t="s">
        <v>51</v>
      </c>
      <c r="AI56" s="159" t="s">
        <v>66</v>
      </c>
      <c r="AJ56" s="157" t="s">
        <v>4</v>
      </c>
      <c r="AK56" s="157" t="s">
        <v>67</v>
      </c>
      <c r="AL56" s="157" t="s">
        <v>68</v>
      </c>
      <c r="AM56" s="157" t="s">
        <v>51</v>
      </c>
      <c r="AN56" s="157" t="s">
        <v>4</v>
      </c>
      <c r="AO56" s="157" t="s">
        <v>67</v>
      </c>
      <c r="AP56" s="157" t="s">
        <v>68</v>
      </c>
      <c r="AQ56" s="157" t="s">
        <v>51</v>
      </c>
      <c r="AR56" s="160" t="s">
        <v>4</v>
      </c>
      <c r="AS56" s="157" t="s">
        <v>67</v>
      </c>
      <c r="AT56" s="157" t="s">
        <v>68</v>
      </c>
      <c r="AU56" s="157" t="s">
        <v>51</v>
      </c>
      <c r="AV56" s="157" t="s">
        <v>4</v>
      </c>
      <c r="AW56" s="157" t="s">
        <v>67</v>
      </c>
      <c r="AX56" s="157" t="s">
        <v>68</v>
      </c>
      <c r="AY56" s="161" t="s">
        <v>51</v>
      </c>
      <c r="AZ56" s="157" t="s">
        <v>4</v>
      </c>
      <c r="BA56" s="157" t="s">
        <v>67</v>
      </c>
      <c r="BB56" s="157" t="s">
        <v>68</v>
      </c>
      <c r="BC56" s="157" t="s">
        <v>51</v>
      </c>
      <c r="BD56" s="157" t="s">
        <v>4</v>
      </c>
      <c r="BE56" s="157" t="s">
        <v>67</v>
      </c>
      <c r="BF56" s="157" t="s">
        <v>68</v>
      </c>
      <c r="BG56" s="161" t="s">
        <v>51</v>
      </c>
    </row>
    <row r="57" spans="9:59">
      <c r="I57" s="205">
        <v>24</v>
      </c>
      <c r="J57" s="168"/>
      <c r="K57" s="168"/>
      <c r="L57" s="168"/>
      <c r="M57" s="168"/>
      <c r="N57" s="168"/>
      <c r="O57" s="168"/>
      <c r="P57" s="168"/>
      <c r="Q57" s="168"/>
      <c r="R57" s="170"/>
      <c r="S57" s="171"/>
      <c r="T57" s="171"/>
      <c r="U57" s="171"/>
      <c r="V57" s="171"/>
      <c r="W57" s="171"/>
      <c r="X57" s="171"/>
      <c r="Y57" s="172"/>
      <c r="Z57" s="171"/>
      <c r="AA57" s="171"/>
      <c r="AB57" s="171"/>
      <c r="AC57" s="171"/>
      <c r="AD57" s="171"/>
      <c r="AE57" s="171"/>
      <c r="AF57" s="171"/>
      <c r="AG57" s="172"/>
      <c r="AI57" s="173">
        <v>24</v>
      </c>
      <c r="AJ57" s="168"/>
      <c r="AK57" s="168"/>
      <c r="AL57" s="168"/>
      <c r="AM57" s="168"/>
      <c r="AN57" s="168"/>
      <c r="AO57" s="168"/>
      <c r="AP57" s="168"/>
      <c r="AQ57" s="168"/>
      <c r="AR57" s="174"/>
      <c r="AS57" s="175"/>
      <c r="AT57" s="175"/>
      <c r="AU57" s="175"/>
      <c r="AV57" s="175"/>
      <c r="AW57" s="175"/>
      <c r="AX57" s="175"/>
      <c r="AY57" s="176"/>
      <c r="AZ57" s="175"/>
      <c r="BA57" s="175"/>
      <c r="BB57" s="175"/>
      <c r="BC57" s="175"/>
      <c r="BD57" s="175"/>
      <c r="BE57" s="175"/>
      <c r="BF57" s="175"/>
      <c r="BG57" s="176"/>
    </row>
    <row r="58" spans="9:59">
      <c r="I58" s="205">
        <v>23</v>
      </c>
      <c r="J58" s="168"/>
      <c r="K58" s="168"/>
      <c r="L58" s="168"/>
      <c r="M58" s="168"/>
      <c r="N58" s="168"/>
      <c r="O58" s="168"/>
      <c r="P58" s="168"/>
      <c r="Q58" s="168"/>
      <c r="R58" s="170"/>
      <c r="S58" s="171"/>
      <c r="T58" s="171"/>
      <c r="U58" s="171"/>
      <c r="V58" s="171"/>
      <c r="W58" s="171"/>
      <c r="X58" s="171"/>
      <c r="Y58" s="172"/>
      <c r="Z58" s="171"/>
      <c r="AA58" s="171"/>
      <c r="AB58" s="171"/>
      <c r="AC58" s="171"/>
      <c r="AD58" s="171"/>
      <c r="AE58" s="171"/>
      <c r="AF58" s="171"/>
      <c r="AG58" s="172"/>
      <c r="AI58" s="173">
        <v>23</v>
      </c>
      <c r="AJ58" s="168"/>
      <c r="AK58" s="168"/>
      <c r="AL58" s="168"/>
      <c r="AM58" s="168"/>
      <c r="AN58" s="168"/>
      <c r="AO58" s="168"/>
      <c r="AP58" s="168"/>
      <c r="AQ58" s="168"/>
      <c r="AR58" s="174"/>
      <c r="AS58" s="175"/>
      <c r="AT58" s="175"/>
      <c r="AU58" s="175"/>
      <c r="AV58" s="175"/>
      <c r="AW58" s="175"/>
      <c r="AX58" s="175"/>
      <c r="AY58" s="176"/>
      <c r="AZ58" s="175"/>
      <c r="BA58" s="175"/>
      <c r="BB58" s="175"/>
      <c r="BC58" s="175"/>
      <c r="BD58" s="175"/>
      <c r="BE58" s="175"/>
      <c r="BF58" s="175"/>
      <c r="BG58" s="176"/>
    </row>
    <row r="59" spans="9:59">
      <c r="I59" s="205">
        <v>22</v>
      </c>
      <c r="J59" s="168"/>
      <c r="K59" s="168"/>
      <c r="L59" s="168"/>
      <c r="M59" s="168"/>
      <c r="N59" s="168"/>
      <c r="O59" s="168"/>
      <c r="P59" s="168"/>
      <c r="Q59" s="168"/>
      <c r="R59" s="170"/>
      <c r="S59" s="171"/>
      <c r="T59" s="171"/>
      <c r="U59" s="171"/>
      <c r="V59" s="171"/>
      <c r="W59" s="171"/>
      <c r="X59" s="171"/>
      <c r="Y59" s="172"/>
      <c r="Z59" s="171"/>
      <c r="AA59" s="171"/>
      <c r="AB59" s="171"/>
      <c r="AC59" s="171"/>
      <c r="AD59" s="171"/>
      <c r="AE59" s="171"/>
      <c r="AF59" s="171"/>
      <c r="AG59" s="172"/>
      <c r="AI59" s="173">
        <v>22</v>
      </c>
      <c r="AJ59" s="168"/>
      <c r="AK59" s="168"/>
      <c r="AL59" s="168"/>
      <c r="AM59" s="168"/>
      <c r="AN59" s="168"/>
      <c r="AO59" s="168"/>
      <c r="AP59" s="168"/>
      <c r="AQ59" s="168"/>
      <c r="AR59" s="174"/>
      <c r="AS59" s="175"/>
      <c r="AT59" s="175"/>
      <c r="AU59" s="175"/>
      <c r="AV59" s="175"/>
      <c r="AW59" s="175"/>
      <c r="AX59" s="175"/>
      <c r="AY59" s="176"/>
      <c r="AZ59" s="175"/>
      <c r="BA59" s="175"/>
      <c r="BB59" s="175"/>
      <c r="BC59" s="175"/>
      <c r="BD59" s="175"/>
      <c r="BE59" s="175"/>
      <c r="BF59" s="175"/>
      <c r="BG59" s="176"/>
    </row>
    <row r="60" spans="9:59">
      <c r="I60" s="205">
        <v>21</v>
      </c>
      <c r="J60" s="168"/>
      <c r="K60" s="168"/>
      <c r="L60" s="168"/>
      <c r="M60" s="168"/>
      <c r="N60" s="168"/>
      <c r="O60" s="168"/>
      <c r="P60" s="168"/>
      <c r="Q60" s="168"/>
      <c r="R60" s="170"/>
      <c r="S60" s="171"/>
      <c r="T60" s="171"/>
      <c r="U60" s="171"/>
      <c r="V60" s="171"/>
      <c r="W60" s="171"/>
      <c r="X60" s="171"/>
      <c r="Y60" s="172"/>
      <c r="Z60" s="171"/>
      <c r="AA60" s="171"/>
      <c r="AB60" s="171"/>
      <c r="AC60" s="171"/>
      <c r="AD60" s="171"/>
      <c r="AE60" s="171"/>
      <c r="AF60" s="171"/>
      <c r="AG60" s="172"/>
      <c r="AI60" s="173">
        <v>21</v>
      </c>
      <c r="AJ60" s="168"/>
      <c r="AK60" s="168"/>
      <c r="AL60" s="168"/>
      <c r="AM60" s="168"/>
      <c r="AN60" s="168"/>
      <c r="AO60" s="168"/>
      <c r="AP60" s="168"/>
      <c r="AQ60" s="168"/>
      <c r="AR60" s="174"/>
      <c r="AS60" s="175"/>
      <c r="AT60" s="175"/>
      <c r="AU60" s="175"/>
      <c r="AV60" s="175"/>
      <c r="AW60" s="175"/>
      <c r="AX60" s="175"/>
      <c r="AY60" s="176"/>
      <c r="AZ60" s="175"/>
      <c r="BA60" s="175"/>
      <c r="BB60" s="175"/>
      <c r="BC60" s="175"/>
      <c r="BD60" s="175"/>
      <c r="BE60" s="175"/>
      <c r="BF60" s="175"/>
      <c r="BG60" s="176"/>
    </row>
    <row r="61" spans="9:59">
      <c r="I61" s="205">
        <v>20</v>
      </c>
      <c r="J61" s="168"/>
      <c r="K61" s="168"/>
      <c r="L61" s="168"/>
      <c r="M61" s="168"/>
      <c r="N61" s="168"/>
      <c r="O61" s="168"/>
      <c r="P61" s="168"/>
      <c r="Q61" s="168"/>
      <c r="R61" s="170"/>
      <c r="S61" s="171"/>
      <c r="T61" s="171"/>
      <c r="U61" s="171"/>
      <c r="V61" s="171"/>
      <c r="W61" s="171"/>
      <c r="X61" s="171"/>
      <c r="Y61" s="172"/>
      <c r="Z61" s="171"/>
      <c r="AA61" s="171"/>
      <c r="AB61" s="171"/>
      <c r="AC61" s="171"/>
      <c r="AD61" s="171"/>
      <c r="AE61" s="171"/>
      <c r="AF61" s="171"/>
      <c r="AG61" s="172"/>
      <c r="AI61" s="173">
        <v>20</v>
      </c>
      <c r="AJ61" s="168"/>
      <c r="AK61" s="168"/>
      <c r="AL61" s="168"/>
      <c r="AM61" s="168"/>
      <c r="AN61" s="168"/>
      <c r="AO61" s="168"/>
      <c r="AP61" s="168"/>
      <c r="AQ61" s="168"/>
      <c r="AR61" s="174"/>
      <c r="AS61" s="175"/>
      <c r="AT61" s="175"/>
      <c r="AU61" s="175"/>
      <c r="AV61" s="175"/>
      <c r="AW61" s="175"/>
      <c r="AX61" s="175"/>
      <c r="AY61" s="176"/>
      <c r="AZ61" s="175"/>
      <c r="BA61" s="175"/>
      <c r="BB61" s="175"/>
      <c r="BC61" s="175"/>
      <c r="BD61" s="175"/>
      <c r="BE61" s="175"/>
      <c r="BF61" s="175"/>
      <c r="BG61" s="176"/>
    </row>
    <row r="62" spans="9:59">
      <c r="I62" s="205">
        <v>19</v>
      </c>
      <c r="J62" s="168"/>
      <c r="K62" s="168"/>
      <c r="L62" s="168"/>
      <c r="M62" s="168"/>
      <c r="N62" s="168"/>
      <c r="O62" s="168"/>
      <c r="P62" s="168"/>
      <c r="Q62" s="168"/>
      <c r="R62" s="170"/>
      <c r="S62" s="171"/>
      <c r="T62" s="171"/>
      <c r="U62" s="171"/>
      <c r="V62" s="171"/>
      <c r="W62" s="171"/>
      <c r="X62" s="171"/>
      <c r="Y62" s="172"/>
      <c r="Z62" s="171"/>
      <c r="AA62" s="171"/>
      <c r="AB62" s="171"/>
      <c r="AC62" s="171"/>
      <c r="AD62" s="171"/>
      <c r="AE62" s="171"/>
      <c r="AF62" s="171"/>
      <c r="AG62" s="172"/>
      <c r="AI62" s="173">
        <v>19</v>
      </c>
      <c r="AJ62" s="168"/>
      <c r="AK62" s="168"/>
      <c r="AL62" s="168"/>
      <c r="AM62" s="168"/>
      <c r="AN62" s="168"/>
      <c r="AO62" s="168"/>
      <c r="AP62" s="168"/>
      <c r="AQ62" s="168"/>
      <c r="AR62" s="174"/>
      <c r="AS62" s="175"/>
      <c r="AT62" s="175"/>
      <c r="AU62" s="175"/>
      <c r="AV62" s="175"/>
      <c r="AW62" s="175"/>
      <c r="AX62" s="175"/>
      <c r="AY62" s="176"/>
      <c r="AZ62" s="175"/>
      <c r="BA62" s="175"/>
      <c r="BB62" s="175"/>
      <c r="BC62" s="175"/>
      <c r="BD62" s="175"/>
      <c r="BE62" s="175"/>
      <c r="BF62" s="175"/>
      <c r="BG62" s="176"/>
    </row>
    <row r="63" spans="9:59">
      <c r="I63" s="205">
        <v>18</v>
      </c>
      <c r="J63" s="168"/>
      <c r="K63" s="168"/>
      <c r="L63" s="168"/>
      <c r="M63" s="168"/>
      <c r="N63" s="168"/>
      <c r="O63" s="168"/>
      <c r="P63" s="168"/>
      <c r="Q63" s="168"/>
      <c r="R63" s="170"/>
      <c r="S63" s="171"/>
      <c r="T63" s="171"/>
      <c r="U63" s="171"/>
      <c r="V63" s="171"/>
      <c r="W63" s="171"/>
      <c r="X63" s="171"/>
      <c r="Y63" s="172"/>
      <c r="Z63" s="168"/>
      <c r="AA63" s="168"/>
      <c r="AB63" s="168"/>
      <c r="AC63" s="168"/>
      <c r="AD63" s="168"/>
      <c r="AE63" s="168"/>
      <c r="AF63" s="168"/>
      <c r="AG63" s="169"/>
      <c r="AI63" s="173">
        <v>18</v>
      </c>
      <c r="AJ63" s="168"/>
      <c r="AK63" s="168"/>
      <c r="AL63" s="168"/>
      <c r="AM63" s="168"/>
      <c r="AN63" s="168"/>
      <c r="AO63" s="168"/>
      <c r="AP63" s="168"/>
      <c r="AQ63" s="168"/>
      <c r="AR63" s="174"/>
      <c r="AS63" s="175"/>
      <c r="AT63" s="175"/>
      <c r="AU63" s="175"/>
      <c r="AV63" s="175"/>
      <c r="AW63" s="175"/>
      <c r="AX63" s="175"/>
      <c r="AY63" s="176"/>
      <c r="AZ63" s="168"/>
      <c r="BA63" s="168"/>
      <c r="BB63" s="168"/>
      <c r="BC63" s="168"/>
      <c r="BD63" s="168"/>
      <c r="BE63" s="168"/>
      <c r="BF63" s="168"/>
      <c r="BG63" s="177"/>
    </row>
    <row r="64" spans="9:59">
      <c r="I64" s="205">
        <v>17</v>
      </c>
      <c r="J64" s="168"/>
      <c r="K64" s="168"/>
      <c r="L64" s="168"/>
      <c r="M64" s="168"/>
      <c r="N64" s="168"/>
      <c r="O64" s="168"/>
      <c r="P64" s="168"/>
      <c r="Q64" s="168"/>
      <c r="R64" s="170"/>
      <c r="S64" s="171"/>
      <c r="T64" s="171"/>
      <c r="U64" s="171"/>
      <c r="V64" s="171"/>
      <c r="W64" s="171"/>
      <c r="X64" s="171"/>
      <c r="Y64" s="172"/>
      <c r="Z64" s="168"/>
      <c r="AA64" s="168"/>
      <c r="AB64" s="168"/>
      <c r="AC64" s="168"/>
      <c r="AD64" s="168"/>
      <c r="AE64" s="168"/>
      <c r="AF64" s="168"/>
      <c r="AG64" s="169"/>
      <c r="AI64" s="173">
        <v>17</v>
      </c>
      <c r="AJ64" s="168"/>
      <c r="AK64" s="168"/>
      <c r="AL64" s="168"/>
      <c r="AM64" s="168"/>
      <c r="AN64" s="168"/>
      <c r="AO64" s="168"/>
      <c r="AP64" s="168"/>
      <c r="AQ64" s="168"/>
      <c r="AR64" s="174"/>
      <c r="AS64" s="175"/>
      <c r="AT64" s="175"/>
      <c r="AU64" s="175"/>
      <c r="AV64" s="175"/>
      <c r="AW64" s="175"/>
      <c r="AX64" s="175"/>
      <c r="AY64" s="176"/>
      <c r="AZ64" s="168"/>
      <c r="BA64" s="168"/>
      <c r="BB64" s="168"/>
      <c r="BC64" s="168"/>
      <c r="BD64" s="168"/>
      <c r="BE64" s="168"/>
      <c r="BF64" s="168"/>
      <c r="BG64" s="177"/>
    </row>
    <row r="65" spans="9:59">
      <c r="I65" s="205">
        <v>16</v>
      </c>
      <c r="J65" s="168"/>
      <c r="K65" s="168"/>
      <c r="L65" s="168"/>
      <c r="M65" s="168"/>
      <c r="N65" s="168"/>
      <c r="O65" s="168"/>
      <c r="P65" s="168"/>
      <c r="Q65" s="168"/>
      <c r="R65" s="170"/>
      <c r="S65" s="171"/>
      <c r="T65" s="171"/>
      <c r="U65" s="171"/>
      <c r="V65" s="171"/>
      <c r="W65" s="171"/>
      <c r="X65" s="171"/>
      <c r="Y65" s="172"/>
      <c r="Z65" s="168"/>
      <c r="AA65" s="168"/>
      <c r="AB65" s="168"/>
      <c r="AC65" s="168"/>
      <c r="AD65" s="168"/>
      <c r="AE65" s="168"/>
      <c r="AF65" s="168"/>
      <c r="AG65" s="169"/>
      <c r="AI65" s="173">
        <v>16</v>
      </c>
      <c r="AJ65" s="168"/>
      <c r="AK65" s="168"/>
      <c r="AL65" s="168"/>
      <c r="AM65" s="168"/>
      <c r="AN65" s="168"/>
      <c r="AO65" s="168"/>
      <c r="AP65" s="168"/>
      <c r="AQ65" s="168"/>
      <c r="AR65" s="174"/>
      <c r="AS65" s="175"/>
      <c r="AT65" s="175"/>
      <c r="AU65" s="175"/>
      <c r="AV65" s="175"/>
      <c r="AW65" s="175"/>
      <c r="AX65" s="175"/>
      <c r="AY65" s="176"/>
      <c r="AZ65" s="168"/>
      <c r="BA65" s="168"/>
      <c r="BB65" s="168"/>
      <c r="BC65" s="168"/>
      <c r="BD65" s="168"/>
      <c r="BE65" s="168"/>
      <c r="BF65" s="168"/>
      <c r="BG65" s="177"/>
    </row>
    <row r="66" spans="9:59">
      <c r="I66" s="205">
        <v>15</v>
      </c>
      <c r="J66" s="168"/>
      <c r="K66" s="168"/>
      <c r="L66" s="168"/>
      <c r="M66" s="168"/>
      <c r="N66" s="168"/>
      <c r="O66" s="168"/>
      <c r="P66" s="168"/>
      <c r="Q66" s="168"/>
      <c r="R66" s="167"/>
      <c r="S66" s="168"/>
      <c r="T66" s="168"/>
      <c r="U66" s="168"/>
      <c r="V66" s="168"/>
      <c r="W66" s="168"/>
      <c r="X66" s="168"/>
      <c r="Y66" s="169"/>
      <c r="Z66" s="168"/>
      <c r="AA66" s="168"/>
      <c r="AB66" s="168"/>
      <c r="AC66" s="168"/>
      <c r="AD66" s="168"/>
      <c r="AE66" s="168"/>
      <c r="AF66" s="168"/>
      <c r="AG66" s="169"/>
      <c r="AI66" s="173">
        <v>15</v>
      </c>
      <c r="AJ66" s="168"/>
      <c r="AK66" s="168"/>
      <c r="AL66" s="168"/>
      <c r="AM66" s="168"/>
      <c r="AN66" s="168"/>
      <c r="AO66" s="168"/>
      <c r="AP66" s="168"/>
      <c r="AQ66" s="168"/>
      <c r="AR66" s="185"/>
      <c r="AS66" s="168"/>
      <c r="AT66" s="168"/>
      <c r="AU66" s="168"/>
      <c r="AV66" s="168"/>
      <c r="AW66" s="168"/>
      <c r="AX66" s="168"/>
      <c r="AY66" s="177"/>
      <c r="AZ66" s="168"/>
      <c r="BA66" s="168"/>
      <c r="BB66" s="168"/>
      <c r="BC66" s="168"/>
      <c r="BD66" s="168"/>
      <c r="BE66" s="168"/>
      <c r="BF66" s="168"/>
      <c r="BG66" s="177"/>
    </row>
    <row r="67" spans="9:59">
      <c r="I67" s="205">
        <v>14</v>
      </c>
      <c r="J67" s="168"/>
      <c r="K67" s="168"/>
      <c r="L67" s="168"/>
      <c r="M67" s="168"/>
      <c r="N67" s="168"/>
      <c r="O67" s="168"/>
      <c r="P67" s="168"/>
      <c r="Q67" s="168"/>
      <c r="R67" s="167"/>
      <c r="S67" s="168"/>
      <c r="T67" s="168"/>
      <c r="U67" s="168"/>
      <c r="V67" s="168"/>
      <c r="W67" s="168"/>
      <c r="X67" s="168"/>
      <c r="Y67" s="169"/>
      <c r="Z67" s="168"/>
      <c r="AA67" s="168"/>
      <c r="AB67" s="168"/>
      <c r="AC67" s="168"/>
      <c r="AD67" s="168"/>
      <c r="AE67" s="168"/>
      <c r="AF67" s="168"/>
      <c r="AG67" s="169"/>
      <c r="AI67" s="173">
        <v>14</v>
      </c>
      <c r="AJ67" s="168"/>
      <c r="AK67" s="168"/>
      <c r="AL67" s="168"/>
      <c r="AM67" s="168"/>
      <c r="AN67" s="168"/>
      <c r="AO67" s="168"/>
      <c r="AP67" s="168"/>
      <c r="AQ67" s="168"/>
      <c r="AR67" s="185"/>
      <c r="AS67" s="168"/>
      <c r="AT67" s="168"/>
      <c r="AU67" s="168"/>
      <c r="AV67" s="168"/>
      <c r="AW67" s="168"/>
      <c r="AX67" s="168"/>
      <c r="AY67" s="177"/>
      <c r="AZ67" s="168"/>
      <c r="BA67" s="168"/>
      <c r="BB67" s="168"/>
      <c r="BC67" s="168"/>
      <c r="BD67" s="168"/>
      <c r="BE67" s="168"/>
      <c r="BF67" s="168"/>
      <c r="BG67" s="177"/>
    </row>
    <row r="68" spans="9:59">
      <c r="I68" s="205">
        <v>13</v>
      </c>
      <c r="J68" s="168"/>
      <c r="K68" s="168"/>
      <c r="L68" s="168"/>
      <c r="M68" s="168"/>
      <c r="N68" s="168"/>
      <c r="O68" s="168"/>
      <c r="P68" s="168"/>
      <c r="Q68" s="168"/>
      <c r="R68" s="167"/>
      <c r="S68" s="168"/>
      <c r="T68" s="168"/>
      <c r="U68" s="168"/>
      <c r="V68" s="168"/>
      <c r="W68" s="168"/>
      <c r="X68" s="168"/>
      <c r="Y68" s="169"/>
      <c r="Z68" s="168"/>
      <c r="AA68" s="168"/>
      <c r="AB68" s="168"/>
      <c r="AC68" s="168"/>
      <c r="AD68" s="168"/>
      <c r="AE68" s="168"/>
      <c r="AF68" s="168"/>
      <c r="AG68" s="169"/>
      <c r="AI68" s="173">
        <v>13</v>
      </c>
      <c r="AJ68" s="168"/>
      <c r="AK68" s="168"/>
      <c r="AL68" s="168"/>
      <c r="AM68" s="168"/>
      <c r="AN68" s="168"/>
      <c r="AO68" s="168"/>
      <c r="AP68" s="168"/>
      <c r="AQ68" s="168"/>
      <c r="AR68" s="185"/>
      <c r="AS68" s="168"/>
      <c r="AT68" s="168"/>
      <c r="AU68" s="168"/>
      <c r="AV68" s="168"/>
      <c r="AW68" s="168"/>
      <c r="AX68" s="168"/>
      <c r="AY68" s="177"/>
      <c r="AZ68" s="168"/>
      <c r="BA68" s="168"/>
      <c r="BB68" s="168"/>
      <c r="BC68" s="168"/>
      <c r="BD68" s="168"/>
      <c r="BE68" s="168"/>
      <c r="BF68" s="168"/>
      <c r="BG68" s="177"/>
    </row>
    <row r="69" spans="9:59">
      <c r="I69" s="205">
        <v>12</v>
      </c>
      <c r="J69" s="168"/>
      <c r="K69" s="168"/>
      <c r="L69" s="168"/>
      <c r="M69" s="168"/>
      <c r="N69" s="168"/>
      <c r="O69" s="168"/>
      <c r="P69" s="168"/>
      <c r="Q69" s="168"/>
      <c r="R69" s="167"/>
      <c r="S69" s="168"/>
      <c r="T69" s="168"/>
      <c r="U69" s="168"/>
      <c r="V69" s="168"/>
      <c r="W69" s="168"/>
      <c r="X69" s="168"/>
      <c r="Y69" s="169"/>
      <c r="Z69" s="168"/>
      <c r="AA69" s="168"/>
      <c r="AB69" s="168"/>
      <c r="AC69" s="168"/>
      <c r="AD69" s="168"/>
      <c r="AE69" s="168"/>
      <c r="AF69" s="168"/>
      <c r="AG69" s="169"/>
      <c r="AI69" s="173">
        <v>12</v>
      </c>
      <c r="AJ69" s="168"/>
      <c r="AK69" s="168"/>
      <c r="AL69" s="168"/>
      <c r="AM69" s="168"/>
      <c r="AN69" s="168"/>
      <c r="AO69" s="168"/>
      <c r="AP69" s="168"/>
      <c r="AQ69" s="168"/>
      <c r="AR69" s="185"/>
      <c r="AS69" s="168"/>
      <c r="AT69" s="168"/>
      <c r="AU69" s="168"/>
      <c r="AV69" s="168"/>
      <c r="AW69" s="168"/>
      <c r="AX69" s="168"/>
      <c r="AY69" s="177"/>
      <c r="AZ69" s="168"/>
      <c r="BA69" s="168"/>
      <c r="BB69" s="168"/>
      <c r="BC69" s="168"/>
      <c r="BD69" s="168"/>
      <c r="BE69" s="168"/>
      <c r="BF69" s="168"/>
      <c r="BG69" s="177"/>
    </row>
    <row r="70" spans="9:59">
      <c r="I70" s="205">
        <v>11</v>
      </c>
      <c r="J70" s="168"/>
      <c r="K70" s="168"/>
      <c r="L70" s="168"/>
      <c r="M70" s="168"/>
      <c r="N70" s="168"/>
      <c r="O70" s="168"/>
      <c r="P70" s="168"/>
      <c r="Q70" s="168"/>
      <c r="R70" s="167"/>
      <c r="S70" s="168"/>
      <c r="T70" s="168"/>
      <c r="U70" s="168"/>
      <c r="V70" s="168"/>
      <c r="W70" s="168"/>
      <c r="X70" s="168"/>
      <c r="Y70" s="169"/>
      <c r="Z70" s="168"/>
      <c r="AA70" s="168"/>
      <c r="AB70" s="168"/>
      <c r="AC70" s="168"/>
      <c r="AD70" s="168"/>
      <c r="AE70" s="168"/>
      <c r="AF70" s="168"/>
      <c r="AG70" s="169"/>
      <c r="AI70" s="173">
        <v>11</v>
      </c>
      <c r="AJ70" s="168"/>
      <c r="AK70" s="168"/>
      <c r="AL70" s="168"/>
      <c r="AM70" s="168"/>
      <c r="AN70" s="168"/>
      <c r="AO70" s="168"/>
      <c r="AP70" s="168"/>
      <c r="AQ70" s="168"/>
      <c r="AR70" s="185"/>
      <c r="AS70" s="168"/>
      <c r="AT70" s="168"/>
      <c r="AU70" s="168"/>
      <c r="AV70" s="168"/>
      <c r="AW70" s="168"/>
      <c r="AX70" s="168"/>
      <c r="AY70" s="177"/>
      <c r="AZ70" s="168"/>
      <c r="BA70" s="168"/>
      <c r="BB70" s="168"/>
      <c r="BC70" s="168"/>
      <c r="BD70" s="168"/>
      <c r="BE70" s="168"/>
      <c r="BF70" s="168"/>
      <c r="BG70" s="177"/>
    </row>
    <row r="71" spans="9:59">
      <c r="I71" s="205">
        <v>10</v>
      </c>
      <c r="J71" s="168"/>
      <c r="K71" s="168"/>
      <c r="L71" s="168"/>
      <c r="M71" s="168"/>
      <c r="N71" s="168"/>
      <c r="O71" s="168"/>
      <c r="P71" s="168"/>
      <c r="Q71" s="168"/>
      <c r="R71" s="167"/>
      <c r="S71" s="168"/>
      <c r="T71" s="168"/>
      <c r="U71" s="168"/>
      <c r="V71" s="168"/>
      <c r="W71" s="168"/>
      <c r="X71" s="168"/>
      <c r="Y71" s="169"/>
      <c r="Z71" s="168"/>
      <c r="AA71" s="168"/>
      <c r="AB71" s="168"/>
      <c r="AC71" s="168"/>
      <c r="AD71" s="168"/>
      <c r="AE71" s="168"/>
      <c r="AF71" s="168"/>
      <c r="AG71" s="169"/>
      <c r="AI71" s="173">
        <v>10</v>
      </c>
      <c r="AJ71" s="168"/>
      <c r="AK71" s="168"/>
      <c r="AL71" s="168"/>
      <c r="AM71" s="168"/>
      <c r="AN71" s="168"/>
      <c r="AO71" s="168"/>
      <c r="AP71" s="168"/>
      <c r="AQ71" s="168"/>
      <c r="AR71" s="185"/>
      <c r="AS71" s="168"/>
      <c r="AT71" s="168"/>
      <c r="AU71" s="168"/>
      <c r="AV71" s="168"/>
      <c r="AW71" s="168"/>
      <c r="AX71" s="168"/>
      <c r="AY71" s="177"/>
      <c r="AZ71" s="168"/>
      <c r="BA71" s="168"/>
      <c r="BB71" s="168"/>
      <c r="BC71" s="168"/>
      <c r="BD71" s="168"/>
      <c r="BE71" s="168"/>
      <c r="BF71" s="168"/>
      <c r="BG71" s="177"/>
    </row>
    <row r="72" spans="9:59">
      <c r="I72" s="205">
        <v>9</v>
      </c>
      <c r="J72" s="168"/>
      <c r="K72" s="168"/>
      <c r="L72" s="168"/>
      <c r="M72" s="168"/>
      <c r="N72" s="168"/>
      <c r="O72" s="168"/>
      <c r="P72" s="168"/>
      <c r="Q72" s="168"/>
      <c r="R72" s="167"/>
      <c r="S72" s="168"/>
      <c r="T72" s="168"/>
      <c r="U72" s="168"/>
      <c r="V72" s="168"/>
      <c r="W72" s="168"/>
      <c r="X72" s="168"/>
      <c r="Y72" s="169"/>
      <c r="Z72" s="168"/>
      <c r="AA72" s="168"/>
      <c r="AB72" s="168"/>
      <c r="AC72" s="168"/>
      <c r="AD72" s="168"/>
      <c r="AE72" s="168"/>
      <c r="AF72" s="168"/>
      <c r="AG72" s="169"/>
      <c r="AI72" s="173">
        <v>9</v>
      </c>
      <c r="AJ72" s="168"/>
      <c r="AK72" s="168"/>
      <c r="AL72" s="168"/>
      <c r="AM72" s="168"/>
      <c r="AN72" s="168"/>
      <c r="AO72" s="168"/>
      <c r="AP72" s="168"/>
      <c r="AQ72" s="168"/>
      <c r="AR72" s="185"/>
      <c r="AS72" s="168"/>
      <c r="AT72" s="168"/>
      <c r="AU72" s="168"/>
      <c r="AV72" s="168"/>
      <c r="AW72" s="168"/>
      <c r="AX72" s="168"/>
      <c r="AY72" s="177"/>
      <c r="AZ72" s="168"/>
      <c r="BA72" s="168"/>
      <c r="BB72" s="168"/>
      <c r="BC72" s="168"/>
      <c r="BD72" s="168"/>
      <c r="BE72" s="168"/>
      <c r="BF72" s="168"/>
      <c r="BG72" s="177"/>
    </row>
    <row r="73" spans="9:59">
      <c r="I73" s="205">
        <v>8</v>
      </c>
      <c r="J73" s="168"/>
      <c r="K73" s="168"/>
      <c r="L73" s="168"/>
      <c r="M73" s="168"/>
      <c r="N73" s="168"/>
      <c r="O73" s="168"/>
      <c r="P73" s="168"/>
      <c r="Q73" s="168"/>
      <c r="R73" s="167"/>
      <c r="S73" s="168"/>
      <c r="T73" s="168"/>
      <c r="U73" s="168"/>
      <c r="V73" s="168"/>
      <c r="W73" s="168"/>
      <c r="X73" s="168"/>
      <c r="Y73" s="169"/>
      <c r="Z73" s="168"/>
      <c r="AA73" s="168"/>
      <c r="AB73" s="168"/>
      <c r="AC73" s="168"/>
      <c r="AD73" s="168"/>
      <c r="AE73" s="168"/>
      <c r="AF73" s="168"/>
      <c r="AG73" s="169"/>
      <c r="AI73" s="173">
        <v>8</v>
      </c>
      <c r="AJ73" s="168"/>
      <c r="AK73" s="168"/>
      <c r="AL73" s="168"/>
      <c r="AM73" s="168"/>
      <c r="AN73" s="168"/>
      <c r="AO73" s="168"/>
      <c r="AP73" s="168"/>
      <c r="AQ73" s="168"/>
      <c r="AR73" s="185"/>
      <c r="AS73" s="168"/>
      <c r="AT73" s="168"/>
      <c r="AU73" s="168"/>
      <c r="AV73" s="168"/>
      <c r="AW73" s="168"/>
      <c r="AX73" s="168"/>
      <c r="AY73" s="177"/>
      <c r="AZ73" s="168"/>
      <c r="BA73" s="168"/>
      <c r="BB73" s="168"/>
      <c r="BC73" s="168"/>
      <c r="BD73" s="168"/>
      <c r="BE73" s="168"/>
      <c r="BF73" s="168"/>
      <c r="BG73" s="177"/>
    </row>
    <row r="74" spans="9:59">
      <c r="I74" s="205">
        <v>7</v>
      </c>
      <c r="J74" s="171"/>
      <c r="K74" s="171"/>
      <c r="L74" s="171"/>
      <c r="M74" s="171"/>
      <c r="N74" s="171"/>
      <c r="O74" s="171"/>
      <c r="P74" s="171"/>
      <c r="Q74" s="171"/>
      <c r="R74" s="167"/>
      <c r="S74" s="168"/>
      <c r="T74" s="168"/>
      <c r="U74" s="168"/>
      <c r="V74" s="168"/>
      <c r="W74" s="168"/>
      <c r="X74" s="168"/>
      <c r="Y74" s="169"/>
      <c r="Z74" s="168"/>
      <c r="AA74" s="168"/>
      <c r="AB74" s="168"/>
      <c r="AC74" s="168"/>
      <c r="AD74" s="168"/>
      <c r="AE74" s="168"/>
      <c r="AF74" s="168"/>
      <c r="AG74" s="169"/>
      <c r="AI74" s="173">
        <v>7</v>
      </c>
      <c r="AJ74" s="175"/>
      <c r="AK74" s="175"/>
      <c r="AL74" s="175"/>
      <c r="AM74" s="175"/>
      <c r="AN74" s="175"/>
      <c r="AO74" s="175"/>
      <c r="AP74" s="175"/>
      <c r="AQ74" s="175"/>
      <c r="AR74" s="185"/>
      <c r="AS74" s="168"/>
      <c r="AT74" s="168"/>
      <c r="AU74" s="168"/>
      <c r="AV74" s="168"/>
      <c r="AW74" s="168"/>
      <c r="AX74" s="168"/>
      <c r="AY74" s="177"/>
      <c r="AZ74" s="168"/>
      <c r="BA74" s="168"/>
      <c r="BB74" s="168"/>
      <c r="BC74" s="168"/>
      <c r="BD74" s="168"/>
      <c r="BE74" s="168"/>
      <c r="BF74" s="168"/>
      <c r="BG74" s="177"/>
    </row>
    <row r="75" spans="9:59">
      <c r="I75" s="205">
        <v>6</v>
      </c>
      <c r="J75" s="171"/>
      <c r="K75" s="171"/>
      <c r="L75" s="171"/>
      <c r="M75" s="171"/>
      <c r="N75" s="171"/>
      <c r="O75" s="171"/>
      <c r="P75" s="171"/>
      <c r="Q75" s="171"/>
      <c r="R75" s="167"/>
      <c r="S75" s="168"/>
      <c r="T75" s="168"/>
      <c r="U75" s="168"/>
      <c r="V75" s="168"/>
      <c r="W75" s="168"/>
      <c r="X75" s="168"/>
      <c r="Y75" s="169"/>
      <c r="Z75" s="168"/>
      <c r="AA75" s="168"/>
      <c r="AB75" s="168"/>
      <c r="AC75" s="168"/>
      <c r="AD75" s="168"/>
      <c r="AE75" s="168"/>
      <c r="AF75" s="168"/>
      <c r="AG75" s="169"/>
      <c r="AI75" s="173">
        <v>6</v>
      </c>
      <c r="AJ75" s="175"/>
      <c r="AK75" s="175"/>
      <c r="AL75" s="175"/>
      <c r="AM75" s="175"/>
      <c r="AN75" s="175"/>
      <c r="AO75" s="175"/>
      <c r="AP75" s="175"/>
      <c r="AQ75" s="175"/>
      <c r="AR75" s="185"/>
      <c r="AS75" s="168"/>
      <c r="AT75" s="168"/>
      <c r="AU75" s="168"/>
      <c r="AV75" s="168"/>
      <c r="AW75" s="168"/>
      <c r="AX75" s="168"/>
      <c r="AY75" s="177"/>
      <c r="AZ75" s="168"/>
      <c r="BA75" s="168"/>
      <c r="BB75" s="168"/>
      <c r="BC75" s="168"/>
      <c r="BD75" s="168"/>
      <c r="BE75" s="168"/>
      <c r="BF75" s="168"/>
      <c r="BG75" s="177"/>
    </row>
    <row r="76" spans="9:59">
      <c r="I76" s="205">
        <v>5</v>
      </c>
      <c r="J76" s="171"/>
      <c r="K76" s="171"/>
      <c r="L76" s="171"/>
      <c r="M76" s="171"/>
      <c r="N76" s="171"/>
      <c r="O76" s="171"/>
      <c r="P76" s="171"/>
      <c r="Q76" s="171"/>
      <c r="R76" s="167"/>
      <c r="S76" s="168"/>
      <c r="T76" s="168"/>
      <c r="U76" s="168"/>
      <c r="V76" s="168"/>
      <c r="W76" s="168"/>
      <c r="X76" s="168"/>
      <c r="Y76" s="169"/>
      <c r="Z76" s="171"/>
      <c r="AA76" s="171"/>
      <c r="AB76" s="171"/>
      <c r="AC76" s="171"/>
      <c r="AD76" s="171"/>
      <c r="AE76" s="171"/>
      <c r="AF76" s="171"/>
      <c r="AG76" s="172"/>
      <c r="AI76" s="173">
        <v>5</v>
      </c>
      <c r="AJ76" s="175"/>
      <c r="AK76" s="175"/>
      <c r="AL76" s="175"/>
      <c r="AM76" s="175"/>
      <c r="AN76" s="175"/>
      <c r="AO76" s="175"/>
      <c r="AP76" s="175"/>
      <c r="AQ76" s="175"/>
      <c r="AR76" s="185"/>
      <c r="AS76" s="168"/>
      <c r="AT76" s="168"/>
      <c r="AU76" s="168"/>
      <c r="AV76" s="168"/>
      <c r="AW76" s="168"/>
      <c r="AX76" s="168"/>
      <c r="AY76" s="177"/>
      <c r="AZ76" s="175"/>
      <c r="BA76" s="175"/>
      <c r="BB76" s="175"/>
      <c r="BC76" s="175"/>
      <c r="BD76" s="175"/>
      <c r="BE76" s="175"/>
      <c r="BF76" s="175"/>
      <c r="BG76" s="176"/>
    </row>
    <row r="77" spans="9:59" ht="15.75" thickBot="1">
      <c r="I77" s="206">
        <v>4</v>
      </c>
      <c r="J77" s="192"/>
      <c r="K77" s="192"/>
      <c r="L77" s="192"/>
      <c r="M77" s="192"/>
      <c r="N77" s="192"/>
      <c r="O77" s="192"/>
      <c r="P77" s="192"/>
      <c r="Q77" s="192"/>
      <c r="R77" s="191"/>
      <c r="S77" s="192"/>
      <c r="T77" s="192"/>
      <c r="U77" s="192"/>
      <c r="V77" s="192"/>
      <c r="W77" s="192"/>
      <c r="X77" s="192"/>
      <c r="Y77" s="193"/>
      <c r="Z77" s="192"/>
      <c r="AA77" s="192"/>
      <c r="AB77" s="192"/>
      <c r="AC77" s="192"/>
      <c r="AD77" s="192"/>
      <c r="AE77" s="192"/>
      <c r="AF77" s="192"/>
      <c r="AG77" s="193"/>
      <c r="AI77" s="196">
        <v>4</v>
      </c>
      <c r="AJ77" s="197"/>
      <c r="AK77" s="197"/>
      <c r="AL77" s="197"/>
      <c r="AM77" s="197"/>
      <c r="AN77" s="197"/>
      <c r="AO77" s="197"/>
      <c r="AP77" s="197"/>
      <c r="AQ77" s="197"/>
      <c r="AR77" s="207"/>
      <c r="AS77" s="197"/>
      <c r="AT77" s="197"/>
      <c r="AU77" s="197"/>
      <c r="AV77" s="197"/>
      <c r="AW77" s="197"/>
      <c r="AX77" s="197"/>
      <c r="AY77" s="201"/>
      <c r="AZ77" s="197"/>
      <c r="BA77" s="197"/>
      <c r="BB77" s="197"/>
      <c r="BC77" s="197"/>
      <c r="BD77" s="197"/>
      <c r="BE77" s="197"/>
      <c r="BF77" s="197"/>
      <c r="BG77" s="201"/>
    </row>
    <row r="78" spans="9:59" ht="16.5" thickTop="1" thickBot="1">
      <c r="I78" s="191" t="s">
        <v>78</v>
      </c>
      <c r="J78" s="192"/>
      <c r="K78" s="192"/>
      <c r="L78" s="192"/>
      <c r="M78" s="192"/>
      <c r="N78" s="192"/>
      <c r="O78" s="192"/>
      <c r="P78" s="192"/>
      <c r="Q78" s="192"/>
      <c r="R78" s="191"/>
      <c r="S78" s="192"/>
      <c r="T78" s="192"/>
      <c r="U78" s="192"/>
      <c r="V78" s="192"/>
      <c r="W78" s="192"/>
      <c r="X78" s="192"/>
      <c r="Y78" s="193"/>
      <c r="Z78" s="192"/>
      <c r="AA78" s="192"/>
      <c r="AB78" s="192"/>
      <c r="AC78" s="192"/>
      <c r="AD78" s="192"/>
      <c r="AE78" s="192"/>
      <c r="AF78" s="192"/>
      <c r="AG78" s="193"/>
    </row>
    <row r="79" spans="9:59" ht="15.75" thickTop="1">
      <c r="I79" s="202"/>
      <c r="J79" s="285" t="s">
        <v>91</v>
      </c>
      <c r="K79" s="285"/>
      <c r="L79" s="285"/>
      <c r="M79" s="285"/>
      <c r="N79" s="285"/>
      <c r="O79" s="285"/>
      <c r="P79" s="285"/>
      <c r="Q79" s="286"/>
      <c r="R79" s="285" t="s">
        <v>92</v>
      </c>
      <c r="S79" s="285"/>
      <c r="T79" s="285"/>
      <c r="U79" s="285"/>
      <c r="V79" s="285"/>
      <c r="W79" s="285"/>
      <c r="X79" s="285"/>
      <c r="Y79" s="286"/>
      <c r="Z79" s="285" t="s">
        <v>93</v>
      </c>
      <c r="AA79" s="285"/>
      <c r="AB79" s="285"/>
      <c r="AC79" s="285"/>
      <c r="AD79" s="285"/>
      <c r="AE79" s="285"/>
      <c r="AF79" s="285"/>
      <c r="AG79" s="286"/>
      <c r="AI79" s="148"/>
      <c r="AJ79" s="293" t="s">
        <v>91</v>
      </c>
      <c r="AK79" s="287"/>
      <c r="AL79" s="287"/>
      <c r="AM79" s="287"/>
      <c r="AN79" s="287"/>
      <c r="AO79" s="287"/>
      <c r="AP79" s="287"/>
      <c r="AQ79" s="287"/>
      <c r="AR79" s="293" t="s">
        <v>92</v>
      </c>
      <c r="AS79" s="287"/>
      <c r="AT79" s="287"/>
      <c r="AU79" s="287"/>
      <c r="AV79" s="287"/>
      <c r="AW79" s="287"/>
      <c r="AX79" s="287"/>
      <c r="AY79" s="288"/>
      <c r="AZ79" s="287" t="s">
        <v>93</v>
      </c>
      <c r="BA79" s="287"/>
      <c r="BB79" s="287"/>
      <c r="BC79" s="287"/>
      <c r="BD79" s="287"/>
      <c r="BE79" s="287"/>
      <c r="BF79" s="287"/>
      <c r="BG79" s="288"/>
    </row>
    <row r="80" spans="9:59">
      <c r="I80" s="203"/>
      <c r="J80" s="290" t="s">
        <v>8</v>
      </c>
      <c r="K80" s="290"/>
      <c r="L80" s="290"/>
      <c r="M80" s="290"/>
      <c r="N80" s="290" t="s">
        <v>61</v>
      </c>
      <c r="O80" s="290"/>
      <c r="P80" s="290"/>
      <c r="Q80" s="291"/>
      <c r="R80" s="290" t="s">
        <v>8</v>
      </c>
      <c r="S80" s="290"/>
      <c r="T80" s="290"/>
      <c r="U80" s="290"/>
      <c r="V80" s="290" t="s">
        <v>61</v>
      </c>
      <c r="W80" s="290"/>
      <c r="X80" s="290"/>
      <c r="Y80" s="291"/>
      <c r="Z80" s="290" t="s">
        <v>8</v>
      </c>
      <c r="AA80" s="290"/>
      <c r="AB80" s="290"/>
      <c r="AC80" s="290"/>
      <c r="AD80" s="290" t="s">
        <v>61</v>
      </c>
      <c r="AE80" s="290"/>
      <c r="AF80" s="290"/>
      <c r="AG80" s="291"/>
      <c r="AI80" s="150"/>
      <c r="AJ80" s="292" t="s">
        <v>8</v>
      </c>
      <c r="AK80" s="290"/>
      <c r="AL80" s="290"/>
      <c r="AM80" s="290"/>
      <c r="AN80" s="290" t="s">
        <v>61</v>
      </c>
      <c r="AO80" s="290"/>
      <c r="AP80" s="290"/>
      <c r="AQ80" s="290"/>
      <c r="AR80" s="292" t="s">
        <v>8</v>
      </c>
      <c r="AS80" s="290"/>
      <c r="AT80" s="290"/>
      <c r="AU80" s="290"/>
      <c r="AV80" s="290" t="s">
        <v>61</v>
      </c>
      <c r="AW80" s="290"/>
      <c r="AX80" s="290"/>
      <c r="AY80" s="294"/>
      <c r="AZ80" s="290" t="s">
        <v>8</v>
      </c>
      <c r="BA80" s="290"/>
      <c r="BB80" s="290"/>
      <c r="BC80" s="290"/>
      <c r="BD80" s="290" t="s">
        <v>61</v>
      </c>
      <c r="BE80" s="290"/>
      <c r="BF80" s="290"/>
      <c r="BG80" s="294"/>
    </row>
    <row r="81" spans="9:59">
      <c r="I81" s="204" t="s">
        <v>66</v>
      </c>
      <c r="J81" s="157" t="s">
        <v>4</v>
      </c>
      <c r="K81" s="157" t="s">
        <v>67</v>
      </c>
      <c r="L81" s="157" t="s">
        <v>68</v>
      </c>
      <c r="M81" s="157" t="s">
        <v>51</v>
      </c>
      <c r="N81" s="157" t="s">
        <v>4</v>
      </c>
      <c r="O81" s="157" t="s">
        <v>67</v>
      </c>
      <c r="P81" s="157" t="s">
        <v>68</v>
      </c>
      <c r="Q81" s="158" t="s">
        <v>51</v>
      </c>
      <c r="R81" s="157" t="s">
        <v>4</v>
      </c>
      <c r="S81" s="157" t="s">
        <v>67</v>
      </c>
      <c r="T81" s="157" t="s">
        <v>68</v>
      </c>
      <c r="U81" s="157" t="s">
        <v>51</v>
      </c>
      <c r="V81" s="157" t="s">
        <v>4</v>
      </c>
      <c r="W81" s="157" t="s">
        <v>67</v>
      </c>
      <c r="X81" s="157" t="s">
        <v>68</v>
      </c>
      <c r="Y81" s="158" t="s">
        <v>51</v>
      </c>
      <c r="Z81" s="157" t="s">
        <v>4</v>
      </c>
      <c r="AA81" s="157" t="s">
        <v>67</v>
      </c>
      <c r="AB81" s="157" t="s">
        <v>68</v>
      </c>
      <c r="AC81" s="157" t="s">
        <v>51</v>
      </c>
      <c r="AD81" s="157" t="s">
        <v>4</v>
      </c>
      <c r="AE81" s="157" t="s">
        <v>67</v>
      </c>
      <c r="AF81" s="157" t="s">
        <v>68</v>
      </c>
      <c r="AG81" s="158" t="s">
        <v>51</v>
      </c>
      <c r="AI81" s="159" t="s">
        <v>66</v>
      </c>
      <c r="AJ81" s="160" t="s">
        <v>4</v>
      </c>
      <c r="AK81" s="157" t="s">
        <v>67</v>
      </c>
      <c r="AL81" s="157" t="s">
        <v>68</v>
      </c>
      <c r="AM81" s="157" t="s">
        <v>51</v>
      </c>
      <c r="AN81" s="157" t="s">
        <v>4</v>
      </c>
      <c r="AO81" s="157" t="s">
        <v>67</v>
      </c>
      <c r="AP81" s="157" t="s">
        <v>68</v>
      </c>
      <c r="AQ81" s="157" t="s">
        <v>51</v>
      </c>
      <c r="AR81" s="160" t="s">
        <v>4</v>
      </c>
      <c r="AS81" s="157" t="s">
        <v>67</v>
      </c>
      <c r="AT81" s="157" t="s">
        <v>68</v>
      </c>
      <c r="AU81" s="157" t="s">
        <v>51</v>
      </c>
      <c r="AV81" s="157" t="s">
        <v>4</v>
      </c>
      <c r="AW81" s="157" t="s">
        <v>67</v>
      </c>
      <c r="AX81" s="157" t="s">
        <v>68</v>
      </c>
      <c r="AY81" s="161" t="s">
        <v>51</v>
      </c>
      <c r="AZ81" s="157" t="s">
        <v>4</v>
      </c>
      <c r="BA81" s="157" t="s">
        <v>67</v>
      </c>
      <c r="BB81" s="157" t="s">
        <v>68</v>
      </c>
      <c r="BC81" s="157" t="s">
        <v>51</v>
      </c>
      <c r="BD81" s="157" t="s">
        <v>4</v>
      </c>
      <c r="BE81" s="157" t="s">
        <v>67</v>
      </c>
      <c r="BF81" s="157" t="s">
        <v>68</v>
      </c>
      <c r="BG81" s="161" t="s">
        <v>51</v>
      </c>
    </row>
    <row r="82" spans="9:59">
      <c r="I82" s="205">
        <v>96</v>
      </c>
      <c r="J82" s="171"/>
      <c r="K82" s="171"/>
      <c r="L82" s="171"/>
      <c r="M82" s="171"/>
      <c r="N82" s="171"/>
      <c r="O82" s="171"/>
      <c r="P82" s="171"/>
      <c r="Q82" s="172"/>
      <c r="R82" s="171"/>
      <c r="S82" s="171"/>
      <c r="T82" s="171"/>
      <c r="U82" s="171"/>
      <c r="V82" s="171"/>
      <c r="W82" s="171"/>
      <c r="X82" s="171"/>
      <c r="Y82" s="172"/>
      <c r="Z82" s="168"/>
      <c r="AA82" s="168"/>
      <c r="AB82" s="168"/>
      <c r="AC82" s="168"/>
      <c r="AD82" s="168"/>
      <c r="AE82" s="168"/>
      <c r="AF82" s="168"/>
      <c r="AG82" s="169"/>
      <c r="AI82" s="173">
        <v>96</v>
      </c>
      <c r="AJ82" s="174"/>
      <c r="AK82" s="175"/>
      <c r="AL82" s="175"/>
      <c r="AM82" s="175"/>
      <c r="AN82" s="175"/>
      <c r="AO82" s="175"/>
      <c r="AP82" s="175"/>
      <c r="AQ82" s="175"/>
      <c r="AR82" s="174"/>
      <c r="AS82" s="175"/>
      <c r="AT82" s="175"/>
      <c r="AU82" s="175"/>
      <c r="AV82" s="175"/>
      <c r="AW82" s="175"/>
      <c r="AX82" s="175"/>
      <c r="AY82" s="176"/>
      <c r="AZ82" s="168"/>
      <c r="BA82" s="168"/>
      <c r="BB82" s="168"/>
      <c r="BC82" s="168"/>
      <c r="BD82" s="168"/>
      <c r="BE82" s="168"/>
      <c r="BF82" s="168"/>
      <c r="BG82" s="177"/>
    </row>
    <row r="83" spans="9:59">
      <c r="I83" s="205">
        <f>I82-1</f>
        <v>95</v>
      </c>
      <c r="J83" s="171"/>
      <c r="K83" s="171"/>
      <c r="L83" s="171"/>
      <c r="M83" s="171"/>
      <c r="N83" s="171"/>
      <c r="O83" s="171"/>
      <c r="P83" s="171"/>
      <c r="Q83" s="172"/>
      <c r="R83" s="171"/>
      <c r="S83" s="171"/>
      <c r="T83" s="171"/>
      <c r="U83" s="171"/>
      <c r="V83" s="171"/>
      <c r="W83" s="171"/>
      <c r="X83" s="171"/>
      <c r="Y83" s="172"/>
      <c r="Z83" s="168"/>
      <c r="AA83" s="168"/>
      <c r="AB83" s="168"/>
      <c r="AC83" s="168"/>
      <c r="AD83" s="168"/>
      <c r="AE83" s="168"/>
      <c r="AF83" s="168"/>
      <c r="AG83" s="169"/>
      <c r="AI83" s="173">
        <f>AI82-1</f>
        <v>95</v>
      </c>
      <c r="AJ83" s="174"/>
      <c r="AK83" s="175"/>
      <c r="AL83" s="175"/>
      <c r="AM83" s="175"/>
      <c r="AN83" s="175"/>
      <c r="AO83" s="175"/>
      <c r="AP83" s="175"/>
      <c r="AQ83" s="175"/>
      <c r="AR83" s="174"/>
      <c r="AS83" s="175"/>
      <c r="AT83" s="175"/>
      <c r="AU83" s="175"/>
      <c r="AV83" s="175"/>
      <c r="AW83" s="175"/>
      <c r="AX83" s="175"/>
      <c r="AY83" s="176"/>
      <c r="AZ83" s="168"/>
      <c r="BA83" s="168"/>
      <c r="BB83" s="168"/>
      <c r="BC83" s="168"/>
      <c r="BD83" s="168"/>
      <c r="BE83" s="168"/>
      <c r="BF83" s="168"/>
      <c r="BG83" s="177"/>
    </row>
    <row r="84" spans="9:59">
      <c r="I84" s="205">
        <f t="shared" ref="I84:I147" si="0">I83-1</f>
        <v>94</v>
      </c>
      <c r="J84" s="171"/>
      <c r="K84" s="171"/>
      <c r="L84" s="171"/>
      <c r="M84" s="171"/>
      <c r="N84" s="171"/>
      <c r="O84" s="171"/>
      <c r="P84" s="171"/>
      <c r="Q84" s="172"/>
      <c r="R84" s="171"/>
      <c r="S84" s="171"/>
      <c r="T84" s="171"/>
      <c r="U84" s="171"/>
      <c r="V84" s="171"/>
      <c r="W84" s="171"/>
      <c r="X84" s="171"/>
      <c r="Y84" s="172"/>
      <c r="Z84" s="168"/>
      <c r="AA84" s="168"/>
      <c r="AB84" s="168"/>
      <c r="AC84" s="168"/>
      <c r="AD84" s="168"/>
      <c r="AE84" s="168"/>
      <c r="AF84" s="168"/>
      <c r="AG84" s="169"/>
      <c r="AI84" s="173">
        <f t="shared" ref="AI84:AI147" si="1">AI83-1</f>
        <v>94</v>
      </c>
      <c r="AJ84" s="174"/>
      <c r="AK84" s="175"/>
      <c r="AL84" s="175"/>
      <c r="AM84" s="175"/>
      <c r="AN84" s="175"/>
      <c r="AO84" s="175"/>
      <c r="AP84" s="175"/>
      <c r="AQ84" s="175"/>
      <c r="AR84" s="174"/>
      <c r="AS84" s="175"/>
      <c r="AT84" s="175"/>
      <c r="AU84" s="175"/>
      <c r="AV84" s="175"/>
      <c r="AW84" s="175"/>
      <c r="AX84" s="175"/>
      <c r="AY84" s="176"/>
      <c r="AZ84" s="168"/>
      <c r="BA84" s="168"/>
      <c r="BB84" s="168"/>
      <c r="BC84" s="168"/>
      <c r="BD84" s="168"/>
      <c r="BE84" s="168"/>
      <c r="BF84" s="168"/>
      <c r="BG84" s="177"/>
    </row>
    <row r="85" spans="9:59">
      <c r="I85" s="205">
        <f t="shared" si="0"/>
        <v>93</v>
      </c>
      <c r="J85" s="171"/>
      <c r="K85" s="171"/>
      <c r="L85" s="171"/>
      <c r="M85" s="171"/>
      <c r="N85" s="171"/>
      <c r="O85" s="171"/>
      <c r="P85" s="171"/>
      <c r="Q85" s="172"/>
      <c r="R85" s="171"/>
      <c r="S85" s="171"/>
      <c r="T85" s="171"/>
      <c r="U85" s="171"/>
      <c r="V85" s="171"/>
      <c r="W85" s="171"/>
      <c r="X85" s="171"/>
      <c r="Y85" s="172"/>
      <c r="Z85" s="168"/>
      <c r="AA85" s="168"/>
      <c r="AB85" s="168"/>
      <c r="AC85" s="168"/>
      <c r="AD85" s="168"/>
      <c r="AE85" s="168"/>
      <c r="AF85" s="168"/>
      <c r="AG85" s="169"/>
      <c r="AI85" s="173">
        <f t="shared" si="1"/>
        <v>93</v>
      </c>
      <c r="AJ85" s="174"/>
      <c r="AK85" s="175"/>
      <c r="AL85" s="175"/>
      <c r="AM85" s="175"/>
      <c r="AN85" s="175"/>
      <c r="AO85" s="175"/>
      <c r="AP85" s="175"/>
      <c r="AQ85" s="175"/>
      <c r="AR85" s="174"/>
      <c r="AS85" s="175"/>
      <c r="AT85" s="175"/>
      <c r="AU85" s="175"/>
      <c r="AV85" s="175"/>
      <c r="AW85" s="175"/>
      <c r="AX85" s="175"/>
      <c r="AY85" s="176"/>
      <c r="AZ85" s="168"/>
      <c r="BA85" s="168"/>
      <c r="BB85" s="168"/>
      <c r="BC85" s="168"/>
      <c r="BD85" s="168"/>
      <c r="BE85" s="168"/>
      <c r="BF85" s="168"/>
      <c r="BG85" s="177"/>
    </row>
    <row r="86" spans="9:59">
      <c r="I86" s="205">
        <f t="shared" si="0"/>
        <v>92</v>
      </c>
      <c r="J86" s="171"/>
      <c r="K86" s="171"/>
      <c r="L86" s="171"/>
      <c r="M86" s="171"/>
      <c r="N86" s="171"/>
      <c r="O86" s="171"/>
      <c r="P86" s="171"/>
      <c r="Q86" s="172"/>
      <c r="R86" s="171"/>
      <c r="S86" s="171"/>
      <c r="T86" s="171"/>
      <c r="U86" s="171"/>
      <c r="V86" s="171"/>
      <c r="W86" s="171"/>
      <c r="X86" s="171"/>
      <c r="Y86" s="172"/>
      <c r="Z86" s="168"/>
      <c r="AA86" s="168"/>
      <c r="AB86" s="168"/>
      <c r="AC86" s="168"/>
      <c r="AD86" s="168"/>
      <c r="AE86" s="168"/>
      <c r="AF86" s="168"/>
      <c r="AG86" s="169"/>
      <c r="AI86" s="173">
        <f t="shared" si="1"/>
        <v>92</v>
      </c>
      <c r="AJ86" s="174"/>
      <c r="AK86" s="175"/>
      <c r="AL86" s="175"/>
      <c r="AM86" s="175"/>
      <c r="AN86" s="175"/>
      <c r="AO86" s="175"/>
      <c r="AP86" s="175"/>
      <c r="AQ86" s="175"/>
      <c r="AR86" s="174"/>
      <c r="AS86" s="175"/>
      <c r="AT86" s="175"/>
      <c r="AU86" s="175"/>
      <c r="AV86" s="175"/>
      <c r="AW86" s="175"/>
      <c r="AX86" s="175"/>
      <c r="AY86" s="176"/>
      <c r="AZ86" s="168"/>
      <c r="BA86" s="168"/>
      <c r="BB86" s="168"/>
      <c r="BC86" s="168"/>
      <c r="BD86" s="168"/>
      <c r="BE86" s="168"/>
      <c r="BF86" s="168"/>
      <c r="BG86" s="177"/>
    </row>
    <row r="87" spans="9:59">
      <c r="I87" s="205">
        <f t="shared" si="0"/>
        <v>91</v>
      </c>
      <c r="J87" s="171"/>
      <c r="K87" s="171"/>
      <c r="L87" s="171"/>
      <c r="M87" s="171"/>
      <c r="N87" s="171"/>
      <c r="O87" s="171"/>
      <c r="P87" s="171"/>
      <c r="Q87" s="172"/>
      <c r="R87" s="171"/>
      <c r="S87" s="171"/>
      <c r="T87" s="171"/>
      <c r="U87" s="171"/>
      <c r="V87" s="171"/>
      <c r="W87" s="171"/>
      <c r="X87" s="171"/>
      <c r="Y87" s="172"/>
      <c r="Z87" s="168"/>
      <c r="AA87" s="168"/>
      <c r="AB87" s="168"/>
      <c r="AC87" s="168"/>
      <c r="AD87" s="168"/>
      <c r="AE87" s="168"/>
      <c r="AF87" s="168"/>
      <c r="AG87" s="169"/>
      <c r="AI87" s="173">
        <f t="shared" si="1"/>
        <v>91</v>
      </c>
      <c r="AJ87" s="174"/>
      <c r="AK87" s="175"/>
      <c r="AL87" s="175"/>
      <c r="AM87" s="175"/>
      <c r="AN87" s="175"/>
      <c r="AO87" s="175"/>
      <c r="AP87" s="175"/>
      <c r="AQ87" s="175"/>
      <c r="AR87" s="174"/>
      <c r="AS87" s="175"/>
      <c r="AT87" s="175"/>
      <c r="AU87" s="175"/>
      <c r="AV87" s="175"/>
      <c r="AW87" s="175"/>
      <c r="AX87" s="175"/>
      <c r="AY87" s="176"/>
      <c r="AZ87" s="168"/>
      <c r="BA87" s="168"/>
      <c r="BB87" s="168"/>
      <c r="BC87" s="168"/>
      <c r="BD87" s="168"/>
      <c r="BE87" s="168"/>
      <c r="BF87" s="168"/>
      <c r="BG87" s="177"/>
    </row>
    <row r="88" spans="9:59">
      <c r="I88" s="205">
        <f t="shared" si="0"/>
        <v>90</v>
      </c>
      <c r="J88" s="171"/>
      <c r="K88" s="171"/>
      <c r="L88" s="171"/>
      <c r="M88" s="171"/>
      <c r="N88" s="171"/>
      <c r="O88" s="171"/>
      <c r="P88" s="171"/>
      <c r="Q88" s="172"/>
      <c r="R88" s="171"/>
      <c r="S88" s="171"/>
      <c r="T88" s="171"/>
      <c r="U88" s="171"/>
      <c r="V88" s="171"/>
      <c r="W88" s="171"/>
      <c r="X88" s="171"/>
      <c r="Y88" s="172"/>
      <c r="Z88" s="168"/>
      <c r="AA88" s="168"/>
      <c r="AB88" s="168"/>
      <c r="AC88" s="168"/>
      <c r="AD88" s="168"/>
      <c r="AE88" s="168"/>
      <c r="AF88" s="168"/>
      <c r="AG88" s="169"/>
      <c r="AI88" s="173">
        <f t="shared" si="1"/>
        <v>90</v>
      </c>
      <c r="AJ88" s="174"/>
      <c r="AK88" s="175"/>
      <c r="AL88" s="175"/>
      <c r="AM88" s="175"/>
      <c r="AN88" s="175"/>
      <c r="AO88" s="175"/>
      <c r="AP88" s="175"/>
      <c r="AQ88" s="175"/>
      <c r="AR88" s="174"/>
      <c r="AS88" s="175"/>
      <c r="AT88" s="175"/>
      <c r="AU88" s="175"/>
      <c r="AV88" s="175"/>
      <c r="AW88" s="175"/>
      <c r="AX88" s="175"/>
      <c r="AY88" s="176"/>
      <c r="AZ88" s="168"/>
      <c r="BA88" s="168"/>
      <c r="BB88" s="168"/>
      <c r="BC88" s="168"/>
      <c r="BD88" s="168"/>
      <c r="BE88" s="168"/>
      <c r="BF88" s="168"/>
      <c r="BG88" s="177"/>
    </row>
    <row r="89" spans="9:59">
      <c r="I89" s="205">
        <f t="shared" si="0"/>
        <v>89</v>
      </c>
      <c r="J89" s="171"/>
      <c r="K89" s="171"/>
      <c r="L89" s="171"/>
      <c r="M89" s="171"/>
      <c r="N89" s="171"/>
      <c r="O89" s="171"/>
      <c r="P89" s="171"/>
      <c r="Q89" s="172"/>
      <c r="R89" s="171"/>
      <c r="S89" s="171"/>
      <c r="T89" s="171"/>
      <c r="U89" s="171"/>
      <c r="V89" s="171"/>
      <c r="W89" s="171"/>
      <c r="X89" s="171"/>
      <c r="Y89" s="172"/>
      <c r="Z89" s="168"/>
      <c r="AA89" s="168"/>
      <c r="AB89" s="168"/>
      <c r="AC89" s="168"/>
      <c r="AD89" s="168"/>
      <c r="AE89" s="168"/>
      <c r="AF89" s="168"/>
      <c r="AG89" s="169"/>
      <c r="AI89" s="173">
        <f t="shared" si="1"/>
        <v>89</v>
      </c>
      <c r="AJ89" s="174"/>
      <c r="AK89" s="175"/>
      <c r="AL89" s="175"/>
      <c r="AM89" s="175"/>
      <c r="AN89" s="175"/>
      <c r="AO89" s="175"/>
      <c r="AP89" s="175"/>
      <c r="AQ89" s="175"/>
      <c r="AR89" s="174"/>
      <c r="AS89" s="175"/>
      <c r="AT89" s="175"/>
      <c r="AU89" s="175"/>
      <c r="AV89" s="175"/>
      <c r="AW89" s="175"/>
      <c r="AX89" s="175"/>
      <c r="AY89" s="176"/>
      <c r="AZ89" s="168"/>
      <c r="BA89" s="168"/>
      <c r="BB89" s="168"/>
      <c r="BC89" s="168"/>
      <c r="BD89" s="168"/>
      <c r="BE89" s="168"/>
      <c r="BF89" s="168"/>
      <c r="BG89" s="177"/>
    </row>
    <row r="90" spans="9:59">
      <c r="I90" s="205">
        <f t="shared" si="0"/>
        <v>88</v>
      </c>
      <c r="J90" s="171"/>
      <c r="K90" s="171"/>
      <c r="L90" s="171"/>
      <c r="M90" s="171"/>
      <c r="N90" s="171"/>
      <c r="O90" s="171"/>
      <c r="P90" s="171"/>
      <c r="Q90" s="172"/>
      <c r="R90" s="171"/>
      <c r="S90" s="171"/>
      <c r="T90" s="171"/>
      <c r="U90" s="171"/>
      <c r="V90" s="171"/>
      <c r="W90" s="171"/>
      <c r="X90" s="171"/>
      <c r="Y90" s="172"/>
      <c r="Z90" s="168"/>
      <c r="AA90" s="168"/>
      <c r="AB90" s="168"/>
      <c r="AC90" s="168"/>
      <c r="AD90" s="168"/>
      <c r="AE90" s="168"/>
      <c r="AF90" s="168"/>
      <c r="AG90" s="169"/>
      <c r="AI90" s="173">
        <f t="shared" si="1"/>
        <v>88</v>
      </c>
      <c r="AJ90" s="174"/>
      <c r="AK90" s="175"/>
      <c r="AL90" s="175"/>
      <c r="AM90" s="175"/>
      <c r="AN90" s="175"/>
      <c r="AO90" s="175"/>
      <c r="AP90" s="175"/>
      <c r="AQ90" s="175"/>
      <c r="AR90" s="174"/>
      <c r="AS90" s="175"/>
      <c r="AT90" s="175"/>
      <c r="AU90" s="175"/>
      <c r="AV90" s="175"/>
      <c r="AW90" s="175"/>
      <c r="AX90" s="175"/>
      <c r="AY90" s="176"/>
      <c r="AZ90" s="168"/>
      <c r="BA90" s="168"/>
      <c r="BB90" s="168"/>
      <c r="BC90" s="168"/>
      <c r="BD90" s="168"/>
      <c r="BE90" s="168"/>
      <c r="BF90" s="168"/>
      <c r="BG90" s="177"/>
    </row>
    <row r="91" spans="9:59">
      <c r="I91" s="205">
        <f t="shared" si="0"/>
        <v>87</v>
      </c>
      <c r="J91" s="171"/>
      <c r="K91" s="171"/>
      <c r="L91" s="171"/>
      <c r="M91" s="171"/>
      <c r="N91" s="171"/>
      <c r="O91" s="171"/>
      <c r="P91" s="171"/>
      <c r="Q91" s="172"/>
      <c r="R91" s="171"/>
      <c r="S91" s="171"/>
      <c r="T91" s="171"/>
      <c r="U91" s="171"/>
      <c r="V91" s="171"/>
      <c r="W91" s="171"/>
      <c r="X91" s="171"/>
      <c r="Y91" s="172"/>
      <c r="Z91" s="168"/>
      <c r="AA91" s="168"/>
      <c r="AB91" s="168"/>
      <c r="AC91" s="168"/>
      <c r="AD91" s="168"/>
      <c r="AE91" s="168"/>
      <c r="AF91" s="168"/>
      <c r="AG91" s="169"/>
      <c r="AI91" s="173">
        <f t="shared" si="1"/>
        <v>87</v>
      </c>
      <c r="AJ91" s="174"/>
      <c r="AK91" s="175"/>
      <c r="AL91" s="175"/>
      <c r="AM91" s="175"/>
      <c r="AN91" s="175"/>
      <c r="AO91" s="175"/>
      <c r="AP91" s="175"/>
      <c r="AQ91" s="175"/>
      <c r="AR91" s="174"/>
      <c r="AS91" s="175"/>
      <c r="AT91" s="175"/>
      <c r="AU91" s="175"/>
      <c r="AV91" s="175"/>
      <c r="AW91" s="175"/>
      <c r="AX91" s="175"/>
      <c r="AY91" s="176"/>
      <c r="AZ91" s="168"/>
      <c r="BA91" s="168"/>
      <c r="BB91" s="168"/>
      <c r="BC91" s="168"/>
      <c r="BD91" s="168"/>
      <c r="BE91" s="168"/>
      <c r="BF91" s="168"/>
      <c r="BG91" s="177"/>
    </row>
    <row r="92" spans="9:59">
      <c r="I92" s="205">
        <f t="shared" si="0"/>
        <v>86</v>
      </c>
      <c r="J92" s="171"/>
      <c r="K92" s="171"/>
      <c r="L92" s="171"/>
      <c r="M92" s="171"/>
      <c r="N92" s="171"/>
      <c r="O92" s="171"/>
      <c r="P92" s="171"/>
      <c r="Q92" s="172"/>
      <c r="R92" s="171"/>
      <c r="S92" s="171"/>
      <c r="T92" s="171"/>
      <c r="U92" s="171"/>
      <c r="V92" s="171"/>
      <c r="W92" s="171"/>
      <c r="X92" s="171"/>
      <c r="Y92" s="172"/>
      <c r="Z92" s="168"/>
      <c r="AA92" s="168"/>
      <c r="AB92" s="168"/>
      <c r="AC92" s="168"/>
      <c r="AD92" s="168"/>
      <c r="AE92" s="168"/>
      <c r="AF92" s="168"/>
      <c r="AG92" s="169"/>
      <c r="AI92" s="173">
        <f t="shared" si="1"/>
        <v>86</v>
      </c>
      <c r="AJ92" s="174"/>
      <c r="AK92" s="175"/>
      <c r="AL92" s="175"/>
      <c r="AM92" s="175"/>
      <c r="AN92" s="175"/>
      <c r="AO92" s="175"/>
      <c r="AP92" s="175"/>
      <c r="AQ92" s="175"/>
      <c r="AR92" s="174"/>
      <c r="AS92" s="175"/>
      <c r="AT92" s="175"/>
      <c r="AU92" s="175"/>
      <c r="AV92" s="175"/>
      <c r="AW92" s="175"/>
      <c r="AX92" s="175"/>
      <c r="AY92" s="176"/>
      <c r="AZ92" s="168"/>
      <c r="BA92" s="168"/>
      <c r="BB92" s="168"/>
      <c r="BC92" s="168"/>
      <c r="BD92" s="168"/>
      <c r="BE92" s="168"/>
      <c r="BF92" s="168"/>
      <c r="BG92" s="177"/>
    </row>
    <row r="93" spans="9:59">
      <c r="I93" s="205">
        <f t="shared" si="0"/>
        <v>85</v>
      </c>
      <c r="J93" s="171"/>
      <c r="K93" s="171"/>
      <c r="L93" s="171"/>
      <c r="M93" s="171"/>
      <c r="N93" s="171"/>
      <c r="O93" s="171"/>
      <c r="P93" s="171"/>
      <c r="Q93" s="172"/>
      <c r="R93" s="171"/>
      <c r="S93" s="171"/>
      <c r="T93" s="171"/>
      <c r="U93" s="171"/>
      <c r="V93" s="171"/>
      <c r="W93" s="171"/>
      <c r="X93" s="171"/>
      <c r="Y93" s="172"/>
      <c r="Z93" s="168"/>
      <c r="AA93" s="168"/>
      <c r="AB93" s="168"/>
      <c r="AC93" s="168"/>
      <c r="AD93" s="168"/>
      <c r="AE93" s="168"/>
      <c r="AF93" s="168"/>
      <c r="AG93" s="169"/>
      <c r="AI93" s="173">
        <f t="shared" si="1"/>
        <v>85</v>
      </c>
      <c r="AJ93" s="174"/>
      <c r="AK93" s="175"/>
      <c r="AL93" s="175"/>
      <c r="AM93" s="175"/>
      <c r="AN93" s="175"/>
      <c r="AO93" s="175"/>
      <c r="AP93" s="175"/>
      <c r="AQ93" s="175"/>
      <c r="AR93" s="174"/>
      <c r="AS93" s="175"/>
      <c r="AT93" s="175"/>
      <c r="AU93" s="175"/>
      <c r="AV93" s="175"/>
      <c r="AW93" s="175"/>
      <c r="AX93" s="175"/>
      <c r="AY93" s="176"/>
      <c r="AZ93" s="168"/>
      <c r="BA93" s="168"/>
      <c r="BB93" s="168"/>
      <c r="BC93" s="168"/>
      <c r="BD93" s="168"/>
      <c r="BE93" s="168"/>
      <c r="BF93" s="168"/>
      <c r="BG93" s="177"/>
    </row>
    <row r="94" spans="9:59">
      <c r="I94" s="205">
        <f t="shared" si="0"/>
        <v>84</v>
      </c>
      <c r="J94" s="171"/>
      <c r="K94" s="171"/>
      <c r="L94" s="171"/>
      <c r="M94" s="171"/>
      <c r="N94" s="171"/>
      <c r="O94" s="171"/>
      <c r="P94" s="171"/>
      <c r="Q94" s="172"/>
      <c r="R94" s="171"/>
      <c r="S94" s="171"/>
      <c r="T94" s="171"/>
      <c r="U94" s="171"/>
      <c r="V94" s="171"/>
      <c r="W94" s="171"/>
      <c r="X94" s="171"/>
      <c r="Y94" s="172"/>
      <c r="Z94" s="168"/>
      <c r="AA94" s="168"/>
      <c r="AB94" s="168"/>
      <c r="AC94" s="168"/>
      <c r="AD94" s="168"/>
      <c r="AE94" s="168"/>
      <c r="AF94" s="168"/>
      <c r="AG94" s="169"/>
      <c r="AI94" s="173">
        <f t="shared" si="1"/>
        <v>84</v>
      </c>
      <c r="AJ94" s="174"/>
      <c r="AK94" s="175"/>
      <c r="AL94" s="175"/>
      <c r="AM94" s="175"/>
      <c r="AN94" s="175"/>
      <c r="AO94" s="175"/>
      <c r="AP94" s="175"/>
      <c r="AQ94" s="175"/>
      <c r="AR94" s="174"/>
      <c r="AS94" s="175"/>
      <c r="AT94" s="175"/>
      <c r="AU94" s="175"/>
      <c r="AV94" s="175"/>
      <c r="AW94" s="175"/>
      <c r="AX94" s="175"/>
      <c r="AY94" s="176"/>
      <c r="AZ94" s="168"/>
      <c r="BA94" s="168"/>
      <c r="BB94" s="168"/>
      <c r="BC94" s="168"/>
      <c r="BD94" s="168"/>
      <c r="BE94" s="168"/>
      <c r="BF94" s="168"/>
      <c r="BG94" s="177"/>
    </row>
    <row r="95" spans="9:59">
      <c r="I95" s="205">
        <f t="shared" si="0"/>
        <v>83</v>
      </c>
      <c r="J95" s="171"/>
      <c r="K95" s="171"/>
      <c r="L95" s="171"/>
      <c r="M95" s="171"/>
      <c r="N95" s="171"/>
      <c r="O95" s="171"/>
      <c r="P95" s="171"/>
      <c r="Q95" s="172"/>
      <c r="R95" s="171"/>
      <c r="S95" s="171"/>
      <c r="T95" s="171"/>
      <c r="U95" s="171"/>
      <c r="V95" s="171"/>
      <c r="W95" s="171"/>
      <c r="X95" s="171"/>
      <c r="Y95" s="172"/>
      <c r="Z95" s="168"/>
      <c r="AA95" s="168"/>
      <c r="AB95" s="168"/>
      <c r="AC95" s="168"/>
      <c r="AD95" s="168"/>
      <c r="AE95" s="168"/>
      <c r="AF95" s="168"/>
      <c r="AG95" s="169"/>
      <c r="AI95" s="173">
        <f t="shared" si="1"/>
        <v>83</v>
      </c>
      <c r="AJ95" s="174"/>
      <c r="AK95" s="175"/>
      <c r="AL95" s="175"/>
      <c r="AM95" s="175"/>
      <c r="AN95" s="175"/>
      <c r="AO95" s="175"/>
      <c r="AP95" s="175"/>
      <c r="AQ95" s="175"/>
      <c r="AR95" s="174"/>
      <c r="AS95" s="175"/>
      <c r="AT95" s="175"/>
      <c r="AU95" s="175"/>
      <c r="AV95" s="175"/>
      <c r="AW95" s="175"/>
      <c r="AX95" s="175"/>
      <c r="AY95" s="176"/>
      <c r="AZ95" s="168"/>
      <c r="BA95" s="168"/>
      <c r="BB95" s="168"/>
      <c r="BC95" s="168"/>
      <c r="BD95" s="168"/>
      <c r="BE95" s="168"/>
      <c r="BF95" s="168"/>
      <c r="BG95" s="177"/>
    </row>
    <row r="96" spans="9:59">
      <c r="I96" s="205">
        <f t="shared" si="0"/>
        <v>82</v>
      </c>
      <c r="J96" s="171"/>
      <c r="K96" s="171"/>
      <c r="L96" s="171"/>
      <c r="M96" s="171"/>
      <c r="N96" s="171"/>
      <c r="O96" s="171"/>
      <c r="P96" s="171"/>
      <c r="Q96" s="172"/>
      <c r="R96" s="171"/>
      <c r="S96" s="171"/>
      <c r="T96" s="171"/>
      <c r="U96" s="171"/>
      <c r="V96" s="171"/>
      <c r="W96" s="171"/>
      <c r="X96" s="171"/>
      <c r="Y96" s="172"/>
      <c r="Z96" s="168"/>
      <c r="AA96" s="168"/>
      <c r="AB96" s="168"/>
      <c r="AC96" s="168"/>
      <c r="AD96" s="168"/>
      <c r="AE96" s="168"/>
      <c r="AF96" s="168"/>
      <c r="AG96" s="169"/>
      <c r="AI96" s="173">
        <f t="shared" si="1"/>
        <v>82</v>
      </c>
      <c r="AJ96" s="174"/>
      <c r="AK96" s="175"/>
      <c r="AL96" s="175"/>
      <c r="AM96" s="175"/>
      <c r="AN96" s="175"/>
      <c r="AO96" s="175"/>
      <c r="AP96" s="175"/>
      <c r="AQ96" s="175"/>
      <c r="AR96" s="174"/>
      <c r="AS96" s="175"/>
      <c r="AT96" s="175"/>
      <c r="AU96" s="175"/>
      <c r="AV96" s="175"/>
      <c r="AW96" s="175"/>
      <c r="AX96" s="175"/>
      <c r="AY96" s="176"/>
      <c r="AZ96" s="168"/>
      <c r="BA96" s="168"/>
      <c r="BB96" s="168"/>
      <c r="BC96" s="168"/>
      <c r="BD96" s="168"/>
      <c r="BE96" s="168"/>
      <c r="BF96" s="168"/>
      <c r="BG96" s="177"/>
    </row>
    <row r="97" spans="9:59">
      <c r="I97" s="205">
        <f t="shared" si="0"/>
        <v>81</v>
      </c>
      <c r="J97" s="171"/>
      <c r="K97" s="171"/>
      <c r="L97" s="171"/>
      <c r="M97" s="171"/>
      <c r="N97" s="171"/>
      <c r="O97" s="171"/>
      <c r="P97" s="171"/>
      <c r="Q97" s="172"/>
      <c r="R97" s="171"/>
      <c r="S97" s="171"/>
      <c r="T97" s="171"/>
      <c r="U97" s="171"/>
      <c r="V97" s="171"/>
      <c r="W97" s="171"/>
      <c r="X97" s="171"/>
      <c r="Y97" s="172"/>
      <c r="Z97" s="168"/>
      <c r="AA97" s="168"/>
      <c r="AB97" s="168"/>
      <c r="AC97" s="168"/>
      <c r="AD97" s="168"/>
      <c r="AE97" s="168"/>
      <c r="AF97" s="168"/>
      <c r="AG97" s="169"/>
      <c r="AI97" s="173">
        <f t="shared" si="1"/>
        <v>81</v>
      </c>
      <c r="AJ97" s="174"/>
      <c r="AK97" s="175"/>
      <c r="AL97" s="175"/>
      <c r="AM97" s="175"/>
      <c r="AN97" s="175"/>
      <c r="AO97" s="175"/>
      <c r="AP97" s="175"/>
      <c r="AQ97" s="175"/>
      <c r="AR97" s="174"/>
      <c r="AS97" s="175"/>
      <c r="AT97" s="175"/>
      <c r="AU97" s="175"/>
      <c r="AV97" s="175"/>
      <c r="AW97" s="175"/>
      <c r="AX97" s="175"/>
      <c r="AY97" s="176"/>
      <c r="AZ97" s="168"/>
      <c r="BA97" s="168"/>
      <c r="BB97" s="168"/>
      <c r="BC97" s="168"/>
      <c r="BD97" s="168"/>
      <c r="BE97" s="168"/>
      <c r="BF97" s="168"/>
      <c r="BG97" s="177"/>
    </row>
    <row r="98" spans="9:59">
      <c r="I98" s="205">
        <f t="shared" si="0"/>
        <v>80</v>
      </c>
      <c r="J98" s="171"/>
      <c r="K98" s="171"/>
      <c r="L98" s="171"/>
      <c r="M98" s="171"/>
      <c r="N98" s="171"/>
      <c r="O98" s="171"/>
      <c r="P98" s="171"/>
      <c r="Q98" s="172"/>
      <c r="R98" s="171"/>
      <c r="S98" s="171"/>
      <c r="T98" s="171"/>
      <c r="U98" s="171"/>
      <c r="V98" s="171"/>
      <c r="W98" s="171"/>
      <c r="X98" s="171"/>
      <c r="Y98" s="172"/>
      <c r="Z98" s="168"/>
      <c r="AA98" s="168"/>
      <c r="AB98" s="168"/>
      <c r="AC98" s="168"/>
      <c r="AD98" s="168"/>
      <c r="AE98" s="168"/>
      <c r="AF98" s="168"/>
      <c r="AG98" s="169"/>
      <c r="AI98" s="173">
        <f t="shared" si="1"/>
        <v>80</v>
      </c>
      <c r="AJ98" s="174"/>
      <c r="AK98" s="175"/>
      <c r="AL98" s="175"/>
      <c r="AM98" s="175"/>
      <c r="AN98" s="175"/>
      <c r="AO98" s="175"/>
      <c r="AP98" s="175"/>
      <c r="AQ98" s="175"/>
      <c r="AR98" s="174"/>
      <c r="AS98" s="175"/>
      <c r="AT98" s="175"/>
      <c r="AU98" s="175"/>
      <c r="AV98" s="175"/>
      <c r="AW98" s="175"/>
      <c r="AX98" s="175"/>
      <c r="AY98" s="176"/>
      <c r="AZ98" s="168"/>
      <c r="BA98" s="168"/>
      <c r="BB98" s="168"/>
      <c r="BC98" s="168"/>
      <c r="BD98" s="168"/>
      <c r="BE98" s="168"/>
      <c r="BF98" s="168"/>
      <c r="BG98" s="177"/>
    </row>
    <row r="99" spans="9:59">
      <c r="I99" s="205">
        <f t="shared" si="0"/>
        <v>79</v>
      </c>
      <c r="J99" s="171"/>
      <c r="K99" s="171"/>
      <c r="L99" s="171"/>
      <c r="M99" s="171"/>
      <c r="N99" s="171"/>
      <c r="O99" s="171"/>
      <c r="P99" s="171"/>
      <c r="Q99" s="172"/>
      <c r="R99" s="171"/>
      <c r="S99" s="171"/>
      <c r="T99" s="171"/>
      <c r="U99" s="171"/>
      <c r="V99" s="171"/>
      <c r="W99" s="171"/>
      <c r="X99" s="171"/>
      <c r="Y99" s="172"/>
      <c r="Z99" s="168"/>
      <c r="AA99" s="168"/>
      <c r="AB99" s="168"/>
      <c r="AC99" s="168"/>
      <c r="AD99" s="168"/>
      <c r="AE99" s="168"/>
      <c r="AF99" s="168"/>
      <c r="AG99" s="169"/>
      <c r="AI99" s="173">
        <f t="shared" si="1"/>
        <v>79</v>
      </c>
      <c r="AJ99" s="174"/>
      <c r="AK99" s="175"/>
      <c r="AL99" s="175"/>
      <c r="AM99" s="175"/>
      <c r="AN99" s="175"/>
      <c r="AO99" s="175"/>
      <c r="AP99" s="175"/>
      <c r="AQ99" s="175"/>
      <c r="AR99" s="174"/>
      <c r="AS99" s="175"/>
      <c r="AT99" s="175"/>
      <c r="AU99" s="175"/>
      <c r="AV99" s="175"/>
      <c r="AW99" s="175"/>
      <c r="AX99" s="175"/>
      <c r="AY99" s="176"/>
      <c r="AZ99" s="168"/>
      <c r="BA99" s="168"/>
      <c r="BB99" s="168"/>
      <c r="BC99" s="168"/>
      <c r="BD99" s="168"/>
      <c r="BE99" s="168"/>
      <c r="BF99" s="168"/>
      <c r="BG99" s="177"/>
    </row>
    <row r="100" spans="9:59">
      <c r="I100" s="205">
        <f t="shared" si="0"/>
        <v>78</v>
      </c>
      <c r="J100" s="171"/>
      <c r="K100" s="171"/>
      <c r="L100" s="171"/>
      <c r="M100" s="171"/>
      <c r="N100" s="171"/>
      <c r="O100" s="171"/>
      <c r="P100" s="171"/>
      <c r="Q100" s="172"/>
      <c r="R100" s="171"/>
      <c r="S100" s="171"/>
      <c r="T100" s="171"/>
      <c r="U100" s="171"/>
      <c r="V100" s="171"/>
      <c r="W100" s="171"/>
      <c r="X100" s="171"/>
      <c r="Y100" s="172"/>
      <c r="Z100" s="168"/>
      <c r="AA100" s="168"/>
      <c r="AB100" s="168"/>
      <c r="AC100" s="168"/>
      <c r="AD100" s="168"/>
      <c r="AE100" s="168"/>
      <c r="AF100" s="168"/>
      <c r="AG100" s="169"/>
      <c r="AI100" s="173">
        <f t="shared" si="1"/>
        <v>78</v>
      </c>
      <c r="AJ100" s="174"/>
      <c r="AK100" s="175"/>
      <c r="AL100" s="175"/>
      <c r="AM100" s="175"/>
      <c r="AN100" s="175"/>
      <c r="AO100" s="175"/>
      <c r="AP100" s="175"/>
      <c r="AQ100" s="175"/>
      <c r="AR100" s="174"/>
      <c r="AS100" s="175"/>
      <c r="AT100" s="175"/>
      <c r="AU100" s="175"/>
      <c r="AV100" s="175"/>
      <c r="AW100" s="175"/>
      <c r="AX100" s="175"/>
      <c r="AY100" s="176"/>
      <c r="AZ100" s="168"/>
      <c r="BA100" s="168"/>
      <c r="BB100" s="168"/>
      <c r="BC100" s="168"/>
      <c r="BD100" s="168"/>
      <c r="BE100" s="168"/>
      <c r="BF100" s="168"/>
      <c r="BG100" s="177"/>
    </row>
    <row r="101" spans="9:59">
      <c r="I101" s="205">
        <f t="shared" si="0"/>
        <v>77</v>
      </c>
      <c r="J101" s="171"/>
      <c r="K101" s="171"/>
      <c r="L101" s="171"/>
      <c r="M101" s="171"/>
      <c r="N101" s="171"/>
      <c r="O101" s="171"/>
      <c r="P101" s="171"/>
      <c r="Q101" s="172"/>
      <c r="R101" s="171"/>
      <c r="S101" s="171"/>
      <c r="T101" s="171"/>
      <c r="U101" s="171"/>
      <c r="V101" s="171"/>
      <c r="W101" s="171"/>
      <c r="X101" s="171"/>
      <c r="Y101" s="172"/>
      <c r="Z101" s="168"/>
      <c r="AA101" s="168"/>
      <c r="AB101" s="168"/>
      <c r="AC101" s="168"/>
      <c r="AD101" s="168"/>
      <c r="AE101" s="168"/>
      <c r="AF101" s="168"/>
      <c r="AG101" s="169"/>
      <c r="AI101" s="173">
        <f t="shared" si="1"/>
        <v>77</v>
      </c>
      <c r="AJ101" s="174"/>
      <c r="AK101" s="175"/>
      <c r="AL101" s="175"/>
      <c r="AM101" s="175"/>
      <c r="AN101" s="175"/>
      <c r="AO101" s="175"/>
      <c r="AP101" s="175"/>
      <c r="AQ101" s="175"/>
      <c r="AR101" s="174"/>
      <c r="AS101" s="175"/>
      <c r="AT101" s="175"/>
      <c r="AU101" s="175"/>
      <c r="AV101" s="175"/>
      <c r="AW101" s="175"/>
      <c r="AX101" s="175"/>
      <c r="AY101" s="176"/>
      <c r="AZ101" s="168"/>
      <c r="BA101" s="168"/>
      <c r="BB101" s="168"/>
      <c r="BC101" s="168"/>
      <c r="BD101" s="168"/>
      <c r="BE101" s="168"/>
      <c r="BF101" s="168"/>
      <c r="BG101" s="177"/>
    </row>
    <row r="102" spans="9:59">
      <c r="I102" s="205">
        <f t="shared" si="0"/>
        <v>76</v>
      </c>
      <c r="J102" s="170"/>
      <c r="K102" s="171"/>
      <c r="L102" s="171"/>
      <c r="M102" s="171"/>
      <c r="N102" s="171"/>
      <c r="O102" s="171"/>
      <c r="P102" s="171"/>
      <c r="Q102" s="172"/>
      <c r="R102" s="170"/>
      <c r="S102" s="171"/>
      <c r="T102" s="171"/>
      <c r="U102" s="171"/>
      <c r="V102" s="171"/>
      <c r="W102" s="171"/>
      <c r="X102" s="171"/>
      <c r="Y102" s="172"/>
      <c r="Z102" s="167"/>
      <c r="AA102" s="168"/>
      <c r="AB102" s="168"/>
      <c r="AC102" s="168"/>
      <c r="AD102" s="168"/>
      <c r="AE102" s="168"/>
      <c r="AF102" s="168"/>
      <c r="AG102" s="169"/>
      <c r="AI102" s="173">
        <f t="shared" si="1"/>
        <v>76</v>
      </c>
      <c r="AJ102" s="174"/>
      <c r="AK102" s="175"/>
      <c r="AL102" s="175"/>
      <c r="AM102" s="175"/>
      <c r="AN102" s="175"/>
      <c r="AO102" s="175"/>
      <c r="AP102" s="175"/>
      <c r="AQ102" s="175"/>
      <c r="AR102" s="174"/>
      <c r="AS102" s="175"/>
      <c r="AT102" s="175"/>
      <c r="AU102" s="175"/>
      <c r="AV102" s="175"/>
      <c r="AW102" s="175"/>
      <c r="AX102" s="175"/>
      <c r="AY102" s="176"/>
      <c r="AZ102" s="168"/>
      <c r="BA102" s="168"/>
      <c r="BB102" s="168"/>
      <c r="BC102" s="168"/>
      <c r="BD102" s="168"/>
      <c r="BE102" s="168"/>
      <c r="BF102" s="168"/>
      <c r="BG102" s="177"/>
    </row>
    <row r="103" spans="9:59">
      <c r="I103" s="205">
        <f t="shared" si="0"/>
        <v>75</v>
      </c>
      <c r="J103" s="149"/>
      <c r="K103" s="208"/>
      <c r="L103" s="208"/>
      <c r="M103" s="208"/>
      <c r="N103" s="208"/>
      <c r="O103" s="208"/>
      <c r="P103" s="208"/>
      <c r="Q103" s="209"/>
      <c r="R103" s="149"/>
      <c r="S103" s="208"/>
      <c r="T103" s="208"/>
      <c r="U103" s="208"/>
      <c r="V103" s="208"/>
      <c r="W103" s="208"/>
      <c r="X103" s="208"/>
      <c r="Y103" s="209"/>
      <c r="Z103" s="167"/>
      <c r="AA103" s="168"/>
      <c r="AB103" s="168"/>
      <c r="AC103" s="168"/>
      <c r="AD103" s="168"/>
      <c r="AE103" s="168"/>
      <c r="AF103" s="168"/>
      <c r="AG103" s="169"/>
      <c r="AI103" s="173">
        <f t="shared" si="1"/>
        <v>75</v>
      </c>
      <c r="AJ103" s="210"/>
      <c r="AK103" s="211"/>
      <c r="AL103" s="211"/>
      <c r="AM103" s="211"/>
      <c r="AN103" s="211"/>
      <c r="AO103" s="211"/>
      <c r="AP103" s="211"/>
      <c r="AQ103" s="211"/>
      <c r="AR103" s="210"/>
      <c r="AS103" s="211"/>
      <c r="AT103" s="211"/>
      <c r="AU103" s="211"/>
      <c r="AV103" s="211"/>
      <c r="AW103" s="211"/>
      <c r="AX103" s="211"/>
      <c r="AY103" s="212"/>
      <c r="AZ103" s="168"/>
      <c r="BA103" s="168"/>
      <c r="BB103" s="168"/>
      <c r="BC103" s="168"/>
      <c r="BD103" s="168"/>
      <c r="BE103" s="168"/>
      <c r="BF103" s="168"/>
      <c r="BG103" s="177"/>
    </row>
    <row r="104" spans="9:59">
      <c r="I104" s="205">
        <f t="shared" si="0"/>
        <v>74</v>
      </c>
      <c r="J104" s="208"/>
      <c r="K104" s="208"/>
      <c r="L104" s="208"/>
      <c r="M104" s="208"/>
      <c r="N104" s="208"/>
      <c r="O104" s="208"/>
      <c r="P104" s="208"/>
      <c r="Q104" s="209"/>
      <c r="R104" s="208"/>
      <c r="S104" s="208"/>
      <c r="T104" s="208"/>
      <c r="U104" s="208"/>
      <c r="V104" s="208"/>
      <c r="W104" s="208"/>
      <c r="X104" s="208"/>
      <c r="Y104" s="209"/>
      <c r="Z104" s="167"/>
      <c r="AA104" s="168"/>
      <c r="AB104" s="168"/>
      <c r="AC104" s="168"/>
      <c r="AD104" s="168"/>
      <c r="AE104" s="168"/>
      <c r="AF104" s="168"/>
      <c r="AG104" s="169"/>
      <c r="AI104" s="173">
        <f t="shared" si="1"/>
        <v>74</v>
      </c>
      <c r="AJ104" s="210"/>
      <c r="AK104" s="211"/>
      <c r="AL104" s="211"/>
      <c r="AM104" s="211"/>
      <c r="AN104" s="211"/>
      <c r="AO104" s="211"/>
      <c r="AP104" s="211"/>
      <c r="AQ104" s="211"/>
      <c r="AR104" s="210"/>
      <c r="AS104" s="211"/>
      <c r="AT104" s="211"/>
      <c r="AU104" s="211"/>
      <c r="AV104" s="211"/>
      <c r="AW104" s="211"/>
      <c r="AX104" s="211"/>
      <c r="AY104" s="212"/>
      <c r="AZ104" s="168"/>
      <c r="BA104" s="168"/>
      <c r="BB104" s="168"/>
      <c r="BC104" s="168"/>
      <c r="BD104" s="168"/>
      <c r="BE104" s="168"/>
      <c r="BF104" s="168"/>
      <c r="BG104" s="177"/>
    </row>
    <row r="105" spans="9:59">
      <c r="I105" s="205">
        <f t="shared" si="0"/>
        <v>73</v>
      </c>
      <c r="J105" s="208"/>
      <c r="K105" s="208"/>
      <c r="L105" s="208"/>
      <c r="M105" s="208"/>
      <c r="N105" s="208"/>
      <c r="O105" s="208"/>
      <c r="P105" s="208"/>
      <c r="Q105" s="209"/>
      <c r="R105" s="208"/>
      <c r="S105" s="208"/>
      <c r="T105" s="208"/>
      <c r="U105" s="208"/>
      <c r="V105" s="208"/>
      <c r="W105" s="208"/>
      <c r="X105" s="208"/>
      <c r="Y105" s="209"/>
      <c r="Z105" s="167"/>
      <c r="AA105" s="168"/>
      <c r="AB105" s="168"/>
      <c r="AC105" s="168"/>
      <c r="AD105" s="168"/>
      <c r="AE105" s="168"/>
      <c r="AF105" s="168"/>
      <c r="AG105" s="169"/>
      <c r="AI105" s="173">
        <f t="shared" si="1"/>
        <v>73</v>
      </c>
      <c r="AJ105" s="210"/>
      <c r="AK105" s="211"/>
      <c r="AL105" s="211"/>
      <c r="AM105" s="211"/>
      <c r="AN105" s="211"/>
      <c r="AO105" s="211"/>
      <c r="AP105" s="211"/>
      <c r="AQ105" s="211"/>
      <c r="AR105" s="210"/>
      <c r="AS105" s="211"/>
      <c r="AT105" s="211"/>
      <c r="AU105" s="211"/>
      <c r="AV105" s="211"/>
      <c r="AW105" s="211"/>
      <c r="AX105" s="211"/>
      <c r="AY105" s="212"/>
      <c r="AZ105" s="168"/>
      <c r="BA105" s="168"/>
      <c r="BB105" s="168"/>
      <c r="BC105" s="168"/>
      <c r="BD105" s="168"/>
      <c r="BE105" s="168"/>
      <c r="BF105" s="168"/>
      <c r="BG105" s="177"/>
    </row>
    <row r="106" spans="9:59">
      <c r="I106" s="205">
        <f t="shared" si="0"/>
        <v>72</v>
      </c>
      <c r="J106" s="208"/>
      <c r="K106" s="208"/>
      <c r="L106" s="208"/>
      <c r="M106" s="208"/>
      <c r="N106" s="208"/>
      <c r="O106" s="208"/>
      <c r="P106" s="208"/>
      <c r="Q106" s="209"/>
      <c r="R106" s="208"/>
      <c r="S106" s="208"/>
      <c r="T106" s="208"/>
      <c r="U106" s="208"/>
      <c r="V106" s="208"/>
      <c r="W106" s="208"/>
      <c r="X106" s="208"/>
      <c r="Y106" s="209"/>
      <c r="Z106" s="167"/>
      <c r="AA106" s="168"/>
      <c r="AB106" s="168"/>
      <c r="AC106" s="168"/>
      <c r="AD106" s="168"/>
      <c r="AE106" s="168"/>
      <c r="AF106" s="168"/>
      <c r="AG106" s="169"/>
      <c r="AI106" s="173">
        <f t="shared" si="1"/>
        <v>72</v>
      </c>
      <c r="AJ106" s="210"/>
      <c r="AK106" s="211"/>
      <c r="AL106" s="211"/>
      <c r="AM106" s="211"/>
      <c r="AN106" s="211"/>
      <c r="AO106" s="211"/>
      <c r="AP106" s="211"/>
      <c r="AQ106" s="211"/>
      <c r="AR106" s="210"/>
      <c r="AS106" s="211"/>
      <c r="AT106" s="211"/>
      <c r="AU106" s="211"/>
      <c r="AV106" s="211"/>
      <c r="AW106" s="211"/>
      <c r="AX106" s="211"/>
      <c r="AY106" s="212"/>
      <c r="AZ106" s="168"/>
      <c r="BA106" s="168"/>
      <c r="BB106" s="168"/>
      <c r="BC106" s="168"/>
      <c r="BD106" s="168"/>
      <c r="BE106" s="168"/>
      <c r="BF106" s="168"/>
      <c r="BG106" s="177"/>
    </row>
    <row r="107" spans="9:59">
      <c r="I107" s="205">
        <f t="shared" si="0"/>
        <v>71</v>
      </c>
      <c r="J107" s="208"/>
      <c r="K107" s="208"/>
      <c r="L107" s="208"/>
      <c r="M107" s="208"/>
      <c r="N107" s="208"/>
      <c r="O107" s="208"/>
      <c r="P107" s="208"/>
      <c r="Q107" s="209"/>
      <c r="R107" s="208"/>
      <c r="S107" s="208"/>
      <c r="T107" s="208"/>
      <c r="U107" s="208"/>
      <c r="V107" s="208"/>
      <c r="W107" s="208"/>
      <c r="X107" s="208"/>
      <c r="Y107" s="209"/>
      <c r="Z107" s="167"/>
      <c r="AA107" s="168"/>
      <c r="AB107" s="168"/>
      <c r="AC107" s="168"/>
      <c r="AD107" s="168"/>
      <c r="AE107" s="168"/>
      <c r="AF107" s="168"/>
      <c r="AG107" s="169"/>
      <c r="AI107" s="173">
        <f t="shared" si="1"/>
        <v>71</v>
      </c>
      <c r="AJ107" s="210"/>
      <c r="AK107" s="211"/>
      <c r="AL107" s="211"/>
      <c r="AM107" s="211"/>
      <c r="AN107" s="211"/>
      <c r="AO107" s="211"/>
      <c r="AP107" s="211"/>
      <c r="AQ107" s="211"/>
      <c r="AR107" s="210"/>
      <c r="AS107" s="211"/>
      <c r="AT107" s="211"/>
      <c r="AU107" s="211"/>
      <c r="AV107" s="211"/>
      <c r="AW107" s="211"/>
      <c r="AX107" s="211"/>
      <c r="AY107" s="212"/>
      <c r="AZ107" s="168"/>
      <c r="BA107" s="168"/>
      <c r="BB107" s="168"/>
      <c r="BC107" s="168"/>
      <c r="BD107" s="168"/>
      <c r="BE107" s="168"/>
      <c r="BF107" s="168"/>
      <c r="BG107" s="177"/>
    </row>
    <row r="108" spans="9:59">
      <c r="I108" s="205">
        <f t="shared" si="0"/>
        <v>70</v>
      </c>
      <c r="J108" s="208"/>
      <c r="K108" s="208"/>
      <c r="L108" s="208"/>
      <c r="M108" s="208"/>
      <c r="N108" s="208"/>
      <c r="O108" s="208"/>
      <c r="P108" s="208"/>
      <c r="Q108" s="209"/>
      <c r="R108" s="208"/>
      <c r="S108" s="208"/>
      <c r="T108" s="208"/>
      <c r="U108" s="208"/>
      <c r="V108" s="208"/>
      <c r="W108" s="208"/>
      <c r="X108" s="208"/>
      <c r="Y108" s="209"/>
      <c r="Z108" s="167"/>
      <c r="AA108" s="168"/>
      <c r="AB108" s="168"/>
      <c r="AC108" s="168"/>
      <c r="AD108" s="168"/>
      <c r="AE108" s="168"/>
      <c r="AF108" s="168"/>
      <c r="AG108" s="169"/>
      <c r="AI108" s="173">
        <f t="shared" si="1"/>
        <v>70</v>
      </c>
      <c r="AJ108" s="210"/>
      <c r="AK108" s="211"/>
      <c r="AL108" s="211"/>
      <c r="AM108" s="211"/>
      <c r="AN108" s="211"/>
      <c r="AO108" s="211"/>
      <c r="AP108" s="211"/>
      <c r="AQ108" s="211"/>
      <c r="AR108" s="210"/>
      <c r="AS108" s="211"/>
      <c r="AT108" s="211"/>
      <c r="AU108" s="211"/>
      <c r="AV108" s="211"/>
      <c r="AW108" s="211"/>
      <c r="AX108" s="211"/>
      <c r="AY108" s="212"/>
      <c r="AZ108" s="168"/>
      <c r="BA108" s="168"/>
      <c r="BB108" s="168"/>
      <c r="BC108" s="168"/>
      <c r="BD108" s="168"/>
      <c r="BE108" s="168"/>
      <c r="BF108" s="168"/>
      <c r="BG108" s="177"/>
    </row>
    <row r="109" spans="9:59">
      <c r="I109" s="205">
        <f t="shared" si="0"/>
        <v>69</v>
      </c>
      <c r="J109" s="208"/>
      <c r="K109" s="208"/>
      <c r="L109" s="208"/>
      <c r="M109" s="208"/>
      <c r="N109" s="208"/>
      <c r="O109" s="208"/>
      <c r="P109" s="208"/>
      <c r="Q109" s="209"/>
      <c r="R109" s="208"/>
      <c r="S109" s="208"/>
      <c r="T109" s="208"/>
      <c r="U109" s="208"/>
      <c r="V109" s="208"/>
      <c r="W109" s="208"/>
      <c r="X109" s="208"/>
      <c r="Y109" s="209"/>
      <c r="Z109" s="167"/>
      <c r="AA109" s="168"/>
      <c r="AB109" s="168"/>
      <c r="AC109" s="168"/>
      <c r="AD109" s="168"/>
      <c r="AE109" s="168"/>
      <c r="AF109" s="168"/>
      <c r="AG109" s="169"/>
      <c r="AI109" s="173">
        <f t="shared" si="1"/>
        <v>69</v>
      </c>
      <c r="AJ109" s="210"/>
      <c r="AK109" s="211"/>
      <c r="AL109" s="211"/>
      <c r="AM109" s="211"/>
      <c r="AN109" s="211"/>
      <c r="AO109" s="211"/>
      <c r="AP109" s="211"/>
      <c r="AQ109" s="211"/>
      <c r="AR109" s="210"/>
      <c r="AS109" s="211"/>
      <c r="AT109" s="211"/>
      <c r="AU109" s="211"/>
      <c r="AV109" s="211"/>
      <c r="AW109" s="211"/>
      <c r="AX109" s="211"/>
      <c r="AY109" s="212"/>
      <c r="AZ109" s="168"/>
      <c r="BA109" s="168"/>
      <c r="BB109" s="168"/>
      <c r="BC109" s="168"/>
      <c r="BD109" s="168"/>
      <c r="BE109" s="168"/>
      <c r="BF109" s="168"/>
      <c r="BG109" s="177"/>
    </row>
    <row r="110" spans="9:59">
      <c r="I110" s="205">
        <f t="shared" si="0"/>
        <v>68</v>
      </c>
      <c r="J110" s="208"/>
      <c r="K110" s="208"/>
      <c r="L110" s="208"/>
      <c r="M110" s="208"/>
      <c r="N110" s="208"/>
      <c r="O110" s="208"/>
      <c r="P110" s="208"/>
      <c r="Q110" s="209"/>
      <c r="R110" s="208"/>
      <c r="S110" s="208"/>
      <c r="T110" s="208"/>
      <c r="U110" s="208"/>
      <c r="V110" s="208"/>
      <c r="W110" s="208"/>
      <c r="X110" s="208"/>
      <c r="Y110" s="209"/>
      <c r="Z110" s="167"/>
      <c r="AA110" s="168"/>
      <c r="AB110" s="168"/>
      <c r="AC110" s="168"/>
      <c r="AD110" s="168"/>
      <c r="AE110" s="168"/>
      <c r="AF110" s="168"/>
      <c r="AG110" s="169"/>
      <c r="AI110" s="173">
        <f t="shared" si="1"/>
        <v>68</v>
      </c>
      <c r="AJ110" s="210"/>
      <c r="AK110" s="211"/>
      <c r="AL110" s="211"/>
      <c r="AM110" s="211"/>
      <c r="AN110" s="211"/>
      <c r="AO110" s="211"/>
      <c r="AP110" s="211"/>
      <c r="AQ110" s="211"/>
      <c r="AR110" s="210"/>
      <c r="AS110" s="211"/>
      <c r="AT110" s="211"/>
      <c r="AU110" s="211"/>
      <c r="AV110" s="211"/>
      <c r="AW110" s="211"/>
      <c r="AX110" s="211"/>
      <c r="AY110" s="212"/>
      <c r="AZ110" s="168"/>
      <c r="BA110" s="168"/>
      <c r="BB110" s="168"/>
      <c r="BC110" s="168"/>
      <c r="BD110" s="168"/>
      <c r="BE110" s="168"/>
      <c r="BF110" s="168"/>
      <c r="BG110" s="177"/>
    </row>
    <row r="111" spans="9:59">
      <c r="I111" s="205">
        <f t="shared" si="0"/>
        <v>67</v>
      </c>
      <c r="J111" s="208"/>
      <c r="K111" s="208"/>
      <c r="L111" s="208"/>
      <c r="M111" s="208"/>
      <c r="N111" s="208"/>
      <c r="O111" s="208"/>
      <c r="P111" s="208"/>
      <c r="Q111" s="209"/>
      <c r="R111" s="208"/>
      <c r="S111" s="208"/>
      <c r="T111" s="208"/>
      <c r="U111" s="208"/>
      <c r="V111" s="208"/>
      <c r="W111" s="208"/>
      <c r="X111" s="208"/>
      <c r="Y111" s="209"/>
      <c r="Z111" s="167"/>
      <c r="AA111" s="168"/>
      <c r="AB111" s="168"/>
      <c r="AC111" s="168"/>
      <c r="AD111" s="168"/>
      <c r="AE111" s="168"/>
      <c r="AF111" s="168"/>
      <c r="AG111" s="169"/>
      <c r="AI111" s="173">
        <f t="shared" si="1"/>
        <v>67</v>
      </c>
      <c r="AJ111" s="210"/>
      <c r="AK111" s="211"/>
      <c r="AL111" s="211"/>
      <c r="AM111" s="211"/>
      <c r="AN111" s="211"/>
      <c r="AO111" s="211"/>
      <c r="AP111" s="211"/>
      <c r="AQ111" s="211"/>
      <c r="AR111" s="210"/>
      <c r="AS111" s="211"/>
      <c r="AT111" s="211"/>
      <c r="AU111" s="211"/>
      <c r="AV111" s="211"/>
      <c r="AW111" s="211"/>
      <c r="AX111" s="211"/>
      <c r="AY111" s="212"/>
      <c r="AZ111" s="168"/>
      <c r="BA111" s="168"/>
      <c r="BB111" s="168"/>
      <c r="BC111" s="168"/>
      <c r="BD111" s="168"/>
      <c r="BE111" s="168"/>
      <c r="BF111" s="168"/>
      <c r="BG111" s="177"/>
    </row>
    <row r="112" spans="9:59">
      <c r="I112" s="205">
        <f t="shared" si="0"/>
        <v>66</v>
      </c>
      <c r="J112" s="208"/>
      <c r="K112" s="208"/>
      <c r="L112" s="208"/>
      <c r="M112" s="208"/>
      <c r="N112" s="208"/>
      <c r="O112" s="208"/>
      <c r="P112" s="208"/>
      <c r="Q112" s="209"/>
      <c r="R112" s="208"/>
      <c r="S112" s="208"/>
      <c r="T112" s="208"/>
      <c r="U112" s="208"/>
      <c r="V112" s="208"/>
      <c r="W112" s="208"/>
      <c r="X112" s="208"/>
      <c r="Y112" s="209"/>
      <c r="Z112" s="167"/>
      <c r="AA112" s="168"/>
      <c r="AB112" s="168"/>
      <c r="AC112" s="168"/>
      <c r="AD112" s="168"/>
      <c r="AE112" s="168"/>
      <c r="AF112" s="168"/>
      <c r="AG112" s="169"/>
      <c r="AI112" s="173">
        <f t="shared" si="1"/>
        <v>66</v>
      </c>
      <c r="AJ112" s="210"/>
      <c r="AK112" s="211"/>
      <c r="AL112" s="211"/>
      <c r="AM112" s="211"/>
      <c r="AN112" s="211"/>
      <c r="AO112" s="211"/>
      <c r="AP112" s="211"/>
      <c r="AQ112" s="211"/>
      <c r="AR112" s="210"/>
      <c r="AS112" s="211"/>
      <c r="AT112" s="211"/>
      <c r="AU112" s="211"/>
      <c r="AV112" s="211"/>
      <c r="AW112" s="211"/>
      <c r="AX112" s="211"/>
      <c r="AY112" s="212"/>
      <c r="AZ112" s="168"/>
      <c r="BA112" s="168"/>
      <c r="BB112" s="168"/>
      <c r="BC112" s="168"/>
      <c r="BD112" s="168"/>
      <c r="BE112" s="168"/>
      <c r="BF112" s="168"/>
      <c r="BG112" s="177"/>
    </row>
    <row r="113" spans="9:59">
      <c r="I113" s="205">
        <f t="shared" si="0"/>
        <v>65</v>
      </c>
      <c r="J113" s="208"/>
      <c r="K113" s="208"/>
      <c r="L113" s="208"/>
      <c r="M113" s="208"/>
      <c r="N113" s="208"/>
      <c r="O113" s="208"/>
      <c r="P113" s="208"/>
      <c r="Q113" s="209"/>
      <c r="R113" s="208"/>
      <c r="S113" s="208"/>
      <c r="T113" s="208"/>
      <c r="U113" s="208"/>
      <c r="V113" s="208"/>
      <c r="W113" s="208"/>
      <c r="X113" s="208"/>
      <c r="Y113" s="209"/>
      <c r="Z113" s="167"/>
      <c r="AA113" s="168"/>
      <c r="AB113" s="168"/>
      <c r="AC113" s="168"/>
      <c r="AD113" s="168"/>
      <c r="AE113" s="168"/>
      <c r="AF113" s="168"/>
      <c r="AG113" s="169"/>
      <c r="AI113" s="173">
        <f t="shared" si="1"/>
        <v>65</v>
      </c>
      <c r="AJ113" s="210"/>
      <c r="AK113" s="211"/>
      <c r="AL113" s="211"/>
      <c r="AM113" s="211"/>
      <c r="AN113" s="211"/>
      <c r="AO113" s="211"/>
      <c r="AP113" s="211"/>
      <c r="AQ113" s="211"/>
      <c r="AR113" s="210"/>
      <c r="AS113" s="211"/>
      <c r="AT113" s="211"/>
      <c r="AU113" s="211"/>
      <c r="AV113" s="211"/>
      <c r="AW113" s="211"/>
      <c r="AX113" s="211"/>
      <c r="AY113" s="212"/>
      <c r="AZ113" s="168"/>
      <c r="BA113" s="168"/>
      <c r="BB113" s="168"/>
      <c r="BC113" s="168"/>
      <c r="BD113" s="168"/>
      <c r="BE113" s="168"/>
      <c r="BF113" s="168"/>
      <c r="BG113" s="177"/>
    </row>
    <row r="114" spans="9:59">
      <c r="I114" s="205">
        <f t="shared" si="0"/>
        <v>64</v>
      </c>
      <c r="J114" s="208"/>
      <c r="K114" s="208"/>
      <c r="L114" s="208"/>
      <c r="M114" s="208"/>
      <c r="N114" s="208"/>
      <c r="O114" s="208"/>
      <c r="P114" s="208"/>
      <c r="Q114" s="209"/>
      <c r="R114" s="208"/>
      <c r="S114" s="208"/>
      <c r="T114" s="208"/>
      <c r="U114" s="208"/>
      <c r="V114" s="208"/>
      <c r="W114" s="208"/>
      <c r="X114" s="208"/>
      <c r="Y114" s="209"/>
      <c r="Z114" s="167"/>
      <c r="AA114" s="168"/>
      <c r="AB114" s="168"/>
      <c r="AC114" s="168"/>
      <c r="AD114" s="168"/>
      <c r="AE114" s="168"/>
      <c r="AF114" s="168"/>
      <c r="AG114" s="169"/>
      <c r="AI114" s="173">
        <f t="shared" si="1"/>
        <v>64</v>
      </c>
      <c r="AJ114" s="210"/>
      <c r="AK114" s="211"/>
      <c r="AL114" s="211"/>
      <c r="AM114" s="211"/>
      <c r="AN114" s="211"/>
      <c r="AO114" s="211"/>
      <c r="AP114" s="211"/>
      <c r="AQ114" s="211"/>
      <c r="AR114" s="210"/>
      <c r="AS114" s="211"/>
      <c r="AT114" s="211"/>
      <c r="AU114" s="211"/>
      <c r="AV114" s="211"/>
      <c r="AW114" s="211"/>
      <c r="AX114" s="211"/>
      <c r="AY114" s="212"/>
      <c r="AZ114" s="168"/>
      <c r="BA114" s="168"/>
      <c r="BB114" s="168"/>
      <c r="BC114" s="168"/>
      <c r="BD114" s="168"/>
      <c r="BE114" s="168"/>
      <c r="BF114" s="168"/>
      <c r="BG114" s="177"/>
    </row>
    <row r="115" spans="9:59">
      <c r="I115" s="205">
        <f t="shared" si="0"/>
        <v>63</v>
      </c>
      <c r="J115" s="208"/>
      <c r="K115" s="208"/>
      <c r="L115" s="208"/>
      <c r="M115" s="208"/>
      <c r="N115" s="208"/>
      <c r="O115" s="208"/>
      <c r="P115" s="208"/>
      <c r="Q115" s="209"/>
      <c r="R115" s="208"/>
      <c r="S115" s="208"/>
      <c r="T115" s="208"/>
      <c r="U115" s="208"/>
      <c r="V115" s="208"/>
      <c r="W115" s="208"/>
      <c r="X115" s="208"/>
      <c r="Y115" s="209"/>
      <c r="Z115" s="167"/>
      <c r="AA115" s="168"/>
      <c r="AB115" s="168"/>
      <c r="AC115" s="168"/>
      <c r="AD115" s="168"/>
      <c r="AE115" s="168"/>
      <c r="AF115" s="168"/>
      <c r="AG115" s="169"/>
      <c r="AI115" s="173">
        <f t="shared" si="1"/>
        <v>63</v>
      </c>
      <c r="AJ115" s="210"/>
      <c r="AK115" s="211"/>
      <c r="AL115" s="211"/>
      <c r="AM115" s="211"/>
      <c r="AN115" s="211"/>
      <c r="AO115" s="211"/>
      <c r="AP115" s="211"/>
      <c r="AQ115" s="211"/>
      <c r="AR115" s="210"/>
      <c r="AS115" s="211"/>
      <c r="AT115" s="211"/>
      <c r="AU115" s="211"/>
      <c r="AV115" s="211"/>
      <c r="AW115" s="211"/>
      <c r="AX115" s="211"/>
      <c r="AY115" s="212"/>
      <c r="AZ115" s="168"/>
      <c r="BA115" s="168"/>
      <c r="BB115" s="168"/>
      <c r="BC115" s="168"/>
      <c r="BD115" s="168"/>
      <c r="BE115" s="168"/>
      <c r="BF115" s="168"/>
      <c r="BG115" s="177"/>
    </row>
    <row r="116" spans="9:59">
      <c r="I116" s="205">
        <f t="shared" si="0"/>
        <v>62</v>
      </c>
      <c r="J116" s="208"/>
      <c r="K116" s="208"/>
      <c r="L116" s="208"/>
      <c r="M116" s="208"/>
      <c r="N116" s="208"/>
      <c r="O116" s="208"/>
      <c r="P116" s="208"/>
      <c r="Q116" s="209"/>
      <c r="R116" s="208"/>
      <c r="S116" s="208"/>
      <c r="T116" s="208"/>
      <c r="U116" s="208"/>
      <c r="V116" s="208"/>
      <c r="W116" s="208"/>
      <c r="X116" s="208"/>
      <c r="Y116" s="209"/>
      <c r="Z116" s="167"/>
      <c r="AA116" s="168"/>
      <c r="AB116" s="168"/>
      <c r="AC116" s="168"/>
      <c r="AD116" s="168"/>
      <c r="AE116" s="168"/>
      <c r="AF116" s="168"/>
      <c r="AG116" s="169"/>
      <c r="AI116" s="173">
        <f t="shared" si="1"/>
        <v>62</v>
      </c>
      <c r="AJ116" s="210"/>
      <c r="AK116" s="211"/>
      <c r="AL116" s="211"/>
      <c r="AM116" s="211"/>
      <c r="AN116" s="211"/>
      <c r="AO116" s="211"/>
      <c r="AP116" s="211"/>
      <c r="AQ116" s="211"/>
      <c r="AR116" s="210"/>
      <c r="AS116" s="211"/>
      <c r="AT116" s="211"/>
      <c r="AU116" s="211"/>
      <c r="AV116" s="211"/>
      <c r="AW116" s="211"/>
      <c r="AX116" s="211"/>
      <c r="AY116" s="212"/>
      <c r="AZ116" s="168"/>
      <c r="BA116" s="168"/>
      <c r="BB116" s="168"/>
      <c r="BC116" s="168"/>
      <c r="BD116" s="168"/>
      <c r="BE116" s="168"/>
      <c r="BF116" s="168"/>
      <c r="BG116" s="177"/>
    </row>
    <row r="117" spans="9:59">
      <c r="I117" s="205">
        <f t="shared" si="0"/>
        <v>61</v>
      </c>
      <c r="J117" s="208"/>
      <c r="K117" s="208"/>
      <c r="L117" s="208"/>
      <c r="M117" s="208"/>
      <c r="N117" s="208"/>
      <c r="O117" s="208"/>
      <c r="P117" s="208"/>
      <c r="Q117" s="209"/>
      <c r="R117" s="208"/>
      <c r="S117" s="208"/>
      <c r="T117" s="208"/>
      <c r="U117" s="208"/>
      <c r="V117" s="208"/>
      <c r="W117" s="208"/>
      <c r="X117" s="208"/>
      <c r="Y117" s="209"/>
      <c r="Z117" s="167"/>
      <c r="AA117" s="168"/>
      <c r="AB117" s="168"/>
      <c r="AC117" s="168"/>
      <c r="AD117" s="168"/>
      <c r="AE117" s="168"/>
      <c r="AF117" s="168"/>
      <c r="AG117" s="169"/>
      <c r="AI117" s="173">
        <f t="shared" si="1"/>
        <v>61</v>
      </c>
      <c r="AJ117" s="210"/>
      <c r="AK117" s="211"/>
      <c r="AL117" s="211"/>
      <c r="AM117" s="211"/>
      <c r="AN117" s="211"/>
      <c r="AO117" s="211"/>
      <c r="AP117" s="211"/>
      <c r="AQ117" s="211"/>
      <c r="AR117" s="210"/>
      <c r="AS117" s="211"/>
      <c r="AT117" s="211"/>
      <c r="AU117" s="211"/>
      <c r="AV117" s="211"/>
      <c r="AW117" s="211"/>
      <c r="AX117" s="211"/>
      <c r="AY117" s="212"/>
      <c r="AZ117" s="168"/>
      <c r="BA117" s="168"/>
      <c r="BB117" s="168"/>
      <c r="BC117" s="168"/>
      <c r="BD117" s="168"/>
      <c r="BE117" s="168"/>
      <c r="BF117" s="168"/>
      <c r="BG117" s="177"/>
    </row>
    <row r="118" spans="9:59">
      <c r="I118" s="205">
        <f t="shared" si="0"/>
        <v>60</v>
      </c>
      <c r="J118" s="208"/>
      <c r="K118" s="208"/>
      <c r="L118" s="208"/>
      <c r="M118" s="208"/>
      <c r="N118" s="208"/>
      <c r="O118" s="208"/>
      <c r="P118" s="208"/>
      <c r="Q118" s="209"/>
      <c r="R118" s="208"/>
      <c r="S118" s="208"/>
      <c r="T118" s="208"/>
      <c r="U118" s="208"/>
      <c r="V118" s="208"/>
      <c r="W118" s="208"/>
      <c r="X118" s="208"/>
      <c r="Y118" s="209"/>
      <c r="Z118" s="167"/>
      <c r="AA118" s="168"/>
      <c r="AB118" s="168"/>
      <c r="AC118" s="168"/>
      <c r="AD118" s="168"/>
      <c r="AE118" s="168"/>
      <c r="AF118" s="168"/>
      <c r="AG118" s="169"/>
      <c r="AI118" s="173">
        <f t="shared" si="1"/>
        <v>60</v>
      </c>
      <c r="AJ118" s="210"/>
      <c r="AK118" s="211"/>
      <c r="AL118" s="211"/>
      <c r="AM118" s="211"/>
      <c r="AN118" s="211"/>
      <c r="AO118" s="211"/>
      <c r="AP118" s="211"/>
      <c r="AQ118" s="211"/>
      <c r="AR118" s="210"/>
      <c r="AS118" s="211"/>
      <c r="AT118" s="211"/>
      <c r="AU118" s="211"/>
      <c r="AV118" s="211"/>
      <c r="AW118" s="211"/>
      <c r="AX118" s="211"/>
      <c r="AY118" s="212"/>
      <c r="AZ118" s="168"/>
      <c r="BA118" s="168"/>
      <c r="BB118" s="168"/>
      <c r="BC118" s="168"/>
      <c r="BD118" s="168"/>
      <c r="BE118" s="168"/>
      <c r="BF118" s="168"/>
      <c r="BG118" s="177"/>
    </row>
    <row r="119" spans="9:59">
      <c r="I119" s="205">
        <f t="shared" si="0"/>
        <v>59</v>
      </c>
      <c r="J119" s="208"/>
      <c r="K119" s="208"/>
      <c r="L119" s="208"/>
      <c r="M119" s="208"/>
      <c r="N119" s="208"/>
      <c r="O119" s="208"/>
      <c r="P119" s="208"/>
      <c r="Q119" s="209"/>
      <c r="R119" s="208"/>
      <c r="S119" s="208"/>
      <c r="T119" s="208"/>
      <c r="U119" s="208"/>
      <c r="V119" s="208"/>
      <c r="W119" s="208"/>
      <c r="X119" s="208"/>
      <c r="Y119" s="209"/>
      <c r="Z119" s="167"/>
      <c r="AA119" s="168"/>
      <c r="AB119" s="168"/>
      <c r="AC119" s="168"/>
      <c r="AD119" s="168"/>
      <c r="AE119" s="168"/>
      <c r="AF119" s="168"/>
      <c r="AG119" s="169"/>
      <c r="AI119" s="173">
        <f t="shared" si="1"/>
        <v>59</v>
      </c>
      <c r="AJ119" s="210"/>
      <c r="AK119" s="211"/>
      <c r="AL119" s="211"/>
      <c r="AM119" s="211"/>
      <c r="AN119" s="211"/>
      <c r="AO119" s="211"/>
      <c r="AP119" s="211"/>
      <c r="AQ119" s="211"/>
      <c r="AR119" s="210"/>
      <c r="AS119" s="211"/>
      <c r="AT119" s="211"/>
      <c r="AU119" s="211"/>
      <c r="AV119" s="211"/>
      <c r="AW119" s="211"/>
      <c r="AX119" s="211"/>
      <c r="AY119" s="212"/>
      <c r="AZ119" s="168"/>
      <c r="BA119" s="168"/>
      <c r="BB119" s="168"/>
      <c r="BC119" s="168"/>
      <c r="BD119" s="168"/>
      <c r="BE119" s="168"/>
      <c r="BF119" s="168"/>
      <c r="BG119" s="177"/>
    </row>
    <row r="120" spans="9:59">
      <c r="I120" s="205">
        <f t="shared" si="0"/>
        <v>58</v>
      </c>
      <c r="J120" s="208"/>
      <c r="K120" s="208"/>
      <c r="L120" s="208"/>
      <c r="M120" s="208"/>
      <c r="N120" s="208"/>
      <c r="O120" s="208"/>
      <c r="P120" s="208"/>
      <c r="Q120" s="209"/>
      <c r="R120" s="208"/>
      <c r="S120" s="208"/>
      <c r="T120" s="208"/>
      <c r="U120" s="208"/>
      <c r="V120" s="208"/>
      <c r="W120" s="208"/>
      <c r="X120" s="208"/>
      <c r="Y120" s="209"/>
      <c r="Z120" s="167"/>
      <c r="AA120" s="168"/>
      <c r="AB120" s="168"/>
      <c r="AC120" s="168"/>
      <c r="AD120" s="168"/>
      <c r="AE120" s="168"/>
      <c r="AF120" s="168"/>
      <c r="AG120" s="169"/>
      <c r="AI120" s="173">
        <f t="shared" si="1"/>
        <v>58</v>
      </c>
      <c r="AJ120" s="210"/>
      <c r="AK120" s="211"/>
      <c r="AL120" s="211"/>
      <c r="AM120" s="211"/>
      <c r="AN120" s="211"/>
      <c r="AO120" s="211"/>
      <c r="AP120" s="211"/>
      <c r="AQ120" s="211"/>
      <c r="AR120" s="210"/>
      <c r="AS120" s="211"/>
      <c r="AT120" s="211"/>
      <c r="AU120" s="211"/>
      <c r="AV120" s="211"/>
      <c r="AW120" s="211"/>
      <c r="AX120" s="211"/>
      <c r="AY120" s="212"/>
      <c r="AZ120" s="168"/>
      <c r="BA120" s="168"/>
      <c r="BB120" s="168"/>
      <c r="BC120" s="168"/>
      <c r="BD120" s="168"/>
      <c r="BE120" s="168"/>
      <c r="BF120" s="168"/>
      <c r="BG120" s="177"/>
    </row>
    <row r="121" spans="9:59">
      <c r="I121" s="205">
        <f t="shared" si="0"/>
        <v>57</v>
      </c>
      <c r="J121" s="208"/>
      <c r="K121" s="208"/>
      <c r="L121" s="208"/>
      <c r="M121" s="208"/>
      <c r="N121" s="208"/>
      <c r="O121" s="208"/>
      <c r="P121" s="208"/>
      <c r="Q121" s="209"/>
      <c r="R121" s="208"/>
      <c r="S121" s="208"/>
      <c r="T121" s="208"/>
      <c r="U121" s="208"/>
      <c r="V121" s="208"/>
      <c r="W121" s="208"/>
      <c r="X121" s="208"/>
      <c r="Y121" s="209"/>
      <c r="Z121" s="167"/>
      <c r="AA121" s="168"/>
      <c r="AB121" s="168"/>
      <c r="AC121" s="168"/>
      <c r="AD121" s="168"/>
      <c r="AE121" s="168"/>
      <c r="AF121" s="168"/>
      <c r="AG121" s="169"/>
      <c r="AI121" s="173">
        <f t="shared" si="1"/>
        <v>57</v>
      </c>
      <c r="AJ121" s="210"/>
      <c r="AK121" s="211"/>
      <c r="AL121" s="211"/>
      <c r="AM121" s="211"/>
      <c r="AN121" s="211"/>
      <c r="AO121" s="211"/>
      <c r="AP121" s="211"/>
      <c r="AQ121" s="211"/>
      <c r="AR121" s="210"/>
      <c r="AS121" s="211"/>
      <c r="AT121" s="211"/>
      <c r="AU121" s="211"/>
      <c r="AV121" s="211"/>
      <c r="AW121" s="211"/>
      <c r="AX121" s="211"/>
      <c r="AY121" s="212"/>
      <c r="AZ121" s="168"/>
      <c r="BA121" s="168"/>
      <c r="BB121" s="168"/>
      <c r="BC121" s="168"/>
      <c r="BD121" s="168"/>
      <c r="BE121" s="168"/>
      <c r="BF121" s="168"/>
      <c r="BG121" s="177"/>
    </row>
    <row r="122" spans="9:59">
      <c r="I122" s="205">
        <f t="shared" si="0"/>
        <v>56</v>
      </c>
      <c r="J122" s="208"/>
      <c r="K122" s="208"/>
      <c r="L122" s="208"/>
      <c r="M122" s="208"/>
      <c r="N122" s="208"/>
      <c r="O122" s="208"/>
      <c r="P122" s="208"/>
      <c r="Q122" s="209"/>
      <c r="R122" s="208"/>
      <c r="S122" s="208"/>
      <c r="T122" s="208"/>
      <c r="U122" s="208"/>
      <c r="V122" s="208"/>
      <c r="W122" s="208"/>
      <c r="X122" s="208"/>
      <c r="Y122" s="209"/>
      <c r="Z122" s="167"/>
      <c r="AA122" s="168"/>
      <c r="AB122" s="168"/>
      <c r="AC122" s="168"/>
      <c r="AD122" s="168"/>
      <c r="AE122" s="168"/>
      <c r="AF122" s="168"/>
      <c r="AG122" s="169"/>
      <c r="AI122" s="173">
        <f t="shared" si="1"/>
        <v>56</v>
      </c>
      <c r="AJ122" s="210"/>
      <c r="AK122" s="211"/>
      <c r="AL122" s="211"/>
      <c r="AM122" s="211"/>
      <c r="AN122" s="211"/>
      <c r="AO122" s="211"/>
      <c r="AP122" s="211"/>
      <c r="AQ122" s="211"/>
      <c r="AR122" s="210"/>
      <c r="AS122" s="211"/>
      <c r="AT122" s="211"/>
      <c r="AU122" s="211"/>
      <c r="AV122" s="211"/>
      <c r="AW122" s="211"/>
      <c r="AX122" s="211"/>
      <c r="AY122" s="212"/>
      <c r="AZ122" s="168"/>
      <c r="BA122" s="168"/>
      <c r="BB122" s="168"/>
      <c r="BC122" s="168"/>
      <c r="BD122" s="168"/>
      <c r="BE122" s="168"/>
      <c r="BF122" s="168"/>
      <c r="BG122" s="177"/>
    </row>
    <row r="123" spans="9:59">
      <c r="I123" s="205">
        <f t="shared" si="0"/>
        <v>55</v>
      </c>
      <c r="J123" s="208"/>
      <c r="K123" s="208"/>
      <c r="L123" s="208"/>
      <c r="M123" s="208"/>
      <c r="N123" s="208"/>
      <c r="O123" s="208"/>
      <c r="P123" s="208"/>
      <c r="Q123" s="209"/>
      <c r="R123" s="208"/>
      <c r="S123" s="208"/>
      <c r="T123" s="208"/>
      <c r="U123" s="208"/>
      <c r="V123" s="208"/>
      <c r="W123" s="208"/>
      <c r="X123" s="208"/>
      <c r="Y123" s="209"/>
      <c r="Z123" s="167"/>
      <c r="AA123" s="168"/>
      <c r="AB123" s="168"/>
      <c r="AC123" s="168"/>
      <c r="AD123" s="168"/>
      <c r="AE123" s="168"/>
      <c r="AF123" s="168"/>
      <c r="AG123" s="169"/>
      <c r="AI123" s="173">
        <f t="shared" si="1"/>
        <v>55</v>
      </c>
      <c r="AJ123" s="210"/>
      <c r="AK123" s="211"/>
      <c r="AL123" s="211"/>
      <c r="AM123" s="211"/>
      <c r="AN123" s="211"/>
      <c r="AO123" s="211"/>
      <c r="AP123" s="211"/>
      <c r="AQ123" s="211"/>
      <c r="AR123" s="210"/>
      <c r="AS123" s="211"/>
      <c r="AT123" s="211"/>
      <c r="AU123" s="211"/>
      <c r="AV123" s="211"/>
      <c r="AW123" s="211"/>
      <c r="AX123" s="211"/>
      <c r="AY123" s="212"/>
      <c r="AZ123" s="168"/>
      <c r="BA123" s="168"/>
      <c r="BB123" s="168"/>
      <c r="BC123" s="168"/>
      <c r="BD123" s="168"/>
      <c r="BE123" s="168"/>
      <c r="BF123" s="168"/>
      <c r="BG123" s="177"/>
    </row>
    <row r="124" spans="9:59">
      <c r="I124" s="205">
        <f t="shared" si="0"/>
        <v>54</v>
      </c>
      <c r="J124" s="208"/>
      <c r="K124" s="208"/>
      <c r="L124" s="208"/>
      <c r="M124" s="208"/>
      <c r="N124" s="208"/>
      <c r="O124" s="208"/>
      <c r="P124" s="208"/>
      <c r="Q124" s="209"/>
      <c r="R124" s="208"/>
      <c r="S124" s="208"/>
      <c r="T124" s="208"/>
      <c r="U124" s="208"/>
      <c r="V124" s="208"/>
      <c r="W124" s="208"/>
      <c r="X124" s="208"/>
      <c r="Y124" s="209"/>
      <c r="Z124" s="167"/>
      <c r="AA124" s="168"/>
      <c r="AB124" s="168"/>
      <c r="AC124" s="168"/>
      <c r="AD124" s="168"/>
      <c r="AE124" s="168"/>
      <c r="AF124" s="168"/>
      <c r="AG124" s="169"/>
      <c r="AI124" s="173">
        <f t="shared" si="1"/>
        <v>54</v>
      </c>
      <c r="AJ124" s="210"/>
      <c r="AK124" s="211"/>
      <c r="AL124" s="211"/>
      <c r="AM124" s="211"/>
      <c r="AN124" s="211"/>
      <c r="AO124" s="211"/>
      <c r="AP124" s="211"/>
      <c r="AQ124" s="211"/>
      <c r="AR124" s="210"/>
      <c r="AS124" s="211"/>
      <c r="AT124" s="211"/>
      <c r="AU124" s="211"/>
      <c r="AV124" s="211"/>
      <c r="AW124" s="211"/>
      <c r="AX124" s="211"/>
      <c r="AY124" s="212"/>
      <c r="AZ124" s="168"/>
      <c r="BA124" s="168"/>
      <c r="BB124" s="168"/>
      <c r="BC124" s="168"/>
      <c r="BD124" s="168"/>
      <c r="BE124" s="168"/>
      <c r="BF124" s="168"/>
      <c r="BG124" s="177"/>
    </row>
    <row r="125" spans="9:59">
      <c r="I125" s="205">
        <f t="shared" si="0"/>
        <v>53</v>
      </c>
      <c r="J125" s="208"/>
      <c r="K125" s="208"/>
      <c r="L125" s="208"/>
      <c r="M125" s="208"/>
      <c r="N125" s="208"/>
      <c r="O125" s="208"/>
      <c r="P125" s="208"/>
      <c r="Q125" s="209"/>
      <c r="R125" s="208"/>
      <c r="S125" s="208"/>
      <c r="T125" s="208"/>
      <c r="U125" s="208"/>
      <c r="V125" s="208"/>
      <c r="W125" s="208"/>
      <c r="X125" s="208"/>
      <c r="Y125" s="209"/>
      <c r="Z125" s="167"/>
      <c r="AA125" s="168"/>
      <c r="AB125" s="168"/>
      <c r="AC125" s="168"/>
      <c r="AD125" s="168"/>
      <c r="AE125" s="168"/>
      <c r="AF125" s="168"/>
      <c r="AG125" s="169"/>
      <c r="AI125" s="173">
        <f t="shared" si="1"/>
        <v>53</v>
      </c>
      <c r="AJ125" s="210"/>
      <c r="AK125" s="211"/>
      <c r="AL125" s="211"/>
      <c r="AM125" s="211"/>
      <c r="AN125" s="211"/>
      <c r="AO125" s="211"/>
      <c r="AP125" s="211"/>
      <c r="AQ125" s="211"/>
      <c r="AR125" s="210"/>
      <c r="AS125" s="211"/>
      <c r="AT125" s="211"/>
      <c r="AU125" s="211"/>
      <c r="AV125" s="211"/>
      <c r="AW125" s="211"/>
      <c r="AX125" s="211"/>
      <c r="AY125" s="212"/>
      <c r="AZ125" s="168"/>
      <c r="BA125" s="168"/>
      <c r="BB125" s="168"/>
      <c r="BC125" s="168"/>
      <c r="BD125" s="168"/>
      <c r="BE125" s="168"/>
      <c r="BF125" s="168"/>
      <c r="BG125" s="177"/>
    </row>
    <row r="126" spans="9:59">
      <c r="I126" s="205">
        <f t="shared" si="0"/>
        <v>52</v>
      </c>
      <c r="J126" s="208"/>
      <c r="K126" s="208"/>
      <c r="L126" s="208"/>
      <c r="M126" s="208"/>
      <c r="N126" s="208"/>
      <c r="O126" s="208"/>
      <c r="P126" s="208"/>
      <c r="Q126" s="209"/>
      <c r="R126" s="208"/>
      <c r="S126" s="208"/>
      <c r="T126" s="208"/>
      <c r="U126" s="208"/>
      <c r="V126" s="208"/>
      <c r="W126" s="208"/>
      <c r="X126" s="208"/>
      <c r="Y126" s="209"/>
      <c r="Z126" s="167"/>
      <c r="AA126" s="168"/>
      <c r="AB126" s="168"/>
      <c r="AC126" s="168"/>
      <c r="AD126" s="168"/>
      <c r="AE126" s="168"/>
      <c r="AF126" s="168"/>
      <c r="AG126" s="169"/>
      <c r="AI126" s="173">
        <f t="shared" si="1"/>
        <v>52</v>
      </c>
      <c r="AJ126" s="210"/>
      <c r="AK126" s="211"/>
      <c r="AL126" s="211"/>
      <c r="AM126" s="211"/>
      <c r="AN126" s="211"/>
      <c r="AO126" s="211"/>
      <c r="AP126" s="211"/>
      <c r="AQ126" s="211"/>
      <c r="AR126" s="210"/>
      <c r="AS126" s="211"/>
      <c r="AT126" s="211"/>
      <c r="AU126" s="211"/>
      <c r="AV126" s="211"/>
      <c r="AW126" s="211"/>
      <c r="AX126" s="211"/>
      <c r="AY126" s="212"/>
      <c r="AZ126" s="168"/>
      <c r="BA126" s="168"/>
      <c r="BB126" s="168"/>
      <c r="BC126" s="168"/>
      <c r="BD126" s="168"/>
      <c r="BE126" s="168"/>
      <c r="BF126" s="168"/>
      <c r="BG126" s="177"/>
    </row>
    <row r="127" spans="9:59">
      <c r="I127" s="205">
        <f t="shared" si="0"/>
        <v>51</v>
      </c>
      <c r="J127" s="208"/>
      <c r="K127" s="208"/>
      <c r="L127" s="208"/>
      <c r="M127" s="208"/>
      <c r="N127" s="208"/>
      <c r="O127" s="208"/>
      <c r="P127" s="208"/>
      <c r="Q127" s="209"/>
      <c r="R127" s="208"/>
      <c r="S127" s="208"/>
      <c r="T127" s="208"/>
      <c r="U127" s="208"/>
      <c r="V127" s="208"/>
      <c r="W127" s="208"/>
      <c r="X127" s="208"/>
      <c r="Y127" s="209"/>
      <c r="Z127" s="167"/>
      <c r="AA127" s="168"/>
      <c r="AB127" s="168"/>
      <c r="AC127" s="168"/>
      <c r="AD127" s="168"/>
      <c r="AE127" s="168"/>
      <c r="AF127" s="168"/>
      <c r="AG127" s="169"/>
      <c r="AI127" s="173">
        <f t="shared" si="1"/>
        <v>51</v>
      </c>
      <c r="AJ127" s="210"/>
      <c r="AK127" s="211"/>
      <c r="AL127" s="211"/>
      <c r="AM127" s="211"/>
      <c r="AN127" s="211"/>
      <c r="AO127" s="211"/>
      <c r="AP127" s="211"/>
      <c r="AQ127" s="211"/>
      <c r="AR127" s="210"/>
      <c r="AS127" s="211"/>
      <c r="AT127" s="211"/>
      <c r="AU127" s="211"/>
      <c r="AV127" s="211"/>
      <c r="AW127" s="211"/>
      <c r="AX127" s="211"/>
      <c r="AY127" s="212"/>
      <c r="AZ127" s="168"/>
      <c r="BA127" s="168"/>
      <c r="BB127" s="168"/>
      <c r="BC127" s="168"/>
      <c r="BD127" s="168"/>
      <c r="BE127" s="168"/>
      <c r="BF127" s="168"/>
      <c r="BG127" s="177"/>
    </row>
    <row r="128" spans="9:59">
      <c r="I128" s="205">
        <f t="shared" si="0"/>
        <v>50</v>
      </c>
      <c r="J128" s="208"/>
      <c r="K128" s="208"/>
      <c r="L128" s="208"/>
      <c r="M128" s="208"/>
      <c r="N128" s="208"/>
      <c r="O128" s="208"/>
      <c r="P128" s="208"/>
      <c r="Q128" s="209"/>
      <c r="R128" s="208"/>
      <c r="S128" s="208"/>
      <c r="T128" s="208"/>
      <c r="U128" s="208"/>
      <c r="V128" s="208"/>
      <c r="W128" s="208"/>
      <c r="X128" s="208"/>
      <c r="Y128" s="209"/>
      <c r="Z128" s="167"/>
      <c r="AA128" s="168"/>
      <c r="AB128" s="168"/>
      <c r="AC128" s="168"/>
      <c r="AD128" s="168"/>
      <c r="AE128" s="168"/>
      <c r="AF128" s="168"/>
      <c r="AG128" s="169"/>
      <c r="AI128" s="173">
        <f t="shared" si="1"/>
        <v>50</v>
      </c>
      <c r="AJ128" s="210"/>
      <c r="AK128" s="211"/>
      <c r="AL128" s="211"/>
      <c r="AM128" s="211"/>
      <c r="AN128" s="211"/>
      <c r="AO128" s="211"/>
      <c r="AP128" s="211"/>
      <c r="AQ128" s="211"/>
      <c r="AR128" s="210"/>
      <c r="AS128" s="211"/>
      <c r="AT128" s="211"/>
      <c r="AU128" s="211"/>
      <c r="AV128" s="211"/>
      <c r="AW128" s="211"/>
      <c r="AX128" s="211"/>
      <c r="AY128" s="212"/>
      <c r="AZ128" s="168"/>
      <c r="BA128" s="168"/>
      <c r="BB128" s="168"/>
      <c r="BC128" s="168"/>
      <c r="BD128" s="168"/>
      <c r="BE128" s="168"/>
      <c r="BF128" s="168"/>
      <c r="BG128" s="177"/>
    </row>
    <row r="129" spans="9:59">
      <c r="I129" s="205">
        <f t="shared" si="0"/>
        <v>49</v>
      </c>
      <c r="J129" s="208"/>
      <c r="K129" s="208"/>
      <c r="L129" s="208"/>
      <c r="M129" s="208"/>
      <c r="N129" s="208"/>
      <c r="O129" s="208"/>
      <c r="P129" s="208"/>
      <c r="Q129" s="209"/>
      <c r="R129" s="171"/>
      <c r="S129" s="171"/>
      <c r="T129" s="171"/>
      <c r="U129" s="171"/>
      <c r="V129" s="171"/>
      <c r="W129" s="171"/>
      <c r="X129" s="171"/>
      <c r="Y129" s="172"/>
      <c r="Z129" s="167"/>
      <c r="AA129" s="168"/>
      <c r="AB129" s="168"/>
      <c r="AC129" s="168"/>
      <c r="AD129" s="168"/>
      <c r="AE129" s="168"/>
      <c r="AF129" s="168"/>
      <c r="AG129" s="169"/>
      <c r="AI129" s="173">
        <f t="shared" si="1"/>
        <v>49</v>
      </c>
      <c r="AJ129" s="210"/>
      <c r="AK129" s="211"/>
      <c r="AL129" s="211"/>
      <c r="AM129" s="211"/>
      <c r="AN129" s="211"/>
      <c r="AO129" s="211"/>
      <c r="AP129" s="211"/>
      <c r="AQ129" s="211"/>
      <c r="AR129" s="210"/>
      <c r="AS129" s="211"/>
      <c r="AT129" s="211"/>
      <c r="AU129" s="211"/>
      <c r="AV129" s="211"/>
      <c r="AW129" s="211"/>
      <c r="AX129" s="211"/>
      <c r="AY129" s="212"/>
      <c r="AZ129" s="168"/>
      <c r="BA129" s="168"/>
      <c r="BB129" s="168"/>
      <c r="BC129" s="168"/>
      <c r="BD129" s="168"/>
      <c r="BE129" s="168"/>
      <c r="BF129" s="168"/>
      <c r="BG129" s="177"/>
    </row>
    <row r="130" spans="9:59">
      <c r="I130" s="205">
        <f t="shared" si="0"/>
        <v>48</v>
      </c>
      <c r="J130" s="208"/>
      <c r="K130" s="208"/>
      <c r="L130" s="208"/>
      <c r="M130" s="208"/>
      <c r="N130" s="208"/>
      <c r="O130" s="208"/>
      <c r="P130" s="208"/>
      <c r="Q130" s="209"/>
      <c r="R130" s="168"/>
      <c r="S130" s="168"/>
      <c r="T130" s="168"/>
      <c r="U130" s="168"/>
      <c r="V130" s="168"/>
      <c r="W130" s="168"/>
      <c r="X130" s="168"/>
      <c r="Y130" s="169"/>
      <c r="Z130" s="167"/>
      <c r="AA130" s="168"/>
      <c r="AB130" s="168"/>
      <c r="AC130" s="168"/>
      <c r="AD130" s="168"/>
      <c r="AE130" s="168"/>
      <c r="AF130" s="168"/>
      <c r="AG130" s="169"/>
      <c r="AI130" s="173">
        <f t="shared" si="1"/>
        <v>48</v>
      </c>
      <c r="AJ130" s="210"/>
      <c r="AK130" s="211"/>
      <c r="AL130" s="211"/>
      <c r="AM130" s="211"/>
      <c r="AN130" s="211"/>
      <c r="AO130" s="211"/>
      <c r="AP130" s="211"/>
      <c r="AQ130" s="211"/>
      <c r="AR130" s="185"/>
      <c r="AS130" s="168"/>
      <c r="AT130" s="168"/>
      <c r="AU130" s="168"/>
      <c r="AV130" s="168"/>
      <c r="AW130" s="168"/>
      <c r="AX130" s="168"/>
      <c r="AY130" s="177"/>
      <c r="AZ130" s="168"/>
      <c r="BA130" s="168"/>
      <c r="BB130" s="168"/>
      <c r="BC130" s="168"/>
      <c r="BD130" s="168"/>
      <c r="BE130" s="168"/>
      <c r="BF130" s="168"/>
      <c r="BG130" s="177"/>
    </row>
    <row r="131" spans="9:59">
      <c r="I131" s="205">
        <f t="shared" si="0"/>
        <v>47</v>
      </c>
      <c r="J131" s="208"/>
      <c r="K131" s="208"/>
      <c r="L131" s="208"/>
      <c r="M131" s="208"/>
      <c r="N131" s="208"/>
      <c r="O131" s="208"/>
      <c r="P131" s="208"/>
      <c r="Q131" s="209"/>
      <c r="R131" s="168"/>
      <c r="S131" s="168"/>
      <c r="T131" s="168"/>
      <c r="U131" s="168"/>
      <c r="V131" s="168"/>
      <c r="W131" s="168"/>
      <c r="X131" s="168"/>
      <c r="Y131" s="169"/>
      <c r="Z131" s="167"/>
      <c r="AA131" s="168"/>
      <c r="AB131" s="168"/>
      <c r="AC131" s="168"/>
      <c r="AD131" s="168"/>
      <c r="AE131" s="168"/>
      <c r="AF131" s="168"/>
      <c r="AG131" s="169"/>
      <c r="AI131" s="173">
        <f t="shared" si="1"/>
        <v>47</v>
      </c>
      <c r="AJ131" s="210"/>
      <c r="AK131" s="211"/>
      <c r="AL131" s="211"/>
      <c r="AM131" s="211"/>
      <c r="AN131" s="211"/>
      <c r="AO131" s="211"/>
      <c r="AP131" s="211"/>
      <c r="AQ131" s="211"/>
      <c r="AR131" s="185"/>
      <c r="AS131" s="168"/>
      <c r="AT131" s="168"/>
      <c r="AU131" s="168"/>
      <c r="AV131" s="168"/>
      <c r="AW131" s="168"/>
      <c r="AX131" s="168"/>
      <c r="AY131" s="177"/>
      <c r="AZ131" s="168"/>
      <c r="BA131" s="168"/>
      <c r="BB131" s="168"/>
      <c r="BC131" s="168"/>
      <c r="BD131" s="168"/>
      <c r="BE131" s="168"/>
      <c r="BF131" s="168"/>
      <c r="BG131" s="177"/>
    </row>
    <row r="132" spans="9:59">
      <c r="I132" s="205">
        <f t="shared" si="0"/>
        <v>46</v>
      </c>
      <c r="J132" s="208"/>
      <c r="K132" s="208"/>
      <c r="L132" s="208"/>
      <c r="M132" s="208"/>
      <c r="N132" s="208"/>
      <c r="O132" s="208"/>
      <c r="P132" s="208"/>
      <c r="Q132" s="209"/>
      <c r="R132" s="168"/>
      <c r="S132" s="168"/>
      <c r="T132" s="168"/>
      <c r="U132" s="168"/>
      <c r="V132" s="168"/>
      <c r="W132" s="168"/>
      <c r="X132" s="168"/>
      <c r="Y132" s="169"/>
      <c r="Z132" s="167"/>
      <c r="AA132" s="168"/>
      <c r="AB132" s="168"/>
      <c r="AC132" s="168"/>
      <c r="AD132" s="168"/>
      <c r="AE132" s="168"/>
      <c r="AF132" s="168"/>
      <c r="AG132" s="169"/>
      <c r="AI132" s="173">
        <f t="shared" si="1"/>
        <v>46</v>
      </c>
      <c r="AJ132" s="210"/>
      <c r="AK132" s="211"/>
      <c r="AL132" s="211"/>
      <c r="AM132" s="211"/>
      <c r="AN132" s="211"/>
      <c r="AO132" s="211"/>
      <c r="AP132" s="211"/>
      <c r="AQ132" s="211"/>
      <c r="AR132" s="185"/>
      <c r="AS132" s="168"/>
      <c r="AT132" s="168"/>
      <c r="AU132" s="168"/>
      <c r="AV132" s="168"/>
      <c r="AW132" s="168"/>
      <c r="AX132" s="168"/>
      <c r="AY132" s="177"/>
      <c r="AZ132" s="168"/>
      <c r="BA132" s="168"/>
      <c r="BB132" s="168"/>
      <c r="BC132" s="168"/>
      <c r="BD132" s="168"/>
      <c r="BE132" s="168"/>
      <c r="BF132" s="168"/>
      <c r="BG132" s="177"/>
    </row>
    <row r="133" spans="9:59">
      <c r="I133" s="205">
        <f t="shared" si="0"/>
        <v>45</v>
      </c>
      <c r="J133" s="208"/>
      <c r="K133" s="208"/>
      <c r="L133" s="208"/>
      <c r="M133" s="208"/>
      <c r="N133" s="208"/>
      <c r="O133" s="208"/>
      <c r="P133" s="208"/>
      <c r="Q133" s="209"/>
      <c r="R133" s="168"/>
      <c r="S133" s="168"/>
      <c r="T133" s="168"/>
      <c r="U133" s="168"/>
      <c r="V133" s="168"/>
      <c r="W133" s="168"/>
      <c r="X133" s="168"/>
      <c r="Y133" s="169"/>
      <c r="Z133" s="167"/>
      <c r="AA133" s="168"/>
      <c r="AB133" s="168"/>
      <c r="AC133" s="168"/>
      <c r="AD133" s="168"/>
      <c r="AE133" s="168"/>
      <c r="AF133" s="168"/>
      <c r="AG133" s="169"/>
      <c r="AI133" s="173">
        <f t="shared" si="1"/>
        <v>45</v>
      </c>
      <c r="AJ133" s="210"/>
      <c r="AK133" s="211"/>
      <c r="AL133" s="211"/>
      <c r="AM133" s="211"/>
      <c r="AN133" s="211"/>
      <c r="AO133" s="211"/>
      <c r="AP133" s="211"/>
      <c r="AQ133" s="211"/>
      <c r="AR133" s="185"/>
      <c r="AS133" s="168"/>
      <c r="AT133" s="168"/>
      <c r="AU133" s="168"/>
      <c r="AV133" s="168"/>
      <c r="AW133" s="168"/>
      <c r="AX133" s="168"/>
      <c r="AY133" s="177"/>
      <c r="AZ133" s="168"/>
      <c r="BA133" s="168"/>
      <c r="BB133" s="168"/>
      <c r="BC133" s="168"/>
      <c r="BD133" s="168"/>
      <c r="BE133" s="168"/>
      <c r="BF133" s="168"/>
      <c r="BG133" s="177"/>
    </row>
    <row r="134" spans="9:59">
      <c r="I134" s="205">
        <f t="shared" si="0"/>
        <v>44</v>
      </c>
      <c r="J134" s="208"/>
      <c r="K134" s="208"/>
      <c r="L134" s="208"/>
      <c r="M134" s="208"/>
      <c r="N134" s="208"/>
      <c r="O134" s="208"/>
      <c r="P134" s="208"/>
      <c r="Q134" s="209"/>
      <c r="R134" s="168"/>
      <c r="S134" s="168"/>
      <c r="T134" s="168"/>
      <c r="U134" s="168"/>
      <c r="V134" s="168"/>
      <c r="W134" s="168"/>
      <c r="X134" s="168"/>
      <c r="Y134" s="169"/>
      <c r="Z134" s="167"/>
      <c r="AA134" s="168"/>
      <c r="AB134" s="168"/>
      <c r="AC134" s="168"/>
      <c r="AD134" s="168"/>
      <c r="AE134" s="168"/>
      <c r="AF134" s="168"/>
      <c r="AG134" s="169"/>
      <c r="AI134" s="173">
        <f t="shared" si="1"/>
        <v>44</v>
      </c>
      <c r="AJ134" s="210"/>
      <c r="AK134" s="211"/>
      <c r="AL134" s="211"/>
      <c r="AM134" s="211"/>
      <c r="AN134" s="211"/>
      <c r="AO134" s="211"/>
      <c r="AP134" s="211"/>
      <c r="AQ134" s="211"/>
      <c r="AR134" s="185"/>
      <c r="AS134" s="168"/>
      <c r="AT134" s="168"/>
      <c r="AU134" s="168"/>
      <c r="AV134" s="168"/>
      <c r="AW134" s="168"/>
      <c r="AX134" s="168"/>
      <c r="AY134" s="177"/>
      <c r="AZ134" s="168"/>
      <c r="BA134" s="168"/>
      <c r="BB134" s="168"/>
      <c r="BC134" s="168"/>
      <c r="BD134" s="168"/>
      <c r="BE134" s="168"/>
      <c r="BF134" s="168"/>
      <c r="BG134" s="177"/>
    </row>
    <row r="135" spans="9:59">
      <c r="I135" s="205">
        <f t="shared" si="0"/>
        <v>43</v>
      </c>
      <c r="J135" s="208"/>
      <c r="K135" s="208"/>
      <c r="L135" s="208"/>
      <c r="M135" s="208"/>
      <c r="N135" s="208"/>
      <c r="O135" s="208"/>
      <c r="P135" s="208"/>
      <c r="Q135" s="209"/>
      <c r="R135" s="168"/>
      <c r="S135" s="168"/>
      <c r="T135" s="168"/>
      <c r="U135" s="168"/>
      <c r="V135" s="168"/>
      <c r="W135" s="168"/>
      <c r="X135" s="168"/>
      <c r="Y135" s="169"/>
      <c r="Z135" s="167"/>
      <c r="AA135" s="168"/>
      <c r="AB135" s="168"/>
      <c r="AC135" s="168"/>
      <c r="AD135" s="168"/>
      <c r="AE135" s="168"/>
      <c r="AF135" s="168"/>
      <c r="AG135" s="169"/>
      <c r="AI135" s="173">
        <f t="shared" si="1"/>
        <v>43</v>
      </c>
      <c r="AJ135" s="210"/>
      <c r="AK135" s="211"/>
      <c r="AL135" s="211"/>
      <c r="AM135" s="211"/>
      <c r="AN135" s="211"/>
      <c r="AO135" s="211"/>
      <c r="AP135" s="211"/>
      <c r="AQ135" s="211"/>
      <c r="AR135" s="185"/>
      <c r="AS135" s="168"/>
      <c r="AT135" s="168"/>
      <c r="AU135" s="168"/>
      <c r="AV135" s="168"/>
      <c r="AW135" s="168"/>
      <c r="AX135" s="168"/>
      <c r="AY135" s="177"/>
      <c r="AZ135" s="168"/>
      <c r="BA135" s="168"/>
      <c r="BB135" s="168"/>
      <c r="BC135" s="168"/>
      <c r="BD135" s="168"/>
      <c r="BE135" s="168"/>
      <c r="BF135" s="168"/>
      <c r="BG135" s="177"/>
    </row>
    <row r="136" spans="9:59">
      <c r="I136" s="205">
        <f t="shared" si="0"/>
        <v>42</v>
      </c>
      <c r="J136" s="208"/>
      <c r="K136" s="208"/>
      <c r="L136" s="208"/>
      <c r="M136" s="208"/>
      <c r="N136" s="208"/>
      <c r="O136" s="208"/>
      <c r="P136" s="208"/>
      <c r="Q136" s="209"/>
      <c r="R136" s="168"/>
      <c r="S136" s="168"/>
      <c r="T136" s="168"/>
      <c r="U136" s="168"/>
      <c r="V136" s="168"/>
      <c r="W136" s="168"/>
      <c r="X136" s="168"/>
      <c r="Y136" s="169"/>
      <c r="Z136" s="167"/>
      <c r="AA136" s="168"/>
      <c r="AB136" s="168"/>
      <c r="AC136" s="168"/>
      <c r="AD136" s="168"/>
      <c r="AE136" s="168"/>
      <c r="AF136" s="168"/>
      <c r="AG136" s="169"/>
      <c r="AI136" s="173">
        <f t="shared" si="1"/>
        <v>42</v>
      </c>
      <c r="AJ136" s="210"/>
      <c r="AK136" s="211"/>
      <c r="AL136" s="211"/>
      <c r="AM136" s="211"/>
      <c r="AN136" s="211"/>
      <c r="AO136" s="211"/>
      <c r="AP136" s="211"/>
      <c r="AQ136" s="211"/>
      <c r="AR136" s="185"/>
      <c r="AS136" s="168"/>
      <c r="AT136" s="168"/>
      <c r="AU136" s="168"/>
      <c r="AV136" s="168"/>
      <c r="AW136" s="168"/>
      <c r="AX136" s="168"/>
      <c r="AY136" s="177"/>
      <c r="AZ136" s="168"/>
      <c r="BA136" s="168"/>
      <c r="BB136" s="168"/>
      <c r="BC136" s="168"/>
      <c r="BD136" s="168"/>
      <c r="BE136" s="168"/>
      <c r="BF136" s="168"/>
      <c r="BG136" s="177"/>
    </row>
    <row r="137" spans="9:59">
      <c r="I137" s="205">
        <f t="shared" si="0"/>
        <v>41</v>
      </c>
      <c r="J137" s="208"/>
      <c r="K137" s="208"/>
      <c r="L137" s="208"/>
      <c r="M137" s="208"/>
      <c r="N137" s="208"/>
      <c r="O137" s="208"/>
      <c r="P137" s="208"/>
      <c r="Q137" s="209"/>
      <c r="R137" s="168"/>
      <c r="S137" s="168"/>
      <c r="T137" s="168"/>
      <c r="U137" s="168"/>
      <c r="V137" s="168"/>
      <c r="W137" s="168"/>
      <c r="X137" s="168"/>
      <c r="Y137" s="169"/>
      <c r="Z137" s="167"/>
      <c r="AA137" s="168"/>
      <c r="AB137" s="168"/>
      <c r="AC137" s="168"/>
      <c r="AD137" s="168"/>
      <c r="AE137" s="168"/>
      <c r="AF137" s="168"/>
      <c r="AG137" s="169"/>
      <c r="AI137" s="173">
        <f t="shared" si="1"/>
        <v>41</v>
      </c>
      <c r="AJ137" s="210"/>
      <c r="AK137" s="211"/>
      <c r="AL137" s="211"/>
      <c r="AM137" s="211"/>
      <c r="AN137" s="211"/>
      <c r="AO137" s="211"/>
      <c r="AP137" s="211"/>
      <c r="AQ137" s="211"/>
      <c r="AR137" s="185"/>
      <c r="AS137" s="168"/>
      <c r="AT137" s="168"/>
      <c r="AU137" s="168"/>
      <c r="AV137" s="168"/>
      <c r="AW137" s="168"/>
      <c r="AX137" s="168"/>
      <c r="AY137" s="177"/>
      <c r="AZ137" s="168"/>
      <c r="BA137" s="168"/>
      <c r="BB137" s="168"/>
      <c r="BC137" s="168"/>
      <c r="BD137" s="168"/>
      <c r="BE137" s="168"/>
      <c r="BF137" s="168"/>
      <c r="BG137" s="177"/>
    </row>
    <row r="138" spans="9:59">
      <c r="I138" s="205">
        <f t="shared" si="0"/>
        <v>40</v>
      </c>
      <c r="J138" s="208"/>
      <c r="K138" s="208"/>
      <c r="L138" s="208"/>
      <c r="M138" s="208"/>
      <c r="N138" s="208"/>
      <c r="O138" s="208"/>
      <c r="P138" s="208"/>
      <c r="Q138" s="209"/>
      <c r="R138" s="168"/>
      <c r="S138" s="168"/>
      <c r="T138" s="168"/>
      <c r="U138" s="168"/>
      <c r="V138" s="168"/>
      <c r="W138" s="168"/>
      <c r="X138" s="168"/>
      <c r="Y138" s="169"/>
      <c r="Z138" s="167"/>
      <c r="AA138" s="168"/>
      <c r="AB138" s="168"/>
      <c r="AC138" s="168"/>
      <c r="AD138" s="168"/>
      <c r="AE138" s="168"/>
      <c r="AF138" s="168"/>
      <c r="AG138" s="169"/>
      <c r="AI138" s="173">
        <f t="shared" si="1"/>
        <v>40</v>
      </c>
      <c r="AJ138" s="210"/>
      <c r="AK138" s="211"/>
      <c r="AL138" s="211"/>
      <c r="AM138" s="211"/>
      <c r="AN138" s="211"/>
      <c r="AO138" s="211"/>
      <c r="AP138" s="211"/>
      <c r="AQ138" s="211"/>
      <c r="AR138" s="185"/>
      <c r="AS138" s="168"/>
      <c r="AT138" s="168"/>
      <c r="AU138" s="168"/>
      <c r="AV138" s="168"/>
      <c r="AW138" s="168"/>
      <c r="AX138" s="168"/>
      <c r="AY138" s="177"/>
      <c r="AZ138" s="168"/>
      <c r="BA138" s="168"/>
      <c r="BB138" s="168"/>
      <c r="BC138" s="168"/>
      <c r="BD138" s="168"/>
      <c r="BE138" s="168"/>
      <c r="BF138" s="168"/>
      <c r="BG138" s="177"/>
    </row>
    <row r="139" spans="9:59">
      <c r="I139" s="205">
        <f t="shared" si="0"/>
        <v>39</v>
      </c>
      <c r="J139" s="208"/>
      <c r="K139" s="208"/>
      <c r="L139" s="208"/>
      <c r="M139" s="208"/>
      <c r="N139" s="208"/>
      <c r="O139" s="208"/>
      <c r="P139" s="208"/>
      <c r="Q139" s="209"/>
      <c r="R139" s="168"/>
      <c r="S139" s="168"/>
      <c r="T139" s="168"/>
      <c r="U139" s="168"/>
      <c r="V139" s="168"/>
      <c r="W139" s="168"/>
      <c r="X139" s="168"/>
      <c r="Y139" s="169"/>
      <c r="Z139" s="167"/>
      <c r="AA139" s="168"/>
      <c r="AB139" s="168"/>
      <c r="AC139" s="168"/>
      <c r="AD139" s="168"/>
      <c r="AE139" s="168"/>
      <c r="AF139" s="168"/>
      <c r="AG139" s="169"/>
      <c r="AI139" s="173">
        <f t="shared" si="1"/>
        <v>39</v>
      </c>
      <c r="AJ139" s="210"/>
      <c r="AK139" s="211"/>
      <c r="AL139" s="211"/>
      <c r="AM139" s="211"/>
      <c r="AN139" s="211"/>
      <c r="AO139" s="211"/>
      <c r="AP139" s="211"/>
      <c r="AQ139" s="211"/>
      <c r="AR139" s="185"/>
      <c r="AS139" s="168"/>
      <c r="AT139" s="168"/>
      <c r="AU139" s="168"/>
      <c r="AV139" s="168"/>
      <c r="AW139" s="168"/>
      <c r="AX139" s="168"/>
      <c r="AY139" s="177"/>
      <c r="AZ139" s="168"/>
      <c r="BA139" s="168"/>
      <c r="BB139" s="168"/>
      <c r="BC139" s="168"/>
      <c r="BD139" s="168"/>
      <c r="BE139" s="168"/>
      <c r="BF139" s="168"/>
      <c r="BG139" s="177"/>
    </row>
    <row r="140" spans="9:59">
      <c r="I140" s="205">
        <f t="shared" si="0"/>
        <v>38</v>
      </c>
      <c r="J140" s="208"/>
      <c r="K140" s="208"/>
      <c r="L140" s="208"/>
      <c r="M140" s="208"/>
      <c r="N140" s="208"/>
      <c r="O140" s="208"/>
      <c r="P140" s="208"/>
      <c r="Q140" s="209"/>
      <c r="R140" s="168"/>
      <c r="S140" s="168"/>
      <c r="T140" s="168"/>
      <c r="U140" s="168"/>
      <c r="V140" s="168"/>
      <c r="W140" s="168"/>
      <c r="X140" s="168"/>
      <c r="Y140" s="169"/>
      <c r="Z140" s="167"/>
      <c r="AA140" s="168"/>
      <c r="AB140" s="168"/>
      <c r="AC140" s="168"/>
      <c r="AD140" s="168"/>
      <c r="AE140" s="168"/>
      <c r="AF140" s="168"/>
      <c r="AG140" s="169"/>
      <c r="AI140" s="173">
        <f t="shared" si="1"/>
        <v>38</v>
      </c>
      <c r="AJ140" s="210"/>
      <c r="AK140" s="211"/>
      <c r="AL140" s="211"/>
      <c r="AM140" s="211"/>
      <c r="AN140" s="211"/>
      <c r="AO140" s="211"/>
      <c r="AP140" s="211"/>
      <c r="AQ140" s="211"/>
      <c r="AR140" s="185"/>
      <c r="AS140" s="168"/>
      <c r="AT140" s="168"/>
      <c r="AU140" s="168"/>
      <c r="AV140" s="168"/>
      <c r="AW140" s="168"/>
      <c r="AX140" s="168"/>
      <c r="AY140" s="177"/>
      <c r="AZ140" s="168"/>
      <c r="BA140" s="168"/>
      <c r="BB140" s="168"/>
      <c r="BC140" s="168"/>
      <c r="BD140" s="168"/>
      <c r="BE140" s="168"/>
      <c r="BF140" s="168"/>
      <c r="BG140" s="177"/>
    </row>
    <row r="141" spans="9:59">
      <c r="I141" s="205">
        <f t="shared" si="0"/>
        <v>37</v>
      </c>
      <c r="J141" s="208"/>
      <c r="K141" s="208"/>
      <c r="L141" s="208"/>
      <c r="M141" s="208"/>
      <c r="N141" s="208"/>
      <c r="O141" s="208"/>
      <c r="P141" s="208"/>
      <c r="Q141" s="209"/>
      <c r="R141" s="168"/>
      <c r="S141" s="168"/>
      <c r="T141" s="168"/>
      <c r="U141" s="168"/>
      <c r="V141" s="168"/>
      <c r="W141" s="168"/>
      <c r="X141" s="168"/>
      <c r="Y141" s="169"/>
      <c r="Z141" s="167"/>
      <c r="AA141" s="168"/>
      <c r="AB141" s="168"/>
      <c r="AC141" s="168"/>
      <c r="AD141" s="168"/>
      <c r="AE141" s="168"/>
      <c r="AF141" s="168"/>
      <c r="AG141" s="169"/>
      <c r="AI141" s="173">
        <f t="shared" si="1"/>
        <v>37</v>
      </c>
      <c r="AJ141" s="210"/>
      <c r="AK141" s="211"/>
      <c r="AL141" s="211"/>
      <c r="AM141" s="211"/>
      <c r="AN141" s="211"/>
      <c r="AO141" s="211"/>
      <c r="AP141" s="211"/>
      <c r="AQ141" s="211"/>
      <c r="AR141" s="185"/>
      <c r="AS141" s="168"/>
      <c r="AT141" s="168"/>
      <c r="AU141" s="168"/>
      <c r="AV141" s="168"/>
      <c r="AW141" s="168"/>
      <c r="AX141" s="168"/>
      <c r="AY141" s="177"/>
      <c r="AZ141" s="168"/>
      <c r="BA141" s="168"/>
      <c r="BB141" s="168"/>
      <c r="BC141" s="168"/>
      <c r="BD141" s="168"/>
      <c r="BE141" s="168"/>
      <c r="BF141" s="168"/>
      <c r="BG141" s="177"/>
    </row>
    <row r="142" spans="9:59">
      <c r="I142" s="205">
        <f t="shared" si="0"/>
        <v>36</v>
      </c>
      <c r="J142" s="168"/>
      <c r="K142" s="168"/>
      <c r="L142" s="168"/>
      <c r="M142" s="168"/>
      <c r="N142" s="168"/>
      <c r="O142" s="168"/>
      <c r="P142" s="168"/>
      <c r="Q142" s="169"/>
      <c r="R142" s="168"/>
      <c r="S142" s="168"/>
      <c r="T142" s="168"/>
      <c r="U142" s="168"/>
      <c r="V142" s="168"/>
      <c r="W142" s="168"/>
      <c r="X142" s="168"/>
      <c r="Y142" s="169"/>
      <c r="Z142" s="167"/>
      <c r="AA142" s="168"/>
      <c r="AB142" s="168"/>
      <c r="AC142" s="168"/>
      <c r="AD142" s="168"/>
      <c r="AE142" s="168"/>
      <c r="AF142" s="168"/>
      <c r="AG142" s="169"/>
      <c r="AI142" s="173">
        <f t="shared" si="1"/>
        <v>36</v>
      </c>
      <c r="AJ142" s="185"/>
      <c r="AK142" s="168"/>
      <c r="AL142" s="168"/>
      <c r="AM142" s="168"/>
      <c r="AN142" s="168"/>
      <c r="AO142" s="168"/>
      <c r="AP142" s="168"/>
      <c r="AQ142" s="168"/>
      <c r="AR142" s="185"/>
      <c r="AS142" s="168"/>
      <c r="AT142" s="168"/>
      <c r="AU142" s="168"/>
      <c r="AV142" s="168"/>
      <c r="AW142" s="168"/>
      <c r="AX142" s="168"/>
      <c r="AY142" s="177"/>
      <c r="AZ142" s="168"/>
      <c r="BA142" s="168"/>
      <c r="BB142" s="168"/>
      <c r="BC142" s="168"/>
      <c r="BD142" s="168"/>
      <c r="BE142" s="168"/>
      <c r="BF142" s="168"/>
      <c r="BG142" s="177"/>
    </row>
    <row r="143" spans="9:59">
      <c r="I143" s="205">
        <f t="shared" si="0"/>
        <v>35</v>
      </c>
      <c r="J143" s="168"/>
      <c r="K143" s="168"/>
      <c r="L143" s="168"/>
      <c r="M143" s="168"/>
      <c r="N143" s="168"/>
      <c r="O143" s="168"/>
      <c r="P143" s="168"/>
      <c r="Q143" s="169"/>
      <c r="R143" s="168"/>
      <c r="S143" s="168"/>
      <c r="T143" s="168"/>
      <c r="U143" s="168"/>
      <c r="V143" s="168"/>
      <c r="W143" s="168"/>
      <c r="X143" s="168"/>
      <c r="Y143" s="169"/>
      <c r="Z143" s="167"/>
      <c r="AA143" s="168"/>
      <c r="AB143" s="168"/>
      <c r="AC143" s="168"/>
      <c r="AD143" s="168"/>
      <c r="AE143" s="168"/>
      <c r="AF143" s="168"/>
      <c r="AG143" s="169"/>
      <c r="AI143" s="173">
        <f t="shared" si="1"/>
        <v>35</v>
      </c>
      <c r="AJ143" s="185"/>
      <c r="AK143" s="168"/>
      <c r="AL143" s="168"/>
      <c r="AM143" s="168"/>
      <c r="AN143" s="168"/>
      <c r="AO143" s="168"/>
      <c r="AP143" s="168"/>
      <c r="AQ143" s="168"/>
      <c r="AR143" s="185"/>
      <c r="AS143" s="168"/>
      <c r="AT143" s="168"/>
      <c r="AU143" s="168"/>
      <c r="AV143" s="168"/>
      <c r="AW143" s="168"/>
      <c r="AX143" s="168"/>
      <c r="AY143" s="177"/>
      <c r="AZ143" s="168"/>
      <c r="BA143" s="168"/>
      <c r="BB143" s="168"/>
      <c r="BC143" s="168"/>
      <c r="BD143" s="168"/>
      <c r="BE143" s="168"/>
      <c r="BF143" s="168"/>
      <c r="BG143" s="177"/>
    </row>
    <row r="144" spans="9:59">
      <c r="I144" s="205">
        <f t="shared" si="0"/>
        <v>34</v>
      </c>
      <c r="J144" s="168"/>
      <c r="K144" s="168"/>
      <c r="L144" s="168"/>
      <c r="M144" s="168"/>
      <c r="N144" s="168"/>
      <c r="O144" s="168"/>
      <c r="P144" s="168"/>
      <c r="Q144" s="169"/>
      <c r="R144" s="168"/>
      <c r="S144" s="168"/>
      <c r="T144" s="168"/>
      <c r="U144" s="168"/>
      <c r="V144" s="168"/>
      <c r="W144" s="168"/>
      <c r="X144" s="168"/>
      <c r="Y144" s="169"/>
      <c r="Z144" s="167"/>
      <c r="AA144" s="168"/>
      <c r="AB144" s="168"/>
      <c r="AC144" s="168"/>
      <c r="AD144" s="168"/>
      <c r="AE144" s="168"/>
      <c r="AF144" s="168"/>
      <c r="AG144" s="169"/>
      <c r="AI144" s="173">
        <f t="shared" si="1"/>
        <v>34</v>
      </c>
      <c r="AJ144" s="185"/>
      <c r="AK144" s="168"/>
      <c r="AL144" s="168"/>
      <c r="AM144" s="168"/>
      <c r="AN144" s="168"/>
      <c r="AO144" s="168"/>
      <c r="AP144" s="168"/>
      <c r="AQ144" s="168"/>
      <c r="AR144" s="185"/>
      <c r="AS144" s="168"/>
      <c r="AT144" s="168"/>
      <c r="AU144" s="168"/>
      <c r="AV144" s="168"/>
      <c r="AW144" s="168"/>
      <c r="AX144" s="168"/>
      <c r="AY144" s="177"/>
      <c r="AZ144" s="168"/>
      <c r="BA144" s="168"/>
      <c r="BB144" s="168"/>
      <c r="BC144" s="168"/>
      <c r="BD144" s="168"/>
      <c r="BE144" s="168"/>
      <c r="BF144" s="168"/>
      <c r="BG144" s="177"/>
    </row>
    <row r="145" spans="9:59">
      <c r="I145" s="205">
        <f t="shared" si="0"/>
        <v>33</v>
      </c>
      <c r="J145" s="168"/>
      <c r="K145" s="168"/>
      <c r="L145" s="168"/>
      <c r="M145" s="168"/>
      <c r="N145" s="168"/>
      <c r="O145" s="168"/>
      <c r="P145" s="168"/>
      <c r="Q145" s="169"/>
      <c r="R145" s="168"/>
      <c r="S145" s="168"/>
      <c r="T145" s="168"/>
      <c r="U145" s="168"/>
      <c r="V145" s="168"/>
      <c r="W145" s="168"/>
      <c r="X145" s="168"/>
      <c r="Y145" s="169"/>
      <c r="Z145" s="167"/>
      <c r="AA145" s="168"/>
      <c r="AB145" s="168"/>
      <c r="AC145" s="168"/>
      <c r="AD145" s="168"/>
      <c r="AE145" s="168"/>
      <c r="AF145" s="168"/>
      <c r="AG145" s="169"/>
      <c r="AI145" s="173">
        <f t="shared" si="1"/>
        <v>33</v>
      </c>
      <c r="AJ145" s="185"/>
      <c r="AK145" s="168"/>
      <c r="AL145" s="168"/>
      <c r="AM145" s="168"/>
      <c r="AN145" s="168"/>
      <c r="AO145" s="168"/>
      <c r="AP145" s="168"/>
      <c r="AQ145" s="168"/>
      <c r="AR145" s="185"/>
      <c r="AS145" s="168"/>
      <c r="AT145" s="168"/>
      <c r="AU145" s="168"/>
      <c r="AV145" s="168"/>
      <c r="AW145" s="168"/>
      <c r="AX145" s="168"/>
      <c r="AY145" s="177"/>
      <c r="AZ145" s="168"/>
      <c r="BA145" s="168"/>
      <c r="BB145" s="168"/>
      <c r="BC145" s="168"/>
      <c r="BD145" s="168"/>
      <c r="BE145" s="168"/>
      <c r="BF145" s="168"/>
      <c r="BG145" s="177"/>
    </row>
    <row r="146" spans="9:59">
      <c r="I146" s="205">
        <f t="shared" si="0"/>
        <v>32</v>
      </c>
      <c r="J146" s="168"/>
      <c r="K146" s="168"/>
      <c r="L146" s="168"/>
      <c r="M146" s="168"/>
      <c r="N146" s="168"/>
      <c r="O146" s="168"/>
      <c r="P146" s="168"/>
      <c r="Q146" s="169"/>
      <c r="R146" s="168"/>
      <c r="S146" s="168"/>
      <c r="T146" s="168"/>
      <c r="U146" s="168"/>
      <c r="V146" s="168"/>
      <c r="W146" s="168"/>
      <c r="X146" s="168"/>
      <c r="Y146" s="169"/>
      <c r="Z146" s="167"/>
      <c r="AA146" s="168"/>
      <c r="AB146" s="168"/>
      <c r="AC146" s="168"/>
      <c r="AD146" s="168"/>
      <c r="AE146" s="168"/>
      <c r="AF146" s="168"/>
      <c r="AG146" s="169"/>
      <c r="AI146" s="173">
        <f t="shared" si="1"/>
        <v>32</v>
      </c>
      <c r="AJ146" s="185"/>
      <c r="AK146" s="168"/>
      <c r="AL146" s="168"/>
      <c r="AM146" s="168"/>
      <c r="AN146" s="168"/>
      <c r="AO146" s="168"/>
      <c r="AP146" s="168"/>
      <c r="AQ146" s="168"/>
      <c r="AR146" s="185"/>
      <c r="AS146" s="168"/>
      <c r="AT146" s="168"/>
      <c r="AU146" s="168"/>
      <c r="AV146" s="168"/>
      <c r="AW146" s="168"/>
      <c r="AX146" s="168"/>
      <c r="AY146" s="177"/>
      <c r="AZ146" s="168"/>
      <c r="BA146" s="168"/>
      <c r="BB146" s="168"/>
      <c r="BC146" s="168"/>
      <c r="BD146" s="168"/>
      <c r="BE146" s="168"/>
      <c r="BF146" s="168"/>
      <c r="BG146" s="177"/>
    </row>
    <row r="147" spans="9:59">
      <c r="I147" s="205">
        <f t="shared" si="0"/>
        <v>31</v>
      </c>
      <c r="J147" s="168"/>
      <c r="K147" s="168"/>
      <c r="L147" s="168"/>
      <c r="M147" s="168"/>
      <c r="N147" s="168"/>
      <c r="O147" s="168"/>
      <c r="P147" s="168"/>
      <c r="Q147" s="169"/>
      <c r="R147" s="168"/>
      <c r="S147" s="168"/>
      <c r="T147" s="168"/>
      <c r="U147" s="168"/>
      <c r="V147" s="168"/>
      <c r="W147" s="168"/>
      <c r="X147" s="168"/>
      <c r="Y147" s="169"/>
      <c r="Z147" s="208"/>
      <c r="AA147" s="208"/>
      <c r="AB147" s="208"/>
      <c r="AC147" s="208"/>
      <c r="AD147" s="208"/>
      <c r="AE147" s="208"/>
      <c r="AF147" s="208"/>
      <c r="AG147" s="209"/>
      <c r="AI147" s="173">
        <f t="shared" si="1"/>
        <v>31</v>
      </c>
      <c r="AJ147" s="185"/>
      <c r="AK147" s="168"/>
      <c r="AL147" s="168"/>
      <c r="AM147" s="168"/>
      <c r="AN147" s="168"/>
      <c r="AO147" s="168"/>
      <c r="AP147" s="168"/>
      <c r="AQ147" s="168"/>
      <c r="AR147" s="185"/>
      <c r="AS147" s="168"/>
      <c r="AT147" s="168"/>
      <c r="AU147" s="168"/>
      <c r="AV147" s="168"/>
      <c r="AW147" s="168"/>
      <c r="AX147" s="168"/>
      <c r="AY147" s="177"/>
      <c r="AZ147" s="211"/>
      <c r="BA147" s="211"/>
      <c r="BB147" s="211"/>
      <c r="BC147" s="211"/>
      <c r="BD147" s="211"/>
      <c r="BE147" s="211"/>
      <c r="BF147" s="211"/>
      <c r="BG147" s="212"/>
    </row>
    <row r="148" spans="9:59">
      <c r="I148" s="205">
        <f t="shared" ref="I148:I166" si="2">I147-1</f>
        <v>30</v>
      </c>
      <c r="J148" s="168"/>
      <c r="K148" s="168"/>
      <c r="L148" s="168"/>
      <c r="M148" s="168"/>
      <c r="N148" s="168"/>
      <c r="O148" s="168"/>
      <c r="P148" s="168"/>
      <c r="Q148" s="169"/>
      <c r="R148" s="168"/>
      <c r="S148" s="168"/>
      <c r="T148" s="168"/>
      <c r="U148" s="168"/>
      <c r="V148" s="168"/>
      <c r="W148" s="168"/>
      <c r="X148" s="168"/>
      <c r="Y148" s="169"/>
      <c r="Z148" s="208"/>
      <c r="AA148" s="208"/>
      <c r="AB148" s="208"/>
      <c r="AC148" s="208"/>
      <c r="AD148" s="208"/>
      <c r="AE148" s="208"/>
      <c r="AF148" s="208"/>
      <c r="AG148" s="209"/>
      <c r="AI148" s="173">
        <f t="shared" ref="AI148:AI166" si="3">AI147-1</f>
        <v>30</v>
      </c>
      <c r="AJ148" s="185"/>
      <c r="AK148" s="168"/>
      <c r="AL148" s="168"/>
      <c r="AM148" s="168"/>
      <c r="AN148" s="168"/>
      <c r="AO148" s="168"/>
      <c r="AP148" s="168"/>
      <c r="AQ148" s="168"/>
      <c r="AR148" s="185"/>
      <c r="AS148" s="168"/>
      <c r="AT148" s="168"/>
      <c r="AU148" s="168"/>
      <c r="AV148" s="168"/>
      <c r="AW148" s="168"/>
      <c r="AX148" s="168"/>
      <c r="AY148" s="177"/>
      <c r="AZ148" s="211"/>
      <c r="BA148" s="211"/>
      <c r="BB148" s="211"/>
      <c r="BC148" s="211"/>
      <c r="BD148" s="211"/>
      <c r="BE148" s="211"/>
      <c r="BF148" s="211"/>
      <c r="BG148" s="212"/>
    </row>
    <row r="149" spans="9:59">
      <c r="I149" s="205">
        <f t="shared" si="2"/>
        <v>29</v>
      </c>
      <c r="J149" s="168"/>
      <c r="K149" s="168"/>
      <c r="L149" s="168"/>
      <c r="M149" s="168"/>
      <c r="N149" s="168"/>
      <c r="O149" s="168"/>
      <c r="P149" s="168"/>
      <c r="Q149" s="169"/>
      <c r="R149" s="168"/>
      <c r="S149" s="168"/>
      <c r="T149" s="168"/>
      <c r="U149" s="168"/>
      <c r="V149" s="168"/>
      <c r="W149" s="168"/>
      <c r="X149" s="168"/>
      <c r="Y149" s="169"/>
      <c r="Z149" s="208"/>
      <c r="AA149" s="208"/>
      <c r="AB149" s="208"/>
      <c r="AC149" s="208"/>
      <c r="AD149" s="208"/>
      <c r="AE149" s="208"/>
      <c r="AF149" s="208"/>
      <c r="AG149" s="209"/>
      <c r="AI149" s="173">
        <f t="shared" si="3"/>
        <v>29</v>
      </c>
      <c r="AJ149" s="185"/>
      <c r="AK149" s="168"/>
      <c r="AL149" s="168"/>
      <c r="AM149" s="168"/>
      <c r="AN149" s="168"/>
      <c r="AO149" s="168"/>
      <c r="AP149" s="168"/>
      <c r="AQ149" s="168"/>
      <c r="AR149" s="185"/>
      <c r="AS149" s="168"/>
      <c r="AT149" s="168"/>
      <c r="AU149" s="168"/>
      <c r="AV149" s="168"/>
      <c r="AW149" s="168"/>
      <c r="AX149" s="168"/>
      <c r="AY149" s="177"/>
      <c r="AZ149" s="211"/>
      <c r="BA149" s="211"/>
      <c r="BB149" s="211"/>
      <c r="BC149" s="211"/>
      <c r="BD149" s="211"/>
      <c r="BE149" s="211"/>
      <c r="BF149" s="211"/>
      <c r="BG149" s="212"/>
    </row>
    <row r="150" spans="9:59">
      <c r="I150" s="205">
        <f t="shared" si="2"/>
        <v>28</v>
      </c>
      <c r="J150" s="168"/>
      <c r="K150" s="168"/>
      <c r="L150" s="168"/>
      <c r="M150" s="168"/>
      <c r="N150" s="168"/>
      <c r="O150" s="168"/>
      <c r="P150" s="168"/>
      <c r="Q150" s="169"/>
      <c r="R150" s="168"/>
      <c r="S150" s="168"/>
      <c r="T150" s="168"/>
      <c r="U150" s="168"/>
      <c r="V150" s="168"/>
      <c r="W150" s="168"/>
      <c r="X150" s="168"/>
      <c r="Y150" s="169"/>
      <c r="Z150" s="208"/>
      <c r="AA150" s="208"/>
      <c r="AB150" s="208"/>
      <c r="AC150" s="208"/>
      <c r="AD150" s="208"/>
      <c r="AE150" s="208"/>
      <c r="AF150" s="208"/>
      <c r="AG150" s="209"/>
      <c r="AI150" s="173">
        <f t="shared" si="3"/>
        <v>28</v>
      </c>
      <c r="AJ150" s="185"/>
      <c r="AK150" s="168"/>
      <c r="AL150" s="168"/>
      <c r="AM150" s="168"/>
      <c r="AN150" s="168"/>
      <c r="AO150" s="168"/>
      <c r="AP150" s="168"/>
      <c r="AQ150" s="168"/>
      <c r="AR150" s="185"/>
      <c r="AS150" s="168"/>
      <c r="AT150" s="168"/>
      <c r="AU150" s="168"/>
      <c r="AV150" s="168"/>
      <c r="AW150" s="168"/>
      <c r="AX150" s="168"/>
      <c r="AY150" s="177"/>
      <c r="AZ150" s="211"/>
      <c r="BA150" s="211"/>
      <c r="BB150" s="211"/>
      <c r="BC150" s="211"/>
      <c r="BD150" s="211"/>
      <c r="BE150" s="211"/>
      <c r="BF150" s="211"/>
      <c r="BG150" s="212"/>
    </row>
    <row r="151" spans="9:59">
      <c r="I151" s="205">
        <f t="shared" si="2"/>
        <v>27</v>
      </c>
      <c r="J151" s="168"/>
      <c r="K151" s="168"/>
      <c r="L151" s="168"/>
      <c r="M151" s="168"/>
      <c r="N151" s="168"/>
      <c r="O151" s="168"/>
      <c r="P151" s="168"/>
      <c r="Q151" s="169"/>
      <c r="R151" s="168"/>
      <c r="S151" s="168"/>
      <c r="T151" s="168"/>
      <c r="U151" s="168"/>
      <c r="V151" s="168"/>
      <c r="W151" s="168"/>
      <c r="X151" s="168"/>
      <c r="Y151" s="169"/>
      <c r="Z151" s="208"/>
      <c r="AA151" s="208"/>
      <c r="AB151" s="208"/>
      <c r="AC151" s="208"/>
      <c r="AD151" s="208"/>
      <c r="AE151" s="208"/>
      <c r="AF151" s="208"/>
      <c r="AG151" s="209"/>
      <c r="AI151" s="173">
        <f t="shared" si="3"/>
        <v>27</v>
      </c>
      <c r="AJ151" s="185"/>
      <c r="AK151" s="168"/>
      <c r="AL151" s="168"/>
      <c r="AM151" s="168"/>
      <c r="AN151" s="168"/>
      <c r="AO151" s="168"/>
      <c r="AP151" s="168"/>
      <c r="AQ151" s="168"/>
      <c r="AR151" s="185"/>
      <c r="AS151" s="168"/>
      <c r="AT151" s="168"/>
      <c r="AU151" s="168"/>
      <c r="AV151" s="168"/>
      <c r="AW151" s="168"/>
      <c r="AX151" s="168"/>
      <c r="AY151" s="177"/>
      <c r="AZ151" s="211"/>
      <c r="BA151" s="211"/>
      <c r="BB151" s="211"/>
      <c r="BC151" s="211"/>
      <c r="BD151" s="211"/>
      <c r="BE151" s="211"/>
      <c r="BF151" s="211"/>
      <c r="BG151" s="212"/>
    </row>
    <row r="152" spans="9:59">
      <c r="I152" s="205">
        <f t="shared" si="2"/>
        <v>26</v>
      </c>
      <c r="J152" s="168"/>
      <c r="K152" s="168"/>
      <c r="L152" s="168"/>
      <c r="M152" s="168"/>
      <c r="N152" s="168"/>
      <c r="O152" s="168"/>
      <c r="P152" s="168"/>
      <c r="Q152" s="169"/>
      <c r="R152" s="168"/>
      <c r="S152" s="168"/>
      <c r="T152" s="168"/>
      <c r="U152" s="168"/>
      <c r="V152" s="168"/>
      <c r="W152" s="168"/>
      <c r="X152" s="168"/>
      <c r="Y152" s="169"/>
      <c r="Z152" s="208"/>
      <c r="AA152" s="208"/>
      <c r="AB152" s="208"/>
      <c r="AC152" s="208"/>
      <c r="AD152" s="208"/>
      <c r="AE152" s="208"/>
      <c r="AF152" s="208"/>
      <c r="AG152" s="209"/>
      <c r="AI152" s="173">
        <f t="shared" si="3"/>
        <v>26</v>
      </c>
      <c r="AJ152" s="185"/>
      <c r="AK152" s="168"/>
      <c r="AL152" s="168"/>
      <c r="AM152" s="168"/>
      <c r="AN152" s="168"/>
      <c r="AO152" s="168"/>
      <c r="AP152" s="168"/>
      <c r="AQ152" s="168"/>
      <c r="AR152" s="185"/>
      <c r="AS152" s="168"/>
      <c r="AT152" s="168"/>
      <c r="AU152" s="168"/>
      <c r="AV152" s="168"/>
      <c r="AW152" s="168"/>
      <c r="AX152" s="168"/>
      <c r="AY152" s="177"/>
      <c r="AZ152" s="211"/>
      <c r="BA152" s="211"/>
      <c r="BB152" s="211"/>
      <c r="BC152" s="211"/>
      <c r="BD152" s="211"/>
      <c r="BE152" s="211"/>
      <c r="BF152" s="211"/>
      <c r="BG152" s="212"/>
    </row>
    <row r="153" spans="9:59">
      <c r="I153" s="205">
        <f t="shared" si="2"/>
        <v>25</v>
      </c>
      <c r="J153" s="168"/>
      <c r="K153" s="168"/>
      <c r="L153" s="168"/>
      <c r="M153" s="168"/>
      <c r="N153" s="168"/>
      <c r="O153" s="168"/>
      <c r="P153" s="168"/>
      <c r="Q153" s="169"/>
      <c r="R153" s="168"/>
      <c r="S153" s="168"/>
      <c r="T153" s="168"/>
      <c r="U153" s="168"/>
      <c r="V153" s="168"/>
      <c r="W153" s="168"/>
      <c r="X153" s="168"/>
      <c r="Y153" s="169"/>
      <c r="Z153" s="208"/>
      <c r="AA153" s="208"/>
      <c r="AB153" s="208"/>
      <c r="AC153" s="208"/>
      <c r="AD153" s="208"/>
      <c r="AE153" s="208"/>
      <c r="AF153" s="208"/>
      <c r="AG153" s="209"/>
      <c r="AI153" s="173">
        <f t="shared" si="3"/>
        <v>25</v>
      </c>
      <c r="AJ153" s="185"/>
      <c r="AK153" s="168"/>
      <c r="AL153" s="168"/>
      <c r="AM153" s="168"/>
      <c r="AN153" s="168"/>
      <c r="AO153" s="168"/>
      <c r="AP153" s="168"/>
      <c r="AQ153" s="168"/>
      <c r="AR153" s="185"/>
      <c r="AS153" s="168"/>
      <c r="AT153" s="168"/>
      <c r="AU153" s="168"/>
      <c r="AV153" s="168"/>
      <c r="AW153" s="168"/>
      <c r="AX153" s="168"/>
      <c r="AY153" s="177"/>
      <c r="AZ153" s="211"/>
      <c r="BA153" s="211"/>
      <c r="BB153" s="211"/>
      <c r="BC153" s="211"/>
      <c r="BD153" s="211"/>
      <c r="BE153" s="211"/>
      <c r="BF153" s="211"/>
      <c r="BG153" s="212"/>
    </row>
    <row r="154" spans="9:59">
      <c r="I154" s="205">
        <f t="shared" si="2"/>
        <v>24</v>
      </c>
      <c r="J154" s="168"/>
      <c r="K154" s="168"/>
      <c r="L154" s="168"/>
      <c r="M154" s="168"/>
      <c r="N154" s="168"/>
      <c r="O154" s="168"/>
      <c r="P154" s="168"/>
      <c r="Q154" s="169"/>
      <c r="R154" s="168"/>
      <c r="S154" s="168"/>
      <c r="T154" s="168"/>
      <c r="U154" s="168"/>
      <c r="V154" s="168"/>
      <c r="W154" s="168"/>
      <c r="X154" s="168"/>
      <c r="Y154" s="169"/>
      <c r="Z154" s="208"/>
      <c r="AA154" s="208"/>
      <c r="AB154" s="208"/>
      <c r="AC154" s="208"/>
      <c r="AD154" s="208"/>
      <c r="AE154" s="208"/>
      <c r="AF154" s="208"/>
      <c r="AG154" s="209"/>
      <c r="AI154" s="173">
        <f t="shared" si="3"/>
        <v>24</v>
      </c>
      <c r="AJ154" s="185"/>
      <c r="AK154" s="168"/>
      <c r="AL154" s="168"/>
      <c r="AM154" s="168"/>
      <c r="AN154" s="168"/>
      <c r="AO154" s="168"/>
      <c r="AP154" s="168"/>
      <c r="AQ154" s="168"/>
      <c r="AR154" s="185"/>
      <c r="AS154" s="168"/>
      <c r="AT154" s="168"/>
      <c r="AU154" s="168"/>
      <c r="AV154" s="168"/>
      <c r="AW154" s="168"/>
      <c r="AX154" s="168"/>
      <c r="AY154" s="177"/>
      <c r="AZ154" s="211"/>
      <c r="BA154" s="211"/>
      <c r="BB154" s="211"/>
      <c r="BC154" s="211"/>
      <c r="BD154" s="211"/>
      <c r="BE154" s="211"/>
      <c r="BF154" s="211"/>
      <c r="BG154" s="212"/>
    </row>
    <row r="155" spans="9:59">
      <c r="I155" s="205">
        <f t="shared" si="2"/>
        <v>23</v>
      </c>
      <c r="J155" s="168"/>
      <c r="K155" s="168"/>
      <c r="L155" s="168"/>
      <c r="M155" s="168"/>
      <c r="N155" s="168"/>
      <c r="O155" s="168"/>
      <c r="P155" s="168"/>
      <c r="Q155" s="169"/>
      <c r="R155" s="168"/>
      <c r="S155" s="168"/>
      <c r="T155" s="168"/>
      <c r="U155" s="168"/>
      <c r="V155" s="168"/>
      <c r="W155" s="168"/>
      <c r="X155" s="168"/>
      <c r="Y155" s="169"/>
      <c r="Z155" s="208"/>
      <c r="AA155" s="208"/>
      <c r="AB155" s="208"/>
      <c r="AC155" s="208"/>
      <c r="AD155" s="208"/>
      <c r="AE155" s="208"/>
      <c r="AF155" s="208"/>
      <c r="AG155" s="209"/>
      <c r="AI155" s="173">
        <f t="shared" si="3"/>
        <v>23</v>
      </c>
      <c r="AJ155" s="185"/>
      <c r="AK155" s="168"/>
      <c r="AL155" s="168"/>
      <c r="AM155" s="168"/>
      <c r="AN155" s="168"/>
      <c r="AO155" s="168"/>
      <c r="AP155" s="168"/>
      <c r="AQ155" s="168"/>
      <c r="AR155" s="185"/>
      <c r="AS155" s="168"/>
      <c r="AT155" s="168"/>
      <c r="AU155" s="168"/>
      <c r="AV155" s="168"/>
      <c r="AW155" s="168"/>
      <c r="AX155" s="168"/>
      <c r="AY155" s="177"/>
      <c r="AZ155" s="211"/>
      <c r="BA155" s="211"/>
      <c r="BB155" s="211"/>
      <c r="BC155" s="211"/>
      <c r="BD155" s="211"/>
      <c r="BE155" s="211"/>
      <c r="BF155" s="211"/>
      <c r="BG155" s="212"/>
    </row>
    <row r="156" spans="9:59">
      <c r="I156" s="205">
        <f t="shared" si="2"/>
        <v>22</v>
      </c>
      <c r="J156" s="168"/>
      <c r="K156" s="168"/>
      <c r="L156" s="168"/>
      <c r="M156" s="168"/>
      <c r="N156" s="168"/>
      <c r="O156" s="168"/>
      <c r="P156" s="168"/>
      <c r="Q156" s="169"/>
      <c r="R156" s="168"/>
      <c r="S156" s="168"/>
      <c r="T156" s="168"/>
      <c r="U156" s="168"/>
      <c r="V156" s="168"/>
      <c r="W156" s="168"/>
      <c r="X156" s="168"/>
      <c r="Y156" s="169"/>
      <c r="Z156" s="208"/>
      <c r="AA156" s="208"/>
      <c r="AB156" s="208"/>
      <c r="AC156" s="208"/>
      <c r="AD156" s="208"/>
      <c r="AE156" s="208"/>
      <c r="AF156" s="208"/>
      <c r="AG156" s="209"/>
      <c r="AI156" s="173">
        <f t="shared" si="3"/>
        <v>22</v>
      </c>
      <c r="AJ156" s="185"/>
      <c r="AK156" s="168"/>
      <c r="AL156" s="168"/>
      <c r="AM156" s="168"/>
      <c r="AN156" s="168"/>
      <c r="AO156" s="168"/>
      <c r="AP156" s="168"/>
      <c r="AQ156" s="168"/>
      <c r="AR156" s="185"/>
      <c r="AS156" s="168"/>
      <c r="AT156" s="168"/>
      <c r="AU156" s="168"/>
      <c r="AV156" s="168"/>
      <c r="AW156" s="168"/>
      <c r="AX156" s="168"/>
      <c r="AY156" s="177"/>
      <c r="AZ156" s="211"/>
      <c r="BA156" s="211"/>
      <c r="BB156" s="211"/>
      <c r="BC156" s="211"/>
      <c r="BD156" s="211"/>
      <c r="BE156" s="211"/>
      <c r="BF156" s="211"/>
      <c r="BG156" s="212"/>
    </row>
    <row r="157" spans="9:59">
      <c r="I157" s="205">
        <f t="shared" si="2"/>
        <v>21</v>
      </c>
      <c r="J157" s="168"/>
      <c r="K157" s="168"/>
      <c r="L157" s="168"/>
      <c r="M157" s="168"/>
      <c r="N157" s="168"/>
      <c r="O157" s="168"/>
      <c r="P157" s="168"/>
      <c r="Q157" s="169"/>
      <c r="R157" s="168"/>
      <c r="S157" s="168"/>
      <c r="T157" s="168"/>
      <c r="U157" s="168"/>
      <c r="V157" s="168"/>
      <c r="W157" s="168"/>
      <c r="X157" s="168"/>
      <c r="Y157" s="169"/>
      <c r="Z157" s="208"/>
      <c r="AA157" s="208"/>
      <c r="AB157" s="208"/>
      <c r="AC157" s="208"/>
      <c r="AD157" s="208"/>
      <c r="AE157" s="208"/>
      <c r="AF157" s="208"/>
      <c r="AG157" s="209"/>
      <c r="AI157" s="173">
        <f t="shared" si="3"/>
        <v>21</v>
      </c>
      <c r="AJ157" s="185"/>
      <c r="AK157" s="168"/>
      <c r="AL157" s="168"/>
      <c r="AM157" s="168"/>
      <c r="AN157" s="168"/>
      <c r="AO157" s="168"/>
      <c r="AP157" s="168"/>
      <c r="AQ157" s="168"/>
      <c r="AR157" s="185"/>
      <c r="AS157" s="168"/>
      <c r="AT157" s="168"/>
      <c r="AU157" s="168"/>
      <c r="AV157" s="168"/>
      <c r="AW157" s="168"/>
      <c r="AX157" s="168"/>
      <c r="AY157" s="177"/>
      <c r="AZ157" s="211"/>
      <c r="BA157" s="211"/>
      <c r="BB157" s="211"/>
      <c r="BC157" s="211"/>
      <c r="BD157" s="211"/>
      <c r="BE157" s="211"/>
      <c r="BF157" s="211"/>
      <c r="BG157" s="212"/>
    </row>
    <row r="158" spans="9:59">
      <c r="I158" s="205">
        <f t="shared" si="2"/>
        <v>20</v>
      </c>
      <c r="J158" s="168"/>
      <c r="K158" s="168"/>
      <c r="L158" s="168"/>
      <c r="M158" s="168"/>
      <c r="N158" s="168"/>
      <c r="O158" s="168"/>
      <c r="P158" s="168"/>
      <c r="Q158" s="169"/>
      <c r="R158" s="168"/>
      <c r="S158" s="168"/>
      <c r="T158" s="168"/>
      <c r="U158" s="168"/>
      <c r="V158" s="168"/>
      <c r="W158" s="168"/>
      <c r="X158" s="168"/>
      <c r="Y158" s="169"/>
      <c r="Z158" s="208"/>
      <c r="AA158" s="208"/>
      <c r="AB158" s="208"/>
      <c r="AC158" s="208"/>
      <c r="AD158" s="208"/>
      <c r="AE158" s="208"/>
      <c r="AF158" s="208"/>
      <c r="AG158" s="209"/>
      <c r="AI158" s="173">
        <f t="shared" si="3"/>
        <v>20</v>
      </c>
      <c r="AJ158" s="185"/>
      <c r="AK158" s="168"/>
      <c r="AL158" s="168"/>
      <c r="AM158" s="168"/>
      <c r="AN158" s="168"/>
      <c r="AO158" s="168"/>
      <c r="AP158" s="168"/>
      <c r="AQ158" s="168"/>
      <c r="AR158" s="185"/>
      <c r="AS158" s="168"/>
      <c r="AT158" s="168"/>
      <c r="AU158" s="168"/>
      <c r="AV158" s="168"/>
      <c r="AW158" s="168"/>
      <c r="AX158" s="168"/>
      <c r="AY158" s="177"/>
      <c r="AZ158" s="211"/>
      <c r="BA158" s="211"/>
      <c r="BB158" s="211"/>
      <c r="BC158" s="211"/>
      <c r="BD158" s="211"/>
      <c r="BE158" s="211"/>
      <c r="BF158" s="211"/>
      <c r="BG158" s="212"/>
    </row>
    <row r="159" spans="9:59">
      <c r="I159" s="205">
        <f t="shared" si="2"/>
        <v>19</v>
      </c>
      <c r="J159" s="168"/>
      <c r="K159" s="168"/>
      <c r="L159" s="168"/>
      <c r="M159" s="168"/>
      <c r="N159" s="168"/>
      <c r="O159" s="168"/>
      <c r="P159" s="168"/>
      <c r="Q159" s="169"/>
      <c r="R159" s="168"/>
      <c r="S159" s="168"/>
      <c r="T159" s="168"/>
      <c r="U159" s="168"/>
      <c r="V159" s="168"/>
      <c r="W159" s="168"/>
      <c r="X159" s="168"/>
      <c r="Y159" s="169"/>
      <c r="Z159" s="208"/>
      <c r="AA159" s="208"/>
      <c r="AB159" s="208"/>
      <c r="AC159" s="208"/>
      <c r="AD159" s="208"/>
      <c r="AE159" s="208"/>
      <c r="AF159" s="208"/>
      <c r="AG159" s="209"/>
      <c r="AI159" s="173">
        <f t="shared" si="3"/>
        <v>19</v>
      </c>
      <c r="AJ159" s="185"/>
      <c r="AK159" s="168"/>
      <c r="AL159" s="168"/>
      <c r="AM159" s="168"/>
      <c r="AN159" s="168"/>
      <c r="AO159" s="168"/>
      <c r="AP159" s="168"/>
      <c r="AQ159" s="168"/>
      <c r="AR159" s="185"/>
      <c r="AS159" s="168"/>
      <c r="AT159" s="168"/>
      <c r="AU159" s="168"/>
      <c r="AV159" s="168"/>
      <c r="AW159" s="168"/>
      <c r="AX159" s="168"/>
      <c r="AY159" s="177"/>
      <c r="AZ159" s="211"/>
      <c r="BA159" s="211"/>
      <c r="BB159" s="211"/>
      <c r="BC159" s="211"/>
      <c r="BD159" s="211"/>
      <c r="BE159" s="211"/>
      <c r="BF159" s="211"/>
      <c r="BG159" s="212"/>
    </row>
    <row r="160" spans="9:59">
      <c r="I160" s="205">
        <f t="shared" si="2"/>
        <v>18</v>
      </c>
      <c r="J160" s="168"/>
      <c r="K160" s="168"/>
      <c r="L160" s="168"/>
      <c r="M160" s="168"/>
      <c r="N160" s="168"/>
      <c r="O160" s="168"/>
      <c r="P160" s="168"/>
      <c r="Q160" s="169"/>
      <c r="R160" s="168"/>
      <c r="S160" s="168"/>
      <c r="T160" s="168"/>
      <c r="U160" s="168"/>
      <c r="V160" s="168"/>
      <c r="W160" s="168"/>
      <c r="X160" s="168"/>
      <c r="Y160" s="169"/>
      <c r="Z160" s="208"/>
      <c r="AA160" s="208"/>
      <c r="AB160" s="208"/>
      <c r="AC160" s="208"/>
      <c r="AD160" s="208"/>
      <c r="AE160" s="208"/>
      <c r="AF160" s="208"/>
      <c r="AG160" s="209"/>
      <c r="AI160" s="173">
        <f t="shared" si="3"/>
        <v>18</v>
      </c>
      <c r="AJ160" s="185"/>
      <c r="AK160" s="168"/>
      <c r="AL160" s="168"/>
      <c r="AM160" s="168"/>
      <c r="AN160" s="168"/>
      <c r="AO160" s="168"/>
      <c r="AP160" s="168"/>
      <c r="AQ160" s="168"/>
      <c r="AR160" s="185"/>
      <c r="AS160" s="168"/>
      <c r="AT160" s="168"/>
      <c r="AU160" s="168"/>
      <c r="AV160" s="168"/>
      <c r="AW160" s="168"/>
      <c r="AX160" s="168"/>
      <c r="AY160" s="177"/>
      <c r="AZ160" s="211"/>
      <c r="BA160" s="211"/>
      <c r="BB160" s="211"/>
      <c r="BC160" s="211"/>
      <c r="BD160" s="211"/>
      <c r="BE160" s="211"/>
      <c r="BF160" s="211"/>
      <c r="BG160" s="212"/>
    </row>
    <row r="161" spans="9:59">
      <c r="I161" s="205">
        <f t="shared" si="2"/>
        <v>17</v>
      </c>
      <c r="J161" s="168"/>
      <c r="K161" s="168"/>
      <c r="L161" s="168"/>
      <c r="M161" s="168"/>
      <c r="N161" s="168"/>
      <c r="O161" s="168"/>
      <c r="P161" s="168"/>
      <c r="Q161" s="169"/>
      <c r="R161" s="168"/>
      <c r="S161" s="168"/>
      <c r="T161" s="168"/>
      <c r="U161" s="168"/>
      <c r="V161" s="168"/>
      <c r="W161" s="168"/>
      <c r="X161" s="168"/>
      <c r="Y161" s="169"/>
      <c r="Z161" s="208"/>
      <c r="AA161" s="208"/>
      <c r="AB161" s="208"/>
      <c r="AC161" s="208"/>
      <c r="AD161" s="208"/>
      <c r="AE161" s="208"/>
      <c r="AF161" s="208"/>
      <c r="AG161" s="209"/>
      <c r="AI161" s="173">
        <f t="shared" si="3"/>
        <v>17</v>
      </c>
      <c r="AJ161" s="185"/>
      <c r="AK161" s="168"/>
      <c r="AL161" s="168"/>
      <c r="AM161" s="168"/>
      <c r="AN161" s="168"/>
      <c r="AO161" s="168"/>
      <c r="AP161" s="168"/>
      <c r="AQ161" s="168"/>
      <c r="AR161" s="185"/>
      <c r="AS161" s="168"/>
      <c r="AT161" s="168"/>
      <c r="AU161" s="168"/>
      <c r="AV161" s="168"/>
      <c r="AW161" s="168"/>
      <c r="AX161" s="168"/>
      <c r="AY161" s="177"/>
      <c r="AZ161" s="211"/>
      <c r="BA161" s="211"/>
      <c r="BB161" s="211"/>
      <c r="BC161" s="211"/>
      <c r="BD161" s="211"/>
      <c r="BE161" s="211"/>
      <c r="BF161" s="211"/>
      <c r="BG161" s="212"/>
    </row>
    <row r="162" spans="9:59">
      <c r="I162" s="205">
        <f t="shared" si="2"/>
        <v>16</v>
      </c>
      <c r="J162" s="168"/>
      <c r="K162" s="168"/>
      <c r="L162" s="168"/>
      <c r="M162" s="168"/>
      <c r="N162" s="168"/>
      <c r="O162" s="168"/>
      <c r="P162" s="168"/>
      <c r="Q162" s="169"/>
      <c r="R162" s="168"/>
      <c r="S162" s="168"/>
      <c r="T162" s="168"/>
      <c r="U162" s="168"/>
      <c r="V162" s="168"/>
      <c r="W162" s="168"/>
      <c r="X162" s="168"/>
      <c r="Y162" s="169"/>
      <c r="Z162" s="208"/>
      <c r="AA162" s="208"/>
      <c r="AB162" s="208"/>
      <c r="AC162" s="208"/>
      <c r="AD162" s="208"/>
      <c r="AE162" s="208"/>
      <c r="AF162" s="208"/>
      <c r="AG162" s="209"/>
      <c r="AI162" s="173">
        <f t="shared" si="3"/>
        <v>16</v>
      </c>
      <c r="AJ162" s="185"/>
      <c r="AK162" s="168"/>
      <c r="AL162" s="168"/>
      <c r="AM162" s="168"/>
      <c r="AN162" s="168"/>
      <c r="AO162" s="168"/>
      <c r="AP162" s="168"/>
      <c r="AQ162" s="168"/>
      <c r="AR162" s="185"/>
      <c r="AS162" s="168"/>
      <c r="AT162" s="168"/>
      <c r="AU162" s="168"/>
      <c r="AV162" s="168"/>
      <c r="AW162" s="168"/>
      <c r="AX162" s="168"/>
      <c r="AY162" s="177"/>
      <c r="AZ162" s="211"/>
      <c r="BA162" s="211"/>
      <c r="BB162" s="211"/>
      <c r="BC162" s="211"/>
      <c r="BD162" s="211"/>
      <c r="BE162" s="211"/>
      <c r="BF162" s="211"/>
      <c r="BG162" s="212"/>
    </row>
    <row r="163" spans="9:59">
      <c r="I163" s="205">
        <f t="shared" si="2"/>
        <v>15</v>
      </c>
      <c r="J163" s="168"/>
      <c r="K163" s="168"/>
      <c r="L163" s="168"/>
      <c r="M163" s="168"/>
      <c r="N163" s="168"/>
      <c r="O163" s="168"/>
      <c r="P163" s="168"/>
      <c r="Q163" s="169"/>
      <c r="R163" s="171"/>
      <c r="S163" s="171"/>
      <c r="T163" s="171"/>
      <c r="U163" s="171"/>
      <c r="V163" s="171"/>
      <c r="W163" s="171"/>
      <c r="X163" s="171"/>
      <c r="Y163" s="172"/>
      <c r="Z163" s="208"/>
      <c r="AA163" s="208"/>
      <c r="AB163" s="208"/>
      <c r="AC163" s="208"/>
      <c r="AD163" s="208"/>
      <c r="AE163" s="208"/>
      <c r="AF163" s="208"/>
      <c r="AG163" s="209"/>
      <c r="AI163" s="173">
        <f t="shared" si="3"/>
        <v>15</v>
      </c>
      <c r="AJ163" s="185"/>
      <c r="AK163" s="168"/>
      <c r="AL163" s="168"/>
      <c r="AM163" s="168"/>
      <c r="AN163" s="168"/>
      <c r="AO163" s="168"/>
      <c r="AP163" s="168"/>
      <c r="AQ163" s="168"/>
      <c r="AR163" s="210"/>
      <c r="AS163" s="211"/>
      <c r="AT163" s="211"/>
      <c r="AU163" s="211"/>
      <c r="AV163" s="211"/>
      <c r="AW163" s="211"/>
      <c r="AX163" s="211"/>
      <c r="AY163" s="212"/>
      <c r="AZ163" s="211"/>
      <c r="BA163" s="211"/>
      <c r="BB163" s="211"/>
      <c r="BC163" s="211"/>
      <c r="BD163" s="211"/>
      <c r="BE163" s="211"/>
      <c r="BF163" s="211"/>
      <c r="BG163" s="212"/>
    </row>
    <row r="164" spans="9:59">
      <c r="I164" s="205">
        <f t="shared" si="2"/>
        <v>14</v>
      </c>
      <c r="J164" s="168"/>
      <c r="K164" s="168"/>
      <c r="L164" s="168"/>
      <c r="M164" s="168"/>
      <c r="N164" s="168"/>
      <c r="O164" s="168"/>
      <c r="P164" s="168"/>
      <c r="Q164" s="169"/>
      <c r="R164" s="171"/>
      <c r="S164" s="171"/>
      <c r="T164" s="171"/>
      <c r="U164" s="171"/>
      <c r="V164" s="171"/>
      <c r="W164" s="171"/>
      <c r="X164" s="171"/>
      <c r="Y164" s="172"/>
      <c r="Z164" s="208"/>
      <c r="AA164" s="208"/>
      <c r="AB164" s="208"/>
      <c r="AC164" s="208"/>
      <c r="AD164" s="208"/>
      <c r="AE164" s="208"/>
      <c r="AF164" s="208"/>
      <c r="AG164" s="209"/>
      <c r="AI164" s="173">
        <f t="shared" si="3"/>
        <v>14</v>
      </c>
      <c r="AJ164" s="185"/>
      <c r="AK164" s="168"/>
      <c r="AL164" s="168"/>
      <c r="AM164" s="168"/>
      <c r="AN164" s="168"/>
      <c r="AO164" s="168"/>
      <c r="AP164" s="168"/>
      <c r="AQ164" s="168"/>
      <c r="AR164" s="210"/>
      <c r="AS164" s="211"/>
      <c r="AT164" s="211"/>
      <c r="AU164" s="211"/>
      <c r="AV164" s="211"/>
      <c r="AW164" s="211"/>
      <c r="AX164" s="211"/>
      <c r="AY164" s="212"/>
      <c r="AZ164" s="211"/>
      <c r="BA164" s="211"/>
      <c r="BB164" s="211"/>
      <c r="BC164" s="211"/>
      <c r="BD164" s="211"/>
      <c r="BE164" s="211"/>
      <c r="BF164" s="211"/>
      <c r="BG164" s="212"/>
    </row>
    <row r="165" spans="9:59">
      <c r="I165" s="205">
        <f t="shared" si="2"/>
        <v>13</v>
      </c>
      <c r="J165" s="168"/>
      <c r="K165" s="168"/>
      <c r="L165" s="168"/>
      <c r="M165" s="168"/>
      <c r="N165" s="168"/>
      <c r="O165" s="168"/>
      <c r="P165" s="168"/>
      <c r="Q165" s="169"/>
      <c r="R165" s="171"/>
      <c r="S165" s="171"/>
      <c r="T165" s="171"/>
      <c r="U165" s="171"/>
      <c r="V165" s="171"/>
      <c r="W165" s="171"/>
      <c r="X165" s="171"/>
      <c r="Y165" s="172"/>
      <c r="Z165" s="208"/>
      <c r="AA165" s="208"/>
      <c r="AB165" s="208"/>
      <c r="AC165" s="208"/>
      <c r="AD165" s="208"/>
      <c r="AE165" s="208"/>
      <c r="AF165" s="208"/>
      <c r="AG165" s="209"/>
      <c r="AI165" s="173">
        <f t="shared" si="3"/>
        <v>13</v>
      </c>
      <c r="AJ165" s="185"/>
      <c r="AK165" s="168"/>
      <c r="AL165" s="168"/>
      <c r="AM165" s="168"/>
      <c r="AN165" s="168"/>
      <c r="AO165" s="168"/>
      <c r="AP165" s="168"/>
      <c r="AQ165" s="168"/>
      <c r="AR165" s="210"/>
      <c r="AS165" s="211"/>
      <c r="AT165" s="211"/>
      <c r="AU165" s="211"/>
      <c r="AV165" s="211"/>
      <c r="AW165" s="211"/>
      <c r="AX165" s="211"/>
      <c r="AY165" s="212"/>
      <c r="AZ165" s="211"/>
      <c r="BA165" s="211"/>
      <c r="BB165" s="211"/>
      <c r="BC165" s="211"/>
      <c r="BD165" s="211"/>
      <c r="BE165" s="211"/>
      <c r="BF165" s="211"/>
      <c r="BG165" s="212"/>
    </row>
    <row r="166" spans="9:59" ht="15.75" thickBot="1">
      <c r="I166" s="206">
        <f t="shared" si="2"/>
        <v>12</v>
      </c>
      <c r="J166" s="194"/>
      <c r="K166" s="194"/>
      <c r="L166" s="194"/>
      <c r="M166" s="194"/>
      <c r="N166" s="194"/>
      <c r="O166" s="194"/>
      <c r="P166" s="194"/>
      <c r="Q166" s="195"/>
      <c r="R166" s="192"/>
      <c r="S166" s="192"/>
      <c r="T166" s="192"/>
      <c r="U166" s="192"/>
      <c r="V166" s="192"/>
      <c r="W166" s="192"/>
      <c r="X166" s="192"/>
      <c r="Y166" s="193"/>
      <c r="Z166" s="213"/>
      <c r="AA166" s="213"/>
      <c r="AB166" s="213"/>
      <c r="AC166" s="213"/>
      <c r="AD166" s="213"/>
      <c r="AE166" s="213"/>
      <c r="AF166" s="213"/>
      <c r="AG166" s="214"/>
      <c r="AI166" s="196">
        <f t="shared" si="3"/>
        <v>12</v>
      </c>
      <c r="AJ166" s="198"/>
      <c r="AK166" s="199"/>
      <c r="AL166" s="199"/>
      <c r="AM166" s="199"/>
      <c r="AN166" s="199"/>
      <c r="AO166" s="199"/>
      <c r="AP166" s="199"/>
      <c r="AQ166" s="199"/>
      <c r="AR166" s="215"/>
      <c r="AS166" s="216"/>
      <c r="AT166" s="216"/>
      <c r="AU166" s="216"/>
      <c r="AV166" s="216"/>
      <c r="AW166" s="216"/>
      <c r="AX166" s="216"/>
      <c r="AY166" s="217"/>
      <c r="AZ166" s="216"/>
      <c r="BA166" s="216"/>
      <c r="BB166" s="216"/>
      <c r="BC166" s="216"/>
      <c r="BD166" s="216"/>
      <c r="BE166" s="216"/>
      <c r="BF166" s="216"/>
      <c r="BG166" s="217"/>
    </row>
    <row r="167" spans="9:59" ht="16.5" thickTop="1" thickBot="1">
      <c r="I167" s="218" t="s">
        <v>78</v>
      </c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20"/>
      <c r="AA167" s="220"/>
      <c r="AB167" s="220"/>
      <c r="AC167" s="220"/>
      <c r="AD167" s="220"/>
      <c r="AE167" s="220"/>
      <c r="AF167" s="220"/>
      <c r="AG167" s="221"/>
      <c r="AI167" s="168"/>
    </row>
    <row r="168" spans="9:59" ht="15.75" thickTop="1">
      <c r="I168" s="203"/>
      <c r="J168" s="297" t="s">
        <v>94</v>
      </c>
      <c r="K168" s="297"/>
      <c r="L168" s="297"/>
      <c r="M168" s="297"/>
      <c r="N168" s="297"/>
      <c r="O168" s="297"/>
      <c r="P168" s="297"/>
      <c r="Q168" s="298"/>
      <c r="AI168" s="148"/>
      <c r="AJ168" s="287" t="s">
        <v>94</v>
      </c>
      <c r="AK168" s="287"/>
      <c r="AL168" s="287"/>
      <c r="AM168" s="287"/>
      <c r="AN168" s="287"/>
      <c r="AO168" s="287"/>
      <c r="AP168" s="287"/>
      <c r="AQ168" s="288"/>
    </row>
    <row r="169" spans="9:59">
      <c r="I169" s="203"/>
      <c r="J169" s="290" t="s">
        <v>8</v>
      </c>
      <c r="K169" s="290"/>
      <c r="L169" s="290"/>
      <c r="M169" s="290"/>
      <c r="N169" s="290" t="s">
        <v>61</v>
      </c>
      <c r="O169" s="290"/>
      <c r="P169" s="290"/>
      <c r="Q169" s="291"/>
      <c r="AI169" s="150"/>
      <c r="AJ169" s="290" t="s">
        <v>8</v>
      </c>
      <c r="AK169" s="290"/>
      <c r="AL169" s="290"/>
      <c r="AM169" s="290"/>
      <c r="AN169" s="290" t="s">
        <v>61</v>
      </c>
      <c r="AO169" s="290"/>
      <c r="AP169" s="290"/>
      <c r="AQ169" s="294"/>
    </row>
    <row r="170" spans="9:59">
      <c r="I170" s="204" t="s">
        <v>66</v>
      </c>
      <c r="J170" s="157" t="s">
        <v>4</v>
      </c>
      <c r="K170" s="157" t="s">
        <v>67</v>
      </c>
      <c r="L170" s="157" t="s">
        <v>68</v>
      </c>
      <c r="M170" s="157" t="s">
        <v>51</v>
      </c>
      <c r="N170" s="157" t="s">
        <v>4</v>
      </c>
      <c r="O170" s="157" t="s">
        <v>67</v>
      </c>
      <c r="P170" s="157" t="s">
        <v>68</v>
      </c>
      <c r="Q170" s="158" t="s">
        <v>51</v>
      </c>
      <c r="AI170" s="159" t="s">
        <v>66</v>
      </c>
      <c r="AJ170" s="157" t="s">
        <v>4</v>
      </c>
      <c r="AK170" s="157" t="s">
        <v>67</v>
      </c>
      <c r="AL170" s="157" t="s">
        <v>68</v>
      </c>
      <c r="AM170" s="157" t="s">
        <v>51</v>
      </c>
      <c r="AN170" s="157" t="s">
        <v>4</v>
      </c>
      <c r="AO170" s="157" t="s">
        <v>67</v>
      </c>
      <c r="AP170" s="157" t="s">
        <v>68</v>
      </c>
      <c r="AQ170" s="161" t="s">
        <v>51</v>
      </c>
    </row>
    <row r="171" spans="9:59">
      <c r="I171" s="205">
        <v>180</v>
      </c>
      <c r="J171" s="168"/>
      <c r="K171" s="168"/>
      <c r="L171" s="168"/>
      <c r="M171" s="168"/>
      <c r="N171" s="168"/>
      <c r="O171" s="168"/>
      <c r="P171" s="168"/>
      <c r="Q171" s="169"/>
      <c r="AI171" s="173">
        <v>180</v>
      </c>
      <c r="AJ171" s="168"/>
      <c r="AK171" s="168"/>
      <c r="AL171" s="168"/>
      <c r="AM171" s="168"/>
      <c r="AN171" s="168"/>
      <c r="AO171" s="168"/>
      <c r="AP171" s="168"/>
      <c r="AQ171" s="177"/>
    </row>
    <row r="172" spans="9:59">
      <c r="I172" s="205">
        <f>I171-1</f>
        <v>179</v>
      </c>
      <c r="J172" s="168"/>
      <c r="K172" s="168"/>
      <c r="L172" s="168"/>
      <c r="M172" s="168"/>
      <c r="N172" s="168"/>
      <c r="O172" s="168"/>
      <c r="P172" s="168"/>
      <c r="Q172" s="169"/>
      <c r="AI172" s="173">
        <f>AI171-1</f>
        <v>179</v>
      </c>
      <c r="AJ172" s="168"/>
      <c r="AK172" s="168"/>
      <c r="AL172" s="168"/>
      <c r="AM172" s="168"/>
      <c r="AN172" s="168"/>
      <c r="AO172" s="168"/>
      <c r="AP172" s="168"/>
      <c r="AQ172" s="177"/>
    </row>
    <row r="173" spans="9:59">
      <c r="I173" s="205">
        <f t="shared" ref="I173:I236" si="4">I172-1</f>
        <v>178</v>
      </c>
      <c r="J173" s="168"/>
      <c r="K173" s="168"/>
      <c r="L173" s="168"/>
      <c r="M173" s="168"/>
      <c r="N173" s="168"/>
      <c r="O173" s="168"/>
      <c r="P173" s="168"/>
      <c r="Q173" s="169"/>
      <c r="AI173" s="173">
        <f t="shared" ref="AI173:AI236" si="5">AI172-1</f>
        <v>178</v>
      </c>
      <c r="AJ173" s="168"/>
      <c r="AK173" s="168"/>
      <c r="AL173" s="168"/>
      <c r="AM173" s="168"/>
      <c r="AN173" s="168"/>
      <c r="AO173" s="168"/>
      <c r="AP173" s="168"/>
      <c r="AQ173" s="177"/>
    </row>
    <row r="174" spans="9:59">
      <c r="I174" s="205">
        <f t="shared" si="4"/>
        <v>177</v>
      </c>
      <c r="J174" s="168"/>
      <c r="K174" s="168"/>
      <c r="L174" s="168"/>
      <c r="M174" s="168"/>
      <c r="N174" s="168"/>
      <c r="O174" s="168"/>
      <c r="P174" s="168"/>
      <c r="Q174" s="169"/>
      <c r="AI174" s="173">
        <f t="shared" si="5"/>
        <v>177</v>
      </c>
      <c r="AJ174" s="168"/>
      <c r="AK174" s="168"/>
      <c r="AL174" s="168"/>
      <c r="AM174" s="168"/>
      <c r="AN174" s="168"/>
      <c r="AO174" s="168"/>
      <c r="AP174" s="168"/>
      <c r="AQ174" s="177"/>
    </row>
    <row r="175" spans="9:59">
      <c r="I175" s="205">
        <f t="shared" si="4"/>
        <v>176</v>
      </c>
      <c r="J175" s="168"/>
      <c r="K175" s="168"/>
      <c r="L175" s="168"/>
      <c r="M175" s="168"/>
      <c r="N175" s="168"/>
      <c r="O175" s="168"/>
      <c r="P175" s="168"/>
      <c r="Q175" s="169"/>
      <c r="AI175" s="173">
        <f t="shared" si="5"/>
        <v>176</v>
      </c>
      <c r="AJ175" s="168"/>
      <c r="AK175" s="168"/>
      <c r="AL175" s="168"/>
      <c r="AM175" s="168"/>
      <c r="AN175" s="168"/>
      <c r="AO175" s="168"/>
      <c r="AP175" s="168"/>
      <c r="AQ175" s="177"/>
    </row>
    <row r="176" spans="9:59">
      <c r="I176" s="205">
        <f t="shared" si="4"/>
        <v>175</v>
      </c>
      <c r="J176" s="168"/>
      <c r="K176" s="168"/>
      <c r="L176" s="168"/>
      <c r="M176" s="168"/>
      <c r="N176" s="168"/>
      <c r="O176" s="168"/>
      <c r="P176" s="168"/>
      <c r="Q176" s="169"/>
      <c r="AI176" s="173">
        <f t="shared" si="5"/>
        <v>175</v>
      </c>
      <c r="AJ176" s="168"/>
      <c r="AK176" s="168"/>
      <c r="AL176" s="168"/>
      <c r="AM176" s="168"/>
      <c r="AN176" s="168"/>
      <c r="AO176" s="168"/>
      <c r="AP176" s="168"/>
      <c r="AQ176" s="177"/>
    </row>
    <row r="177" spans="9:43">
      <c r="I177" s="205">
        <f t="shared" si="4"/>
        <v>174</v>
      </c>
      <c r="J177" s="168"/>
      <c r="K177" s="168"/>
      <c r="L177" s="168"/>
      <c r="M177" s="168"/>
      <c r="N177" s="168"/>
      <c r="O177" s="168"/>
      <c r="P177" s="168"/>
      <c r="Q177" s="169"/>
      <c r="AI177" s="173">
        <f t="shared" si="5"/>
        <v>174</v>
      </c>
      <c r="AJ177" s="168"/>
      <c r="AK177" s="168"/>
      <c r="AL177" s="168"/>
      <c r="AM177" s="168"/>
      <c r="AN177" s="168"/>
      <c r="AO177" s="168"/>
      <c r="AP177" s="168"/>
      <c r="AQ177" s="177"/>
    </row>
    <row r="178" spans="9:43">
      <c r="I178" s="205">
        <f t="shared" si="4"/>
        <v>173</v>
      </c>
      <c r="J178" s="168"/>
      <c r="K178" s="168"/>
      <c r="L178" s="168"/>
      <c r="M178" s="168"/>
      <c r="N178" s="168"/>
      <c r="O178" s="168"/>
      <c r="P178" s="168"/>
      <c r="Q178" s="169"/>
      <c r="AI178" s="173">
        <f t="shared" si="5"/>
        <v>173</v>
      </c>
      <c r="AJ178" s="168"/>
      <c r="AK178" s="168"/>
      <c r="AL178" s="168"/>
      <c r="AM178" s="168"/>
      <c r="AN178" s="168"/>
      <c r="AO178" s="168"/>
      <c r="AP178" s="168"/>
      <c r="AQ178" s="177"/>
    </row>
    <row r="179" spans="9:43">
      <c r="I179" s="205">
        <f t="shared" si="4"/>
        <v>172</v>
      </c>
      <c r="J179" s="168"/>
      <c r="K179" s="168"/>
      <c r="L179" s="168"/>
      <c r="M179" s="168"/>
      <c r="N179" s="168"/>
      <c r="O179" s="168"/>
      <c r="P179" s="168"/>
      <c r="Q179" s="169"/>
      <c r="AI179" s="173">
        <f t="shared" si="5"/>
        <v>172</v>
      </c>
      <c r="AJ179" s="168"/>
      <c r="AK179" s="168"/>
      <c r="AL179" s="168"/>
      <c r="AM179" s="168"/>
      <c r="AN179" s="168"/>
      <c r="AO179" s="168"/>
      <c r="AP179" s="168"/>
      <c r="AQ179" s="177"/>
    </row>
    <row r="180" spans="9:43">
      <c r="I180" s="205">
        <f t="shared" si="4"/>
        <v>171</v>
      </c>
      <c r="J180" s="168"/>
      <c r="K180" s="168"/>
      <c r="L180" s="168"/>
      <c r="M180" s="168"/>
      <c r="N180" s="168"/>
      <c r="O180" s="168"/>
      <c r="P180" s="168"/>
      <c r="Q180" s="169"/>
      <c r="AI180" s="173">
        <f t="shared" si="5"/>
        <v>171</v>
      </c>
      <c r="AJ180" s="168"/>
      <c r="AK180" s="168"/>
      <c r="AL180" s="168"/>
      <c r="AM180" s="168"/>
      <c r="AN180" s="168"/>
      <c r="AO180" s="168"/>
      <c r="AP180" s="168"/>
      <c r="AQ180" s="177"/>
    </row>
    <row r="181" spans="9:43">
      <c r="I181" s="205">
        <f t="shared" si="4"/>
        <v>170</v>
      </c>
      <c r="J181" s="168"/>
      <c r="K181" s="168"/>
      <c r="L181" s="168"/>
      <c r="M181" s="168"/>
      <c r="N181" s="168"/>
      <c r="O181" s="168"/>
      <c r="P181" s="168"/>
      <c r="Q181" s="169"/>
      <c r="AI181" s="173">
        <f t="shared" si="5"/>
        <v>170</v>
      </c>
      <c r="AJ181" s="168"/>
      <c r="AK181" s="168"/>
      <c r="AL181" s="168"/>
      <c r="AM181" s="168"/>
      <c r="AN181" s="168"/>
      <c r="AO181" s="168"/>
      <c r="AP181" s="168"/>
      <c r="AQ181" s="177"/>
    </row>
    <row r="182" spans="9:43">
      <c r="I182" s="205">
        <f t="shared" si="4"/>
        <v>169</v>
      </c>
      <c r="J182" s="168"/>
      <c r="K182" s="168"/>
      <c r="L182" s="168"/>
      <c r="M182" s="168"/>
      <c r="N182" s="168"/>
      <c r="O182" s="168"/>
      <c r="P182" s="168"/>
      <c r="Q182" s="169"/>
      <c r="AI182" s="173">
        <f t="shared" si="5"/>
        <v>169</v>
      </c>
      <c r="AJ182" s="168"/>
      <c r="AK182" s="168"/>
      <c r="AL182" s="168"/>
      <c r="AM182" s="168"/>
      <c r="AN182" s="168"/>
      <c r="AO182" s="168"/>
      <c r="AP182" s="168"/>
      <c r="AQ182" s="177"/>
    </row>
    <row r="183" spans="9:43">
      <c r="I183" s="205">
        <f t="shared" si="4"/>
        <v>168</v>
      </c>
      <c r="J183" s="168"/>
      <c r="K183" s="168"/>
      <c r="L183" s="168"/>
      <c r="M183" s="168"/>
      <c r="N183" s="168"/>
      <c r="O183" s="168"/>
      <c r="P183" s="168"/>
      <c r="Q183" s="169"/>
      <c r="AI183" s="173">
        <f t="shared" si="5"/>
        <v>168</v>
      </c>
      <c r="AJ183" s="168"/>
      <c r="AK183" s="168"/>
      <c r="AL183" s="168"/>
      <c r="AM183" s="168"/>
      <c r="AN183" s="168"/>
      <c r="AO183" s="168"/>
      <c r="AP183" s="168"/>
      <c r="AQ183" s="177"/>
    </row>
    <row r="184" spans="9:43">
      <c r="I184" s="205">
        <f t="shared" si="4"/>
        <v>167</v>
      </c>
      <c r="J184" s="168"/>
      <c r="K184" s="168"/>
      <c r="L184" s="168"/>
      <c r="M184" s="168"/>
      <c r="N184" s="168"/>
      <c r="O184" s="168"/>
      <c r="P184" s="168"/>
      <c r="Q184" s="169"/>
      <c r="AI184" s="173">
        <f t="shared" si="5"/>
        <v>167</v>
      </c>
      <c r="AJ184" s="168"/>
      <c r="AK184" s="168"/>
      <c r="AL184" s="168"/>
      <c r="AM184" s="168"/>
      <c r="AN184" s="168"/>
      <c r="AO184" s="168"/>
      <c r="AP184" s="168"/>
      <c r="AQ184" s="177"/>
    </row>
    <row r="185" spans="9:43">
      <c r="I185" s="205">
        <f t="shared" si="4"/>
        <v>166</v>
      </c>
      <c r="J185" s="168"/>
      <c r="K185" s="168"/>
      <c r="L185" s="168"/>
      <c r="M185" s="168"/>
      <c r="N185" s="168"/>
      <c r="O185" s="168"/>
      <c r="P185" s="168"/>
      <c r="Q185" s="169"/>
      <c r="AI185" s="173">
        <f t="shared" si="5"/>
        <v>166</v>
      </c>
      <c r="AJ185" s="168"/>
      <c r="AK185" s="168"/>
      <c r="AL185" s="168"/>
      <c r="AM185" s="168"/>
      <c r="AN185" s="168"/>
      <c r="AO185" s="168"/>
      <c r="AP185" s="168"/>
      <c r="AQ185" s="177"/>
    </row>
    <row r="186" spans="9:43">
      <c r="I186" s="205">
        <f t="shared" si="4"/>
        <v>165</v>
      </c>
      <c r="J186" s="168"/>
      <c r="K186" s="168"/>
      <c r="L186" s="168"/>
      <c r="M186" s="168"/>
      <c r="N186" s="168"/>
      <c r="O186" s="168"/>
      <c r="P186" s="168"/>
      <c r="Q186" s="169"/>
      <c r="AI186" s="173">
        <f t="shared" si="5"/>
        <v>165</v>
      </c>
      <c r="AJ186" s="168"/>
      <c r="AK186" s="168"/>
      <c r="AL186" s="168"/>
      <c r="AM186" s="168"/>
      <c r="AN186" s="168"/>
      <c r="AO186" s="168"/>
      <c r="AP186" s="168"/>
      <c r="AQ186" s="177"/>
    </row>
    <row r="187" spans="9:43">
      <c r="I187" s="205">
        <f t="shared" si="4"/>
        <v>164</v>
      </c>
      <c r="J187" s="168"/>
      <c r="K187" s="168"/>
      <c r="L187" s="168"/>
      <c r="M187" s="168"/>
      <c r="N187" s="168"/>
      <c r="O187" s="168"/>
      <c r="P187" s="168"/>
      <c r="Q187" s="169"/>
      <c r="AI187" s="173">
        <f t="shared" si="5"/>
        <v>164</v>
      </c>
      <c r="AJ187" s="168"/>
      <c r="AK187" s="168"/>
      <c r="AL187" s="168"/>
      <c r="AM187" s="168"/>
      <c r="AN187" s="168"/>
      <c r="AO187" s="168"/>
      <c r="AP187" s="168"/>
      <c r="AQ187" s="177"/>
    </row>
    <row r="188" spans="9:43">
      <c r="I188" s="205">
        <f t="shared" si="4"/>
        <v>163</v>
      </c>
      <c r="J188" s="168"/>
      <c r="K188" s="168"/>
      <c r="L188" s="168"/>
      <c r="M188" s="168"/>
      <c r="N188" s="168"/>
      <c r="O188" s="168"/>
      <c r="P188" s="168"/>
      <c r="Q188" s="169"/>
      <c r="AI188" s="173">
        <f t="shared" si="5"/>
        <v>163</v>
      </c>
      <c r="AJ188" s="168"/>
      <c r="AK188" s="168"/>
      <c r="AL188" s="168"/>
      <c r="AM188" s="168"/>
      <c r="AN188" s="168"/>
      <c r="AO188" s="168"/>
      <c r="AP188" s="168"/>
      <c r="AQ188" s="177"/>
    </row>
    <row r="189" spans="9:43">
      <c r="I189" s="205">
        <f t="shared" si="4"/>
        <v>162</v>
      </c>
      <c r="J189" s="168"/>
      <c r="K189" s="168"/>
      <c r="L189" s="168"/>
      <c r="M189" s="168"/>
      <c r="N189" s="168"/>
      <c r="O189" s="168"/>
      <c r="P189" s="168"/>
      <c r="Q189" s="169"/>
      <c r="AI189" s="173">
        <f t="shared" si="5"/>
        <v>162</v>
      </c>
      <c r="AJ189" s="168"/>
      <c r="AK189" s="168"/>
      <c r="AL189" s="168"/>
      <c r="AM189" s="168"/>
      <c r="AN189" s="168"/>
      <c r="AO189" s="168"/>
      <c r="AP189" s="168"/>
      <c r="AQ189" s="177"/>
    </row>
    <row r="190" spans="9:43">
      <c r="I190" s="205">
        <f t="shared" si="4"/>
        <v>161</v>
      </c>
      <c r="J190" s="168"/>
      <c r="K190" s="168"/>
      <c r="L190" s="168"/>
      <c r="M190" s="168"/>
      <c r="N190" s="168"/>
      <c r="O190" s="168"/>
      <c r="P190" s="168"/>
      <c r="Q190" s="169"/>
      <c r="AI190" s="173">
        <f t="shared" si="5"/>
        <v>161</v>
      </c>
      <c r="AJ190" s="168"/>
      <c r="AK190" s="168"/>
      <c r="AL190" s="168"/>
      <c r="AM190" s="168"/>
      <c r="AN190" s="168"/>
      <c r="AO190" s="168"/>
      <c r="AP190" s="168"/>
      <c r="AQ190" s="177"/>
    </row>
    <row r="191" spans="9:43">
      <c r="I191" s="205">
        <f t="shared" si="4"/>
        <v>160</v>
      </c>
      <c r="J191" s="167"/>
      <c r="K191" s="168"/>
      <c r="L191" s="168"/>
      <c r="M191" s="168"/>
      <c r="N191" s="168"/>
      <c r="O191" s="168"/>
      <c r="P191" s="168"/>
      <c r="Q191" s="169"/>
      <c r="AI191" s="173">
        <f t="shared" si="5"/>
        <v>160</v>
      </c>
      <c r="AJ191" s="168"/>
      <c r="AK191" s="168"/>
      <c r="AL191" s="168"/>
      <c r="AM191" s="168"/>
      <c r="AN191" s="168"/>
      <c r="AO191" s="168"/>
      <c r="AP191" s="168"/>
      <c r="AQ191" s="177"/>
    </row>
    <row r="192" spans="9:43">
      <c r="I192" s="205">
        <f t="shared" si="4"/>
        <v>159</v>
      </c>
      <c r="J192" s="167"/>
      <c r="K192" s="168"/>
      <c r="L192" s="168"/>
      <c r="M192" s="168"/>
      <c r="N192" s="168"/>
      <c r="O192" s="168"/>
      <c r="P192" s="168"/>
      <c r="Q192" s="169"/>
      <c r="AI192" s="173">
        <f t="shared" si="5"/>
        <v>159</v>
      </c>
      <c r="AJ192" s="168"/>
      <c r="AK192" s="168"/>
      <c r="AL192" s="168"/>
      <c r="AM192" s="168"/>
      <c r="AN192" s="168"/>
      <c r="AO192" s="168"/>
      <c r="AP192" s="168"/>
      <c r="AQ192" s="177"/>
    </row>
    <row r="193" spans="9:43">
      <c r="I193" s="205">
        <f t="shared" si="4"/>
        <v>158</v>
      </c>
      <c r="J193" s="167"/>
      <c r="K193" s="168"/>
      <c r="L193" s="168"/>
      <c r="M193" s="168"/>
      <c r="N193" s="168"/>
      <c r="O193" s="168"/>
      <c r="P193" s="168"/>
      <c r="Q193" s="169"/>
      <c r="AI193" s="173">
        <f t="shared" si="5"/>
        <v>158</v>
      </c>
      <c r="AJ193" s="168"/>
      <c r="AK193" s="168"/>
      <c r="AL193" s="168"/>
      <c r="AM193" s="168"/>
      <c r="AN193" s="168"/>
      <c r="AO193" s="168"/>
      <c r="AP193" s="168"/>
      <c r="AQ193" s="177"/>
    </row>
    <row r="194" spans="9:43">
      <c r="I194" s="205">
        <f t="shared" si="4"/>
        <v>157</v>
      </c>
      <c r="J194" s="167"/>
      <c r="K194" s="168"/>
      <c r="L194" s="168"/>
      <c r="M194" s="168"/>
      <c r="N194" s="168"/>
      <c r="O194" s="168"/>
      <c r="P194" s="168"/>
      <c r="Q194" s="169"/>
      <c r="AI194" s="173">
        <f t="shared" si="5"/>
        <v>157</v>
      </c>
      <c r="AJ194" s="168"/>
      <c r="AK194" s="168"/>
      <c r="AL194" s="168"/>
      <c r="AM194" s="168"/>
      <c r="AN194" s="168"/>
      <c r="AO194" s="168"/>
      <c r="AP194" s="168"/>
      <c r="AQ194" s="177"/>
    </row>
    <row r="195" spans="9:43">
      <c r="I195" s="205">
        <f t="shared" si="4"/>
        <v>156</v>
      </c>
      <c r="J195" s="167"/>
      <c r="K195" s="168"/>
      <c r="L195" s="168"/>
      <c r="M195" s="168"/>
      <c r="N195" s="168"/>
      <c r="O195" s="168"/>
      <c r="P195" s="168"/>
      <c r="Q195" s="169"/>
      <c r="AI195" s="173">
        <f t="shared" si="5"/>
        <v>156</v>
      </c>
      <c r="AJ195" s="168"/>
      <c r="AK195" s="168"/>
      <c r="AL195" s="168"/>
      <c r="AM195" s="168"/>
      <c r="AN195" s="168"/>
      <c r="AO195" s="168"/>
      <c r="AP195" s="168"/>
      <c r="AQ195" s="177"/>
    </row>
    <row r="196" spans="9:43">
      <c r="I196" s="205">
        <f t="shared" si="4"/>
        <v>155</v>
      </c>
      <c r="J196" s="167"/>
      <c r="K196" s="168"/>
      <c r="L196" s="168"/>
      <c r="M196" s="168"/>
      <c r="N196" s="168"/>
      <c r="O196" s="168"/>
      <c r="P196" s="168"/>
      <c r="Q196" s="169"/>
      <c r="AI196" s="173">
        <f t="shared" si="5"/>
        <v>155</v>
      </c>
      <c r="AJ196" s="168"/>
      <c r="AK196" s="168"/>
      <c r="AL196" s="168"/>
      <c r="AM196" s="168"/>
      <c r="AN196" s="168"/>
      <c r="AO196" s="168"/>
      <c r="AP196" s="168"/>
      <c r="AQ196" s="177"/>
    </row>
    <row r="197" spans="9:43">
      <c r="I197" s="205">
        <f t="shared" si="4"/>
        <v>154</v>
      </c>
      <c r="J197" s="167"/>
      <c r="K197" s="168"/>
      <c r="L197" s="168"/>
      <c r="M197" s="168"/>
      <c r="N197" s="168"/>
      <c r="O197" s="168"/>
      <c r="P197" s="168"/>
      <c r="Q197" s="169"/>
      <c r="AI197" s="173">
        <f t="shared" si="5"/>
        <v>154</v>
      </c>
      <c r="AJ197" s="168"/>
      <c r="AK197" s="168"/>
      <c r="AL197" s="168"/>
      <c r="AM197" s="168"/>
      <c r="AN197" s="168"/>
      <c r="AO197" s="168"/>
      <c r="AP197" s="168"/>
      <c r="AQ197" s="177"/>
    </row>
    <row r="198" spans="9:43">
      <c r="I198" s="205">
        <f t="shared" si="4"/>
        <v>153</v>
      </c>
      <c r="J198" s="167"/>
      <c r="K198" s="168"/>
      <c r="L198" s="168"/>
      <c r="M198" s="168"/>
      <c r="N198" s="168"/>
      <c r="O198" s="168"/>
      <c r="P198" s="168"/>
      <c r="Q198" s="169"/>
      <c r="AI198" s="173">
        <f t="shared" si="5"/>
        <v>153</v>
      </c>
      <c r="AJ198" s="168"/>
      <c r="AK198" s="168"/>
      <c r="AL198" s="168"/>
      <c r="AM198" s="168"/>
      <c r="AN198" s="168"/>
      <c r="AO198" s="168"/>
      <c r="AP198" s="168"/>
      <c r="AQ198" s="177"/>
    </row>
    <row r="199" spans="9:43">
      <c r="I199" s="205">
        <f t="shared" si="4"/>
        <v>152</v>
      </c>
      <c r="J199" s="167"/>
      <c r="K199" s="168"/>
      <c r="L199" s="168"/>
      <c r="M199" s="168"/>
      <c r="N199" s="168"/>
      <c r="O199" s="168"/>
      <c r="P199" s="168"/>
      <c r="Q199" s="169"/>
      <c r="AI199" s="173">
        <f t="shared" si="5"/>
        <v>152</v>
      </c>
      <c r="AJ199" s="168"/>
      <c r="AK199" s="168"/>
      <c r="AL199" s="168"/>
      <c r="AM199" s="168"/>
      <c r="AN199" s="168"/>
      <c r="AO199" s="168"/>
      <c r="AP199" s="168"/>
      <c r="AQ199" s="177"/>
    </row>
    <row r="200" spans="9:43">
      <c r="I200" s="205">
        <f t="shared" si="4"/>
        <v>151</v>
      </c>
      <c r="J200" s="167"/>
      <c r="K200" s="168"/>
      <c r="L200" s="168"/>
      <c r="M200" s="168"/>
      <c r="N200" s="168"/>
      <c r="O200" s="168"/>
      <c r="P200" s="168"/>
      <c r="Q200" s="169"/>
      <c r="AI200" s="173">
        <f t="shared" si="5"/>
        <v>151</v>
      </c>
      <c r="AJ200" s="168"/>
      <c r="AK200" s="168"/>
      <c r="AL200" s="168"/>
      <c r="AM200" s="168"/>
      <c r="AN200" s="168"/>
      <c r="AO200" s="168"/>
      <c r="AP200" s="168"/>
      <c r="AQ200" s="177"/>
    </row>
    <row r="201" spans="9:43">
      <c r="I201" s="205">
        <f t="shared" si="4"/>
        <v>150</v>
      </c>
      <c r="J201" s="167"/>
      <c r="K201" s="168"/>
      <c r="L201" s="168"/>
      <c r="M201" s="168"/>
      <c r="N201" s="168"/>
      <c r="O201" s="168"/>
      <c r="P201" s="168"/>
      <c r="Q201" s="169"/>
      <c r="AI201" s="173">
        <f t="shared" si="5"/>
        <v>150</v>
      </c>
      <c r="AJ201" s="168"/>
      <c r="AK201" s="168"/>
      <c r="AL201" s="168"/>
      <c r="AM201" s="168"/>
      <c r="AN201" s="168"/>
      <c r="AO201" s="168"/>
      <c r="AP201" s="168"/>
      <c r="AQ201" s="177"/>
    </row>
    <row r="202" spans="9:43">
      <c r="I202" s="205">
        <f t="shared" si="4"/>
        <v>149</v>
      </c>
      <c r="J202" s="167"/>
      <c r="K202" s="168"/>
      <c r="L202" s="168"/>
      <c r="M202" s="168"/>
      <c r="N202" s="168"/>
      <c r="O202" s="168"/>
      <c r="P202" s="168"/>
      <c r="Q202" s="169"/>
      <c r="AI202" s="173">
        <f t="shared" si="5"/>
        <v>149</v>
      </c>
      <c r="AJ202" s="168"/>
      <c r="AK202" s="168"/>
      <c r="AL202" s="168"/>
      <c r="AM202" s="168"/>
      <c r="AN202" s="168"/>
      <c r="AO202" s="168"/>
      <c r="AP202" s="168"/>
      <c r="AQ202" s="177"/>
    </row>
    <row r="203" spans="9:43">
      <c r="I203" s="205">
        <f t="shared" si="4"/>
        <v>148</v>
      </c>
      <c r="J203" s="167"/>
      <c r="K203" s="168"/>
      <c r="L203" s="168"/>
      <c r="M203" s="168"/>
      <c r="N203" s="168"/>
      <c r="O203" s="168"/>
      <c r="P203" s="168"/>
      <c r="Q203" s="169"/>
      <c r="AI203" s="173">
        <f t="shared" si="5"/>
        <v>148</v>
      </c>
      <c r="AJ203" s="168"/>
      <c r="AK203" s="168"/>
      <c r="AL203" s="168"/>
      <c r="AM203" s="168"/>
      <c r="AN203" s="168"/>
      <c r="AO203" s="168"/>
      <c r="AP203" s="168"/>
      <c r="AQ203" s="177"/>
    </row>
    <row r="204" spans="9:43">
      <c r="I204" s="205">
        <f t="shared" si="4"/>
        <v>147</v>
      </c>
      <c r="J204" s="167"/>
      <c r="K204" s="168"/>
      <c r="L204" s="168"/>
      <c r="M204" s="168"/>
      <c r="N204" s="168"/>
      <c r="O204" s="168"/>
      <c r="P204" s="168"/>
      <c r="Q204" s="169"/>
      <c r="AI204" s="173">
        <f t="shared" si="5"/>
        <v>147</v>
      </c>
      <c r="AJ204" s="168"/>
      <c r="AK204" s="168"/>
      <c r="AL204" s="168"/>
      <c r="AM204" s="168"/>
      <c r="AN204" s="168"/>
      <c r="AO204" s="168"/>
      <c r="AP204" s="168"/>
      <c r="AQ204" s="177"/>
    </row>
    <row r="205" spans="9:43">
      <c r="I205" s="205">
        <f t="shared" si="4"/>
        <v>146</v>
      </c>
      <c r="J205" s="167"/>
      <c r="K205" s="168"/>
      <c r="L205" s="168"/>
      <c r="M205" s="168"/>
      <c r="N205" s="168"/>
      <c r="O205" s="168"/>
      <c r="P205" s="168"/>
      <c r="Q205" s="169"/>
      <c r="AI205" s="173">
        <f t="shared" si="5"/>
        <v>146</v>
      </c>
      <c r="AJ205" s="168"/>
      <c r="AK205" s="168"/>
      <c r="AL205" s="168"/>
      <c r="AM205" s="168"/>
      <c r="AN205" s="168"/>
      <c r="AO205" s="168"/>
      <c r="AP205" s="168"/>
      <c r="AQ205" s="177"/>
    </row>
    <row r="206" spans="9:43">
      <c r="I206" s="205">
        <f t="shared" si="4"/>
        <v>145</v>
      </c>
      <c r="J206" s="167"/>
      <c r="K206" s="168"/>
      <c r="L206" s="168"/>
      <c r="M206" s="168"/>
      <c r="N206" s="168"/>
      <c r="O206" s="168"/>
      <c r="P206" s="168"/>
      <c r="Q206" s="169"/>
      <c r="AI206" s="173">
        <f t="shared" si="5"/>
        <v>145</v>
      </c>
      <c r="AJ206" s="168"/>
      <c r="AK206" s="168"/>
      <c r="AL206" s="168"/>
      <c r="AM206" s="168"/>
      <c r="AN206" s="168"/>
      <c r="AO206" s="168"/>
      <c r="AP206" s="168"/>
      <c r="AQ206" s="177"/>
    </row>
    <row r="207" spans="9:43">
      <c r="I207" s="205">
        <f t="shared" si="4"/>
        <v>144</v>
      </c>
      <c r="J207" s="167"/>
      <c r="K207" s="168"/>
      <c r="L207" s="168"/>
      <c r="M207" s="168"/>
      <c r="N207" s="168"/>
      <c r="O207" s="168"/>
      <c r="P207" s="168"/>
      <c r="Q207" s="169"/>
      <c r="AI207" s="173">
        <f t="shared" si="5"/>
        <v>144</v>
      </c>
      <c r="AJ207" s="168"/>
      <c r="AK207" s="168"/>
      <c r="AL207" s="168"/>
      <c r="AM207" s="168"/>
      <c r="AN207" s="168"/>
      <c r="AO207" s="168"/>
      <c r="AP207" s="168"/>
      <c r="AQ207" s="177"/>
    </row>
    <row r="208" spans="9:43">
      <c r="I208" s="205">
        <f t="shared" si="4"/>
        <v>143</v>
      </c>
      <c r="J208" s="167"/>
      <c r="K208" s="168"/>
      <c r="L208" s="168"/>
      <c r="M208" s="168"/>
      <c r="N208" s="168"/>
      <c r="O208" s="168"/>
      <c r="P208" s="168"/>
      <c r="Q208" s="169"/>
      <c r="AI208" s="173">
        <f t="shared" si="5"/>
        <v>143</v>
      </c>
      <c r="AJ208" s="168"/>
      <c r="AK208" s="168"/>
      <c r="AL208" s="168"/>
      <c r="AM208" s="168"/>
      <c r="AN208" s="168"/>
      <c r="AO208" s="168"/>
      <c r="AP208" s="168"/>
      <c r="AQ208" s="177"/>
    </row>
    <row r="209" spans="9:43">
      <c r="I209" s="205">
        <f t="shared" si="4"/>
        <v>142</v>
      </c>
      <c r="J209" s="167"/>
      <c r="K209" s="168"/>
      <c r="L209" s="168"/>
      <c r="M209" s="168"/>
      <c r="N209" s="168"/>
      <c r="O209" s="168"/>
      <c r="P209" s="168"/>
      <c r="Q209" s="169"/>
      <c r="AI209" s="173">
        <f t="shared" si="5"/>
        <v>142</v>
      </c>
      <c r="AJ209" s="168"/>
      <c r="AK209" s="168"/>
      <c r="AL209" s="168"/>
      <c r="AM209" s="168"/>
      <c r="AN209" s="168"/>
      <c r="AO209" s="168"/>
      <c r="AP209" s="168"/>
      <c r="AQ209" s="177"/>
    </row>
    <row r="210" spans="9:43">
      <c r="I210" s="205">
        <f t="shared" si="4"/>
        <v>141</v>
      </c>
      <c r="J210" s="167"/>
      <c r="K210" s="168"/>
      <c r="L210" s="168"/>
      <c r="M210" s="168"/>
      <c r="N210" s="168"/>
      <c r="O210" s="168"/>
      <c r="P210" s="168"/>
      <c r="Q210" s="169"/>
      <c r="AI210" s="173">
        <f t="shared" si="5"/>
        <v>141</v>
      </c>
      <c r="AJ210" s="168"/>
      <c r="AK210" s="168"/>
      <c r="AL210" s="168"/>
      <c r="AM210" s="168"/>
      <c r="AN210" s="168"/>
      <c r="AO210" s="168"/>
      <c r="AP210" s="168"/>
      <c r="AQ210" s="177"/>
    </row>
    <row r="211" spans="9:43">
      <c r="I211" s="205">
        <f t="shared" si="4"/>
        <v>140</v>
      </c>
      <c r="J211" s="167"/>
      <c r="K211" s="168"/>
      <c r="L211" s="168"/>
      <c r="M211" s="168"/>
      <c r="N211" s="168"/>
      <c r="O211" s="168"/>
      <c r="P211" s="168"/>
      <c r="Q211" s="169"/>
      <c r="AI211" s="173">
        <f t="shared" si="5"/>
        <v>140</v>
      </c>
      <c r="AJ211" s="168"/>
      <c r="AK211" s="168"/>
      <c r="AL211" s="168"/>
      <c r="AM211" s="168"/>
      <c r="AN211" s="168"/>
      <c r="AO211" s="168"/>
      <c r="AP211" s="168"/>
      <c r="AQ211" s="177"/>
    </row>
    <row r="212" spans="9:43">
      <c r="I212" s="205">
        <f t="shared" si="4"/>
        <v>139</v>
      </c>
      <c r="J212" s="167"/>
      <c r="K212" s="168"/>
      <c r="L212" s="168"/>
      <c r="M212" s="168"/>
      <c r="N212" s="168"/>
      <c r="O212" s="168"/>
      <c r="P212" s="168"/>
      <c r="Q212" s="169"/>
      <c r="AI212" s="173">
        <f t="shared" si="5"/>
        <v>139</v>
      </c>
      <c r="AJ212" s="168"/>
      <c r="AK212" s="168"/>
      <c r="AL212" s="168"/>
      <c r="AM212" s="168"/>
      <c r="AN212" s="168"/>
      <c r="AO212" s="168"/>
      <c r="AP212" s="168"/>
      <c r="AQ212" s="177"/>
    </row>
    <row r="213" spans="9:43">
      <c r="I213" s="205">
        <f t="shared" si="4"/>
        <v>138</v>
      </c>
      <c r="J213" s="167"/>
      <c r="K213" s="168"/>
      <c r="L213" s="168"/>
      <c r="M213" s="168"/>
      <c r="N213" s="168"/>
      <c r="O213" s="168"/>
      <c r="P213" s="168"/>
      <c r="Q213" s="169"/>
      <c r="AI213" s="173">
        <f t="shared" si="5"/>
        <v>138</v>
      </c>
      <c r="AJ213" s="168"/>
      <c r="AK213" s="168"/>
      <c r="AL213" s="168"/>
      <c r="AM213" s="168"/>
      <c r="AN213" s="168"/>
      <c r="AO213" s="168"/>
      <c r="AP213" s="168"/>
      <c r="AQ213" s="177"/>
    </row>
    <row r="214" spans="9:43">
      <c r="I214" s="205">
        <f t="shared" si="4"/>
        <v>137</v>
      </c>
      <c r="J214" s="167"/>
      <c r="K214" s="168"/>
      <c r="L214" s="168"/>
      <c r="M214" s="168"/>
      <c r="N214" s="168"/>
      <c r="O214" s="168"/>
      <c r="P214" s="168"/>
      <c r="Q214" s="169"/>
      <c r="AI214" s="173">
        <f t="shared" si="5"/>
        <v>137</v>
      </c>
      <c r="AJ214" s="168"/>
      <c r="AK214" s="168"/>
      <c r="AL214" s="168"/>
      <c r="AM214" s="168"/>
      <c r="AN214" s="168"/>
      <c r="AO214" s="168"/>
      <c r="AP214" s="168"/>
      <c r="AQ214" s="177"/>
    </row>
    <row r="215" spans="9:43">
      <c r="I215" s="205">
        <f t="shared" si="4"/>
        <v>136</v>
      </c>
      <c r="J215" s="167"/>
      <c r="K215" s="168"/>
      <c r="L215" s="168"/>
      <c r="M215" s="168"/>
      <c r="N215" s="168"/>
      <c r="O215" s="168"/>
      <c r="P215" s="168"/>
      <c r="Q215" s="169"/>
      <c r="AI215" s="173">
        <f t="shared" si="5"/>
        <v>136</v>
      </c>
      <c r="AJ215" s="168"/>
      <c r="AK215" s="168"/>
      <c r="AL215" s="168"/>
      <c r="AM215" s="168"/>
      <c r="AN215" s="168"/>
      <c r="AO215" s="168"/>
      <c r="AP215" s="168"/>
      <c r="AQ215" s="177"/>
    </row>
    <row r="216" spans="9:43">
      <c r="I216" s="205">
        <f t="shared" si="4"/>
        <v>135</v>
      </c>
      <c r="J216" s="167"/>
      <c r="K216" s="168"/>
      <c r="L216" s="168"/>
      <c r="M216" s="168"/>
      <c r="N216" s="168"/>
      <c r="O216" s="168"/>
      <c r="P216" s="168"/>
      <c r="Q216" s="169"/>
      <c r="AI216" s="173">
        <f t="shared" si="5"/>
        <v>135</v>
      </c>
      <c r="AJ216" s="168"/>
      <c r="AK216" s="168"/>
      <c r="AL216" s="168"/>
      <c r="AM216" s="168"/>
      <c r="AN216" s="168"/>
      <c r="AO216" s="168"/>
      <c r="AP216" s="168"/>
      <c r="AQ216" s="177"/>
    </row>
    <row r="217" spans="9:43">
      <c r="I217" s="205">
        <f t="shared" si="4"/>
        <v>134</v>
      </c>
      <c r="J217" s="167"/>
      <c r="K217" s="168"/>
      <c r="L217" s="168"/>
      <c r="M217" s="168"/>
      <c r="N217" s="168"/>
      <c r="O217" s="168"/>
      <c r="P217" s="168"/>
      <c r="Q217" s="169"/>
      <c r="AI217" s="173">
        <f t="shared" si="5"/>
        <v>134</v>
      </c>
      <c r="AJ217" s="168"/>
      <c r="AK217" s="168"/>
      <c r="AL217" s="168"/>
      <c r="AM217" s="168"/>
      <c r="AN217" s="168"/>
      <c r="AO217" s="168"/>
      <c r="AP217" s="168"/>
      <c r="AQ217" s="177"/>
    </row>
    <row r="218" spans="9:43">
      <c r="I218" s="205">
        <f t="shared" si="4"/>
        <v>133</v>
      </c>
      <c r="J218" s="167"/>
      <c r="K218" s="168"/>
      <c r="L218" s="168"/>
      <c r="M218" s="168"/>
      <c r="N218" s="168"/>
      <c r="O218" s="168"/>
      <c r="P218" s="168"/>
      <c r="Q218" s="169"/>
      <c r="AI218" s="173">
        <f t="shared" si="5"/>
        <v>133</v>
      </c>
      <c r="AJ218" s="168"/>
      <c r="AK218" s="168"/>
      <c r="AL218" s="168"/>
      <c r="AM218" s="168"/>
      <c r="AN218" s="168"/>
      <c r="AO218" s="168"/>
      <c r="AP218" s="168"/>
      <c r="AQ218" s="177"/>
    </row>
    <row r="219" spans="9:43">
      <c r="I219" s="205">
        <f t="shared" si="4"/>
        <v>132</v>
      </c>
      <c r="J219" s="167"/>
      <c r="K219" s="168"/>
      <c r="L219" s="168"/>
      <c r="M219" s="168"/>
      <c r="N219" s="168"/>
      <c r="O219" s="168"/>
      <c r="P219" s="168"/>
      <c r="Q219" s="169"/>
      <c r="AI219" s="173">
        <f t="shared" si="5"/>
        <v>132</v>
      </c>
      <c r="AJ219" s="168"/>
      <c r="AK219" s="168"/>
      <c r="AL219" s="168"/>
      <c r="AM219" s="168"/>
      <c r="AN219" s="168"/>
      <c r="AO219" s="168"/>
      <c r="AP219" s="168"/>
      <c r="AQ219" s="177"/>
    </row>
    <row r="220" spans="9:43">
      <c r="I220" s="205">
        <f t="shared" si="4"/>
        <v>131</v>
      </c>
      <c r="J220" s="167"/>
      <c r="K220" s="168"/>
      <c r="L220" s="168"/>
      <c r="M220" s="168"/>
      <c r="N220" s="168"/>
      <c r="O220" s="168"/>
      <c r="P220" s="168"/>
      <c r="Q220" s="169"/>
      <c r="AI220" s="173">
        <f t="shared" si="5"/>
        <v>131</v>
      </c>
      <c r="AJ220" s="168"/>
      <c r="AK220" s="168"/>
      <c r="AL220" s="168"/>
      <c r="AM220" s="168"/>
      <c r="AN220" s="168"/>
      <c r="AO220" s="168"/>
      <c r="AP220" s="168"/>
      <c r="AQ220" s="177"/>
    </row>
    <row r="221" spans="9:43">
      <c r="I221" s="205">
        <f t="shared" si="4"/>
        <v>130</v>
      </c>
      <c r="J221" s="167"/>
      <c r="K221" s="168"/>
      <c r="L221" s="168"/>
      <c r="M221" s="168"/>
      <c r="N221" s="168"/>
      <c r="O221" s="168"/>
      <c r="P221" s="168"/>
      <c r="Q221" s="169"/>
      <c r="AI221" s="173">
        <f t="shared" si="5"/>
        <v>130</v>
      </c>
      <c r="AJ221" s="168"/>
      <c r="AK221" s="168"/>
      <c r="AL221" s="168"/>
      <c r="AM221" s="168"/>
      <c r="AN221" s="168"/>
      <c r="AO221" s="168"/>
      <c r="AP221" s="168"/>
      <c r="AQ221" s="177"/>
    </row>
    <row r="222" spans="9:43">
      <c r="I222" s="205">
        <f t="shared" si="4"/>
        <v>129</v>
      </c>
      <c r="J222" s="167"/>
      <c r="K222" s="168"/>
      <c r="L222" s="168"/>
      <c r="M222" s="168"/>
      <c r="N222" s="168"/>
      <c r="O222" s="168"/>
      <c r="P222" s="168"/>
      <c r="Q222" s="169"/>
      <c r="AI222" s="173">
        <f t="shared" si="5"/>
        <v>129</v>
      </c>
      <c r="AJ222" s="168"/>
      <c r="AK222" s="168"/>
      <c r="AL222" s="168"/>
      <c r="AM222" s="168"/>
      <c r="AN222" s="168"/>
      <c r="AO222" s="168"/>
      <c r="AP222" s="168"/>
      <c r="AQ222" s="177"/>
    </row>
    <row r="223" spans="9:43">
      <c r="I223" s="205">
        <f t="shared" si="4"/>
        <v>128</v>
      </c>
      <c r="J223" s="167"/>
      <c r="K223" s="168"/>
      <c r="L223" s="168"/>
      <c r="M223" s="168"/>
      <c r="N223" s="168"/>
      <c r="O223" s="168"/>
      <c r="P223" s="168"/>
      <c r="Q223" s="169"/>
      <c r="AI223" s="173">
        <f t="shared" si="5"/>
        <v>128</v>
      </c>
      <c r="AJ223" s="168"/>
      <c r="AK223" s="168"/>
      <c r="AL223" s="168"/>
      <c r="AM223" s="168"/>
      <c r="AN223" s="168"/>
      <c r="AO223" s="168"/>
      <c r="AP223" s="168"/>
      <c r="AQ223" s="177"/>
    </row>
    <row r="224" spans="9:43">
      <c r="I224" s="205">
        <f t="shared" si="4"/>
        <v>127</v>
      </c>
      <c r="J224" s="167"/>
      <c r="K224" s="168"/>
      <c r="L224" s="168"/>
      <c r="M224" s="168"/>
      <c r="N224" s="168"/>
      <c r="O224" s="168"/>
      <c r="P224" s="168"/>
      <c r="Q224" s="169"/>
      <c r="AI224" s="173">
        <f t="shared" si="5"/>
        <v>127</v>
      </c>
      <c r="AJ224" s="168"/>
      <c r="AK224" s="168"/>
      <c r="AL224" s="168"/>
      <c r="AM224" s="168"/>
      <c r="AN224" s="168"/>
      <c r="AO224" s="168"/>
      <c r="AP224" s="168"/>
      <c r="AQ224" s="177"/>
    </row>
    <row r="225" spans="9:43">
      <c r="I225" s="205">
        <f t="shared" si="4"/>
        <v>126</v>
      </c>
      <c r="J225" s="167"/>
      <c r="K225" s="168"/>
      <c r="L225" s="168"/>
      <c r="M225" s="168"/>
      <c r="N225" s="168"/>
      <c r="O225" s="168"/>
      <c r="P225" s="168"/>
      <c r="Q225" s="169"/>
      <c r="AI225" s="173">
        <f t="shared" si="5"/>
        <v>126</v>
      </c>
      <c r="AJ225" s="168"/>
      <c r="AK225" s="168"/>
      <c r="AL225" s="168"/>
      <c r="AM225" s="168"/>
      <c r="AN225" s="168"/>
      <c r="AO225" s="168"/>
      <c r="AP225" s="168"/>
      <c r="AQ225" s="177"/>
    </row>
    <row r="226" spans="9:43">
      <c r="I226" s="205">
        <f t="shared" si="4"/>
        <v>125</v>
      </c>
      <c r="J226" s="167"/>
      <c r="K226" s="168"/>
      <c r="L226" s="168"/>
      <c r="M226" s="168"/>
      <c r="N226" s="168"/>
      <c r="O226" s="168"/>
      <c r="P226" s="168"/>
      <c r="Q226" s="169"/>
      <c r="AI226" s="173">
        <f t="shared" si="5"/>
        <v>125</v>
      </c>
      <c r="AJ226" s="168"/>
      <c r="AK226" s="168"/>
      <c r="AL226" s="168"/>
      <c r="AM226" s="168"/>
      <c r="AN226" s="168"/>
      <c r="AO226" s="168"/>
      <c r="AP226" s="168"/>
      <c r="AQ226" s="177"/>
    </row>
    <row r="227" spans="9:43">
      <c r="I227" s="205">
        <f t="shared" si="4"/>
        <v>124</v>
      </c>
      <c r="J227" s="167"/>
      <c r="K227" s="168"/>
      <c r="L227" s="168"/>
      <c r="M227" s="168"/>
      <c r="N227" s="168"/>
      <c r="O227" s="168"/>
      <c r="P227" s="168"/>
      <c r="Q227" s="169"/>
      <c r="AI227" s="173">
        <f t="shared" si="5"/>
        <v>124</v>
      </c>
      <c r="AJ227" s="168"/>
      <c r="AK227" s="168"/>
      <c r="AL227" s="168"/>
      <c r="AM227" s="168"/>
      <c r="AN227" s="168"/>
      <c r="AO227" s="168"/>
      <c r="AP227" s="168"/>
      <c r="AQ227" s="177"/>
    </row>
    <row r="228" spans="9:43">
      <c r="I228" s="205">
        <f t="shared" si="4"/>
        <v>123</v>
      </c>
      <c r="J228" s="167"/>
      <c r="K228" s="168"/>
      <c r="L228" s="168"/>
      <c r="M228" s="168"/>
      <c r="N228" s="168"/>
      <c r="O228" s="168"/>
      <c r="P228" s="168"/>
      <c r="Q228" s="169"/>
      <c r="AI228" s="173">
        <f t="shared" si="5"/>
        <v>123</v>
      </c>
      <c r="AJ228" s="168"/>
      <c r="AK228" s="168"/>
      <c r="AL228" s="168"/>
      <c r="AM228" s="168"/>
      <c r="AN228" s="168"/>
      <c r="AO228" s="168"/>
      <c r="AP228" s="168"/>
      <c r="AQ228" s="177"/>
    </row>
    <row r="229" spans="9:43">
      <c r="I229" s="205">
        <f t="shared" si="4"/>
        <v>122</v>
      </c>
      <c r="J229" s="167"/>
      <c r="K229" s="168"/>
      <c r="L229" s="168"/>
      <c r="M229" s="168"/>
      <c r="N229" s="168"/>
      <c r="O229" s="168"/>
      <c r="P229" s="168"/>
      <c r="Q229" s="169"/>
      <c r="AI229" s="173">
        <f t="shared" si="5"/>
        <v>122</v>
      </c>
      <c r="AJ229" s="168"/>
      <c r="AK229" s="168"/>
      <c r="AL229" s="168"/>
      <c r="AM229" s="168"/>
      <c r="AN229" s="168"/>
      <c r="AO229" s="168"/>
      <c r="AP229" s="168"/>
      <c r="AQ229" s="177"/>
    </row>
    <row r="230" spans="9:43">
      <c r="I230" s="205">
        <f t="shared" si="4"/>
        <v>121</v>
      </c>
      <c r="J230" s="167"/>
      <c r="K230" s="168"/>
      <c r="L230" s="168"/>
      <c r="M230" s="168"/>
      <c r="N230" s="168"/>
      <c r="O230" s="168"/>
      <c r="P230" s="168"/>
      <c r="Q230" s="169"/>
      <c r="AI230" s="173">
        <f t="shared" si="5"/>
        <v>121</v>
      </c>
      <c r="AJ230" s="168"/>
      <c r="AK230" s="168"/>
      <c r="AL230" s="168"/>
      <c r="AM230" s="168"/>
      <c r="AN230" s="168"/>
      <c r="AO230" s="168"/>
      <c r="AP230" s="168"/>
      <c r="AQ230" s="177"/>
    </row>
    <row r="231" spans="9:43">
      <c r="I231" s="205">
        <f t="shared" si="4"/>
        <v>120</v>
      </c>
      <c r="J231" s="167"/>
      <c r="K231" s="168"/>
      <c r="L231" s="168"/>
      <c r="M231" s="168"/>
      <c r="N231" s="168"/>
      <c r="O231" s="168"/>
      <c r="P231" s="168"/>
      <c r="Q231" s="169"/>
      <c r="AI231" s="173">
        <f t="shared" si="5"/>
        <v>120</v>
      </c>
      <c r="AJ231" s="168"/>
      <c r="AK231" s="168"/>
      <c r="AL231" s="168"/>
      <c r="AM231" s="168"/>
      <c r="AN231" s="168"/>
      <c r="AO231" s="168"/>
      <c r="AP231" s="168"/>
      <c r="AQ231" s="177"/>
    </row>
    <row r="232" spans="9:43">
      <c r="I232" s="205">
        <f t="shared" si="4"/>
        <v>119</v>
      </c>
      <c r="J232" s="167"/>
      <c r="K232" s="168"/>
      <c r="L232" s="168"/>
      <c r="M232" s="168"/>
      <c r="N232" s="168"/>
      <c r="O232" s="168"/>
      <c r="P232" s="168"/>
      <c r="Q232" s="169"/>
      <c r="AI232" s="173">
        <f t="shared" si="5"/>
        <v>119</v>
      </c>
      <c r="AJ232" s="168"/>
      <c r="AK232" s="168"/>
      <c r="AL232" s="168"/>
      <c r="AM232" s="168"/>
      <c r="AN232" s="168"/>
      <c r="AO232" s="168"/>
      <c r="AP232" s="168"/>
      <c r="AQ232" s="177"/>
    </row>
    <row r="233" spans="9:43">
      <c r="I233" s="205">
        <f t="shared" si="4"/>
        <v>118</v>
      </c>
      <c r="J233" s="167"/>
      <c r="K233" s="168"/>
      <c r="L233" s="168"/>
      <c r="M233" s="168"/>
      <c r="N233" s="168"/>
      <c r="O233" s="168"/>
      <c r="P233" s="168"/>
      <c r="Q233" s="169"/>
      <c r="AI233" s="173">
        <f t="shared" si="5"/>
        <v>118</v>
      </c>
      <c r="AJ233" s="168"/>
      <c r="AK233" s="168"/>
      <c r="AL233" s="168"/>
      <c r="AM233" s="168"/>
      <c r="AN233" s="168"/>
      <c r="AO233" s="168"/>
      <c r="AP233" s="168"/>
      <c r="AQ233" s="177"/>
    </row>
    <row r="234" spans="9:43">
      <c r="I234" s="205">
        <f t="shared" si="4"/>
        <v>117</v>
      </c>
      <c r="J234" s="167"/>
      <c r="K234" s="168"/>
      <c r="L234" s="168"/>
      <c r="M234" s="168"/>
      <c r="N234" s="168"/>
      <c r="O234" s="168"/>
      <c r="P234" s="168"/>
      <c r="Q234" s="169"/>
      <c r="AI234" s="173">
        <f t="shared" si="5"/>
        <v>117</v>
      </c>
      <c r="AJ234" s="168"/>
      <c r="AK234" s="168"/>
      <c r="AL234" s="168"/>
      <c r="AM234" s="168"/>
      <c r="AN234" s="168"/>
      <c r="AO234" s="168"/>
      <c r="AP234" s="168"/>
      <c r="AQ234" s="177"/>
    </row>
    <row r="235" spans="9:43">
      <c r="I235" s="205">
        <f t="shared" si="4"/>
        <v>116</v>
      </c>
      <c r="J235" s="167"/>
      <c r="K235" s="168"/>
      <c r="L235" s="168"/>
      <c r="M235" s="168"/>
      <c r="N235" s="168"/>
      <c r="O235" s="168"/>
      <c r="P235" s="168"/>
      <c r="Q235" s="169"/>
      <c r="AI235" s="173">
        <f t="shared" si="5"/>
        <v>116</v>
      </c>
      <c r="AJ235" s="168"/>
      <c r="AK235" s="168"/>
      <c r="AL235" s="168"/>
      <c r="AM235" s="168"/>
      <c r="AN235" s="168"/>
      <c r="AO235" s="168"/>
      <c r="AP235" s="168"/>
      <c r="AQ235" s="177"/>
    </row>
    <row r="236" spans="9:43">
      <c r="I236" s="205">
        <f t="shared" si="4"/>
        <v>115</v>
      </c>
      <c r="J236" s="167"/>
      <c r="K236" s="168"/>
      <c r="L236" s="168"/>
      <c r="M236" s="168"/>
      <c r="N236" s="168"/>
      <c r="O236" s="168"/>
      <c r="P236" s="168"/>
      <c r="Q236" s="169"/>
      <c r="AI236" s="173">
        <f t="shared" si="5"/>
        <v>115</v>
      </c>
      <c r="AJ236" s="168"/>
      <c r="AK236" s="168"/>
      <c r="AL236" s="168"/>
      <c r="AM236" s="168"/>
      <c r="AN236" s="168"/>
      <c r="AO236" s="168"/>
      <c r="AP236" s="168"/>
      <c r="AQ236" s="177"/>
    </row>
    <row r="237" spans="9:43">
      <c r="I237" s="205">
        <f t="shared" ref="I237:I291" si="6">I236-1</f>
        <v>114</v>
      </c>
      <c r="J237" s="167"/>
      <c r="K237" s="168"/>
      <c r="L237" s="168"/>
      <c r="M237" s="168"/>
      <c r="N237" s="168"/>
      <c r="O237" s="168"/>
      <c r="P237" s="168"/>
      <c r="Q237" s="169"/>
      <c r="AI237" s="173">
        <f t="shared" ref="AI237:AI291" si="7">AI236-1</f>
        <v>114</v>
      </c>
      <c r="AJ237" s="168"/>
      <c r="AK237" s="168"/>
      <c r="AL237" s="168"/>
      <c r="AM237" s="168"/>
      <c r="AN237" s="168"/>
      <c r="AO237" s="168"/>
      <c r="AP237" s="168"/>
      <c r="AQ237" s="177"/>
    </row>
    <row r="238" spans="9:43">
      <c r="I238" s="205">
        <f t="shared" si="6"/>
        <v>113</v>
      </c>
      <c r="J238" s="167"/>
      <c r="K238" s="168"/>
      <c r="L238" s="168"/>
      <c r="M238" s="168"/>
      <c r="N238" s="168"/>
      <c r="O238" s="168"/>
      <c r="P238" s="168"/>
      <c r="Q238" s="169"/>
      <c r="AI238" s="173">
        <f t="shared" si="7"/>
        <v>113</v>
      </c>
      <c r="AJ238" s="168"/>
      <c r="AK238" s="168"/>
      <c r="AL238" s="168"/>
      <c r="AM238" s="168"/>
      <c r="AN238" s="168"/>
      <c r="AO238" s="168"/>
      <c r="AP238" s="168"/>
      <c r="AQ238" s="177"/>
    </row>
    <row r="239" spans="9:43">
      <c r="I239" s="205">
        <f t="shared" si="6"/>
        <v>112</v>
      </c>
      <c r="J239" s="167"/>
      <c r="K239" s="168"/>
      <c r="L239" s="168"/>
      <c r="M239" s="168"/>
      <c r="N239" s="168"/>
      <c r="O239" s="168"/>
      <c r="P239" s="168"/>
      <c r="Q239" s="169"/>
      <c r="AI239" s="173">
        <f t="shared" si="7"/>
        <v>112</v>
      </c>
      <c r="AJ239" s="168"/>
      <c r="AK239" s="168"/>
      <c r="AL239" s="168"/>
      <c r="AM239" s="168"/>
      <c r="AN239" s="168"/>
      <c r="AO239" s="168"/>
      <c r="AP239" s="168"/>
      <c r="AQ239" s="177"/>
    </row>
    <row r="240" spans="9:43">
      <c r="I240" s="205">
        <f t="shared" si="6"/>
        <v>111</v>
      </c>
      <c r="J240" s="167"/>
      <c r="K240" s="168"/>
      <c r="L240" s="168"/>
      <c r="M240" s="168"/>
      <c r="N240" s="168"/>
      <c r="O240" s="168"/>
      <c r="P240" s="168"/>
      <c r="Q240" s="169"/>
      <c r="AI240" s="173">
        <f t="shared" si="7"/>
        <v>111</v>
      </c>
      <c r="AJ240" s="168"/>
      <c r="AK240" s="168"/>
      <c r="AL240" s="168"/>
      <c r="AM240" s="168"/>
      <c r="AN240" s="168"/>
      <c r="AO240" s="168"/>
      <c r="AP240" s="168"/>
      <c r="AQ240" s="177"/>
    </row>
    <row r="241" spans="9:43">
      <c r="I241" s="205">
        <f t="shared" si="6"/>
        <v>110</v>
      </c>
      <c r="J241" s="167"/>
      <c r="K241" s="168"/>
      <c r="L241" s="168"/>
      <c r="M241" s="168"/>
      <c r="N241" s="168"/>
      <c r="O241" s="168"/>
      <c r="P241" s="168"/>
      <c r="Q241" s="169"/>
      <c r="AI241" s="173">
        <f t="shared" si="7"/>
        <v>110</v>
      </c>
      <c r="AJ241" s="168"/>
      <c r="AK241" s="168"/>
      <c r="AL241" s="168"/>
      <c r="AM241" s="168"/>
      <c r="AN241" s="168"/>
      <c r="AO241" s="168"/>
      <c r="AP241" s="168"/>
      <c r="AQ241" s="177"/>
    </row>
    <row r="242" spans="9:43">
      <c r="I242" s="205">
        <f t="shared" si="6"/>
        <v>109</v>
      </c>
      <c r="J242" s="167"/>
      <c r="K242" s="168"/>
      <c r="L242" s="168"/>
      <c r="M242" s="168"/>
      <c r="N242" s="168"/>
      <c r="O242" s="168"/>
      <c r="P242" s="168"/>
      <c r="Q242" s="169"/>
      <c r="AI242" s="173">
        <f t="shared" si="7"/>
        <v>109</v>
      </c>
      <c r="AJ242" s="168"/>
      <c r="AK242" s="168"/>
      <c r="AL242" s="168"/>
      <c r="AM242" s="168"/>
      <c r="AN242" s="168"/>
      <c r="AO242" s="168"/>
      <c r="AP242" s="168"/>
      <c r="AQ242" s="177"/>
    </row>
    <row r="243" spans="9:43">
      <c r="I243" s="205">
        <f t="shared" si="6"/>
        <v>108</v>
      </c>
      <c r="J243" s="167"/>
      <c r="K243" s="168"/>
      <c r="L243" s="168"/>
      <c r="M243" s="168"/>
      <c r="N243" s="168"/>
      <c r="O243" s="168"/>
      <c r="P243" s="168"/>
      <c r="Q243" s="169"/>
      <c r="AI243" s="173">
        <f t="shared" si="7"/>
        <v>108</v>
      </c>
      <c r="AJ243" s="168"/>
      <c r="AK243" s="168"/>
      <c r="AL243" s="168"/>
      <c r="AM243" s="168"/>
      <c r="AN243" s="168"/>
      <c r="AO243" s="168"/>
      <c r="AP243" s="168"/>
      <c r="AQ243" s="177"/>
    </row>
    <row r="244" spans="9:43">
      <c r="I244" s="205">
        <f t="shared" si="6"/>
        <v>107</v>
      </c>
      <c r="J244" s="167"/>
      <c r="K244" s="168"/>
      <c r="L244" s="168"/>
      <c r="M244" s="168"/>
      <c r="N244" s="168"/>
      <c r="O244" s="168"/>
      <c r="P244" s="168"/>
      <c r="Q244" s="169"/>
      <c r="AI244" s="173">
        <f t="shared" si="7"/>
        <v>107</v>
      </c>
      <c r="AJ244" s="168"/>
      <c r="AK244" s="168"/>
      <c r="AL244" s="168"/>
      <c r="AM244" s="168"/>
      <c r="AN244" s="168"/>
      <c r="AO244" s="168"/>
      <c r="AP244" s="168"/>
      <c r="AQ244" s="177"/>
    </row>
    <row r="245" spans="9:43">
      <c r="I245" s="205">
        <f t="shared" si="6"/>
        <v>106</v>
      </c>
      <c r="J245" s="167"/>
      <c r="K245" s="168"/>
      <c r="L245" s="168"/>
      <c r="M245" s="168"/>
      <c r="N245" s="168"/>
      <c r="O245" s="168"/>
      <c r="P245" s="168"/>
      <c r="Q245" s="169"/>
      <c r="AI245" s="173">
        <f t="shared" si="7"/>
        <v>106</v>
      </c>
      <c r="AJ245" s="168"/>
      <c r="AK245" s="168"/>
      <c r="AL245" s="168"/>
      <c r="AM245" s="168"/>
      <c r="AN245" s="168"/>
      <c r="AO245" s="168"/>
      <c r="AP245" s="168"/>
      <c r="AQ245" s="177"/>
    </row>
    <row r="246" spans="9:43">
      <c r="I246" s="205">
        <f t="shared" si="6"/>
        <v>105</v>
      </c>
      <c r="J246" s="167"/>
      <c r="K246" s="168"/>
      <c r="L246" s="168"/>
      <c r="M246" s="168"/>
      <c r="N246" s="168"/>
      <c r="O246" s="168"/>
      <c r="P246" s="168"/>
      <c r="Q246" s="169"/>
      <c r="AI246" s="173">
        <f t="shared" si="7"/>
        <v>105</v>
      </c>
      <c r="AJ246" s="168"/>
      <c r="AK246" s="168"/>
      <c r="AL246" s="168"/>
      <c r="AM246" s="168"/>
      <c r="AN246" s="168"/>
      <c r="AO246" s="168"/>
      <c r="AP246" s="168"/>
      <c r="AQ246" s="177"/>
    </row>
    <row r="247" spans="9:43">
      <c r="I247" s="205">
        <f t="shared" si="6"/>
        <v>104</v>
      </c>
      <c r="J247" s="167"/>
      <c r="K247" s="168"/>
      <c r="L247" s="168"/>
      <c r="M247" s="168"/>
      <c r="N247" s="168"/>
      <c r="O247" s="168"/>
      <c r="P247" s="168"/>
      <c r="Q247" s="169"/>
      <c r="AI247" s="173">
        <f t="shared" si="7"/>
        <v>104</v>
      </c>
      <c r="AJ247" s="168"/>
      <c r="AK247" s="168"/>
      <c r="AL247" s="168"/>
      <c r="AM247" s="168"/>
      <c r="AN247" s="168"/>
      <c r="AO247" s="168"/>
      <c r="AP247" s="168"/>
      <c r="AQ247" s="177"/>
    </row>
    <row r="248" spans="9:43">
      <c r="I248" s="205">
        <f t="shared" si="6"/>
        <v>103</v>
      </c>
      <c r="J248" s="167"/>
      <c r="K248" s="168"/>
      <c r="L248" s="168"/>
      <c r="M248" s="168"/>
      <c r="N248" s="168"/>
      <c r="O248" s="168"/>
      <c r="P248" s="168"/>
      <c r="Q248" s="169"/>
      <c r="AI248" s="173">
        <f t="shared" si="7"/>
        <v>103</v>
      </c>
      <c r="AJ248" s="168"/>
      <c r="AK248" s="168"/>
      <c r="AL248" s="168"/>
      <c r="AM248" s="168"/>
      <c r="AN248" s="168"/>
      <c r="AO248" s="168"/>
      <c r="AP248" s="168"/>
      <c r="AQ248" s="177"/>
    </row>
    <row r="249" spans="9:43">
      <c r="I249" s="205">
        <f t="shared" si="6"/>
        <v>102</v>
      </c>
      <c r="J249" s="167"/>
      <c r="K249" s="168"/>
      <c r="L249" s="168"/>
      <c r="M249" s="168"/>
      <c r="N249" s="168"/>
      <c r="O249" s="168"/>
      <c r="P249" s="168"/>
      <c r="Q249" s="169"/>
      <c r="AI249" s="173">
        <f t="shared" si="7"/>
        <v>102</v>
      </c>
      <c r="AJ249" s="168"/>
      <c r="AK249" s="168"/>
      <c r="AL249" s="168"/>
      <c r="AM249" s="168"/>
      <c r="AN249" s="168"/>
      <c r="AO249" s="168"/>
      <c r="AP249" s="168"/>
      <c r="AQ249" s="177"/>
    </row>
    <row r="250" spans="9:43">
      <c r="I250" s="205">
        <f t="shared" si="6"/>
        <v>101</v>
      </c>
      <c r="J250" s="167"/>
      <c r="K250" s="168"/>
      <c r="L250" s="168"/>
      <c r="M250" s="168"/>
      <c r="N250" s="168"/>
      <c r="O250" s="168"/>
      <c r="P250" s="168"/>
      <c r="Q250" s="169"/>
      <c r="AI250" s="173">
        <f t="shared" si="7"/>
        <v>101</v>
      </c>
      <c r="AJ250" s="168"/>
      <c r="AK250" s="168"/>
      <c r="AL250" s="168"/>
      <c r="AM250" s="168"/>
      <c r="AN250" s="168"/>
      <c r="AO250" s="168"/>
      <c r="AP250" s="168"/>
      <c r="AQ250" s="177"/>
    </row>
    <row r="251" spans="9:43">
      <c r="I251" s="205">
        <f t="shared" si="6"/>
        <v>100</v>
      </c>
      <c r="J251" s="167"/>
      <c r="K251" s="168"/>
      <c r="L251" s="168"/>
      <c r="M251" s="168"/>
      <c r="N251" s="168"/>
      <c r="O251" s="168"/>
      <c r="P251" s="168"/>
      <c r="Q251" s="169"/>
      <c r="AI251" s="173">
        <f t="shared" si="7"/>
        <v>100</v>
      </c>
      <c r="AJ251" s="168"/>
      <c r="AK251" s="168"/>
      <c r="AL251" s="168"/>
      <c r="AM251" s="168"/>
      <c r="AN251" s="168"/>
      <c r="AO251" s="168"/>
      <c r="AP251" s="168"/>
      <c r="AQ251" s="177"/>
    </row>
    <row r="252" spans="9:43">
      <c r="I252" s="205">
        <f t="shared" si="6"/>
        <v>99</v>
      </c>
      <c r="J252" s="167"/>
      <c r="K252" s="168"/>
      <c r="L252" s="168"/>
      <c r="M252" s="168"/>
      <c r="N252" s="168"/>
      <c r="O252" s="168"/>
      <c r="P252" s="168"/>
      <c r="Q252" s="169"/>
      <c r="AI252" s="173">
        <f t="shared" si="7"/>
        <v>99</v>
      </c>
      <c r="AJ252" s="168"/>
      <c r="AK252" s="168"/>
      <c r="AL252" s="168"/>
      <c r="AM252" s="168"/>
      <c r="AN252" s="168"/>
      <c r="AO252" s="168"/>
      <c r="AP252" s="168"/>
      <c r="AQ252" s="177"/>
    </row>
    <row r="253" spans="9:43">
      <c r="I253" s="205">
        <f t="shared" si="6"/>
        <v>98</v>
      </c>
      <c r="J253" s="167"/>
      <c r="K253" s="168"/>
      <c r="L253" s="168"/>
      <c r="M253" s="168"/>
      <c r="N253" s="168"/>
      <c r="O253" s="168"/>
      <c r="P253" s="168"/>
      <c r="Q253" s="169"/>
      <c r="AI253" s="173">
        <f t="shared" si="7"/>
        <v>98</v>
      </c>
      <c r="AJ253" s="168"/>
      <c r="AK253" s="168"/>
      <c r="AL253" s="168"/>
      <c r="AM253" s="168"/>
      <c r="AN253" s="168"/>
      <c r="AO253" s="168"/>
      <c r="AP253" s="168"/>
      <c r="AQ253" s="177"/>
    </row>
    <row r="254" spans="9:43">
      <c r="I254" s="205">
        <f t="shared" si="6"/>
        <v>97</v>
      </c>
      <c r="J254" s="167"/>
      <c r="K254" s="168"/>
      <c r="L254" s="168"/>
      <c r="M254" s="168"/>
      <c r="N254" s="168"/>
      <c r="O254" s="168"/>
      <c r="P254" s="168"/>
      <c r="Q254" s="169"/>
      <c r="AI254" s="173">
        <f t="shared" si="7"/>
        <v>97</v>
      </c>
      <c r="AJ254" s="168"/>
      <c r="AK254" s="168"/>
      <c r="AL254" s="168"/>
      <c r="AM254" s="168"/>
      <c r="AN254" s="168"/>
      <c r="AO254" s="168"/>
      <c r="AP254" s="168"/>
      <c r="AQ254" s="177"/>
    </row>
    <row r="255" spans="9:43">
      <c r="I255" s="205">
        <f t="shared" si="6"/>
        <v>96</v>
      </c>
      <c r="J255" s="167"/>
      <c r="K255" s="168"/>
      <c r="L255" s="168"/>
      <c r="M255" s="168"/>
      <c r="N255" s="168"/>
      <c r="O255" s="168"/>
      <c r="P255" s="168"/>
      <c r="Q255" s="169"/>
      <c r="AI255" s="173">
        <f t="shared" si="7"/>
        <v>96</v>
      </c>
      <c r="AJ255" s="168"/>
      <c r="AK255" s="168"/>
      <c r="AL255" s="168"/>
      <c r="AM255" s="168"/>
      <c r="AN255" s="168"/>
      <c r="AO255" s="168"/>
      <c r="AP255" s="168"/>
      <c r="AQ255" s="177"/>
    </row>
    <row r="256" spans="9:43">
      <c r="I256" s="205">
        <f t="shared" si="6"/>
        <v>95</v>
      </c>
      <c r="J256" s="167"/>
      <c r="K256" s="168"/>
      <c r="L256" s="168"/>
      <c r="M256" s="168"/>
      <c r="N256" s="168"/>
      <c r="O256" s="168"/>
      <c r="P256" s="168"/>
      <c r="Q256" s="169"/>
      <c r="AI256" s="173">
        <f t="shared" si="7"/>
        <v>95</v>
      </c>
      <c r="AJ256" s="168"/>
      <c r="AK256" s="168"/>
      <c r="AL256" s="168"/>
      <c r="AM256" s="168"/>
      <c r="AN256" s="168"/>
      <c r="AO256" s="168"/>
      <c r="AP256" s="168"/>
      <c r="AQ256" s="177"/>
    </row>
    <row r="257" spans="9:43">
      <c r="I257" s="205">
        <f t="shared" si="6"/>
        <v>94</v>
      </c>
      <c r="J257" s="167"/>
      <c r="K257" s="168"/>
      <c r="L257" s="168"/>
      <c r="M257" s="168"/>
      <c r="N257" s="168"/>
      <c r="O257" s="168"/>
      <c r="P257" s="168"/>
      <c r="Q257" s="169"/>
      <c r="AI257" s="173">
        <f t="shared" si="7"/>
        <v>94</v>
      </c>
      <c r="AJ257" s="168"/>
      <c r="AK257" s="168"/>
      <c r="AL257" s="168"/>
      <c r="AM257" s="168"/>
      <c r="AN257" s="168"/>
      <c r="AO257" s="168"/>
      <c r="AP257" s="168"/>
      <c r="AQ257" s="177"/>
    </row>
    <row r="258" spans="9:43">
      <c r="I258" s="205">
        <f t="shared" si="6"/>
        <v>93</v>
      </c>
      <c r="J258" s="167"/>
      <c r="K258" s="168"/>
      <c r="L258" s="168"/>
      <c r="M258" s="168"/>
      <c r="N258" s="168"/>
      <c r="O258" s="168"/>
      <c r="P258" s="168"/>
      <c r="Q258" s="169"/>
      <c r="AI258" s="173">
        <f t="shared" si="7"/>
        <v>93</v>
      </c>
      <c r="AJ258" s="168"/>
      <c r="AK258" s="168"/>
      <c r="AL258" s="168"/>
      <c r="AM258" s="168"/>
      <c r="AN258" s="168"/>
      <c r="AO258" s="168"/>
      <c r="AP258" s="168"/>
      <c r="AQ258" s="177"/>
    </row>
    <row r="259" spans="9:43">
      <c r="I259" s="205">
        <f t="shared" si="6"/>
        <v>92</v>
      </c>
      <c r="J259" s="167"/>
      <c r="K259" s="168"/>
      <c r="L259" s="168"/>
      <c r="M259" s="168"/>
      <c r="N259" s="168"/>
      <c r="O259" s="168"/>
      <c r="P259" s="168"/>
      <c r="Q259" s="169"/>
      <c r="AI259" s="173">
        <f t="shared" si="7"/>
        <v>92</v>
      </c>
      <c r="AJ259" s="168"/>
      <c r="AK259" s="168"/>
      <c r="AL259" s="168"/>
      <c r="AM259" s="168"/>
      <c r="AN259" s="168"/>
      <c r="AO259" s="168"/>
      <c r="AP259" s="168"/>
      <c r="AQ259" s="177"/>
    </row>
    <row r="260" spans="9:43">
      <c r="I260" s="205">
        <f t="shared" si="6"/>
        <v>91</v>
      </c>
      <c r="J260" s="167"/>
      <c r="K260" s="168"/>
      <c r="L260" s="168"/>
      <c r="M260" s="168"/>
      <c r="N260" s="168"/>
      <c r="O260" s="168"/>
      <c r="P260" s="168"/>
      <c r="Q260" s="169"/>
      <c r="AI260" s="173">
        <f t="shared" si="7"/>
        <v>91</v>
      </c>
      <c r="AJ260" s="168"/>
      <c r="AK260" s="168"/>
      <c r="AL260" s="168"/>
      <c r="AM260" s="168"/>
      <c r="AN260" s="168"/>
      <c r="AO260" s="168"/>
      <c r="AP260" s="168"/>
      <c r="AQ260" s="177"/>
    </row>
    <row r="261" spans="9:43">
      <c r="I261" s="205">
        <f t="shared" si="6"/>
        <v>90</v>
      </c>
      <c r="J261" s="167"/>
      <c r="K261" s="168"/>
      <c r="L261" s="168"/>
      <c r="M261" s="168"/>
      <c r="N261" s="168"/>
      <c r="O261" s="168"/>
      <c r="P261" s="168"/>
      <c r="Q261" s="169"/>
      <c r="AI261" s="173">
        <f t="shared" si="7"/>
        <v>90</v>
      </c>
      <c r="AJ261" s="168"/>
      <c r="AK261" s="168"/>
      <c r="AL261" s="168"/>
      <c r="AM261" s="168"/>
      <c r="AN261" s="168"/>
      <c r="AO261" s="168"/>
      <c r="AP261" s="168"/>
      <c r="AQ261" s="177"/>
    </row>
    <row r="262" spans="9:43">
      <c r="I262" s="205">
        <f t="shared" si="6"/>
        <v>89</v>
      </c>
      <c r="J262" s="167"/>
      <c r="K262" s="168"/>
      <c r="L262" s="168"/>
      <c r="M262" s="168"/>
      <c r="N262" s="168"/>
      <c r="O262" s="168"/>
      <c r="P262" s="168"/>
      <c r="Q262" s="169"/>
      <c r="AI262" s="173">
        <f t="shared" si="7"/>
        <v>89</v>
      </c>
      <c r="AJ262" s="168"/>
      <c r="AK262" s="168"/>
      <c r="AL262" s="168"/>
      <c r="AM262" s="168"/>
      <c r="AN262" s="168"/>
      <c r="AO262" s="168"/>
      <c r="AP262" s="168"/>
      <c r="AQ262" s="177"/>
    </row>
    <row r="263" spans="9:43">
      <c r="I263" s="205">
        <f t="shared" si="6"/>
        <v>88</v>
      </c>
      <c r="J263" s="167"/>
      <c r="K263" s="168"/>
      <c r="L263" s="168"/>
      <c r="M263" s="168"/>
      <c r="N263" s="168"/>
      <c r="O263" s="168"/>
      <c r="P263" s="168"/>
      <c r="Q263" s="169"/>
      <c r="AI263" s="173">
        <f t="shared" si="7"/>
        <v>88</v>
      </c>
      <c r="AJ263" s="168"/>
      <c r="AK263" s="168"/>
      <c r="AL263" s="168"/>
      <c r="AM263" s="168"/>
      <c r="AN263" s="168"/>
      <c r="AO263" s="168"/>
      <c r="AP263" s="168"/>
      <c r="AQ263" s="177"/>
    </row>
    <row r="264" spans="9:43">
      <c r="I264" s="205">
        <f t="shared" si="6"/>
        <v>87</v>
      </c>
      <c r="J264" s="167"/>
      <c r="K264" s="168"/>
      <c r="L264" s="168"/>
      <c r="M264" s="168"/>
      <c r="N264" s="168"/>
      <c r="O264" s="168"/>
      <c r="P264" s="168"/>
      <c r="Q264" s="169"/>
      <c r="AI264" s="173">
        <f t="shared" si="7"/>
        <v>87</v>
      </c>
      <c r="AJ264" s="168"/>
      <c r="AK264" s="168"/>
      <c r="AL264" s="168"/>
      <c r="AM264" s="168"/>
      <c r="AN264" s="168"/>
      <c r="AO264" s="168"/>
      <c r="AP264" s="168"/>
      <c r="AQ264" s="177"/>
    </row>
    <row r="265" spans="9:43">
      <c r="I265" s="205">
        <f t="shared" si="6"/>
        <v>86</v>
      </c>
      <c r="J265" s="167"/>
      <c r="K265" s="168"/>
      <c r="L265" s="168"/>
      <c r="M265" s="168"/>
      <c r="N265" s="168"/>
      <c r="O265" s="168"/>
      <c r="P265" s="168"/>
      <c r="Q265" s="169"/>
      <c r="AI265" s="173">
        <f t="shared" si="7"/>
        <v>86</v>
      </c>
      <c r="AJ265" s="168"/>
      <c r="AK265" s="168"/>
      <c r="AL265" s="168"/>
      <c r="AM265" s="168"/>
      <c r="AN265" s="168"/>
      <c r="AO265" s="168"/>
      <c r="AP265" s="168"/>
      <c r="AQ265" s="177"/>
    </row>
    <row r="266" spans="9:43">
      <c r="I266" s="205">
        <f t="shared" si="6"/>
        <v>85</v>
      </c>
      <c r="J266" s="167"/>
      <c r="K266" s="168"/>
      <c r="L266" s="168"/>
      <c r="M266" s="168"/>
      <c r="N266" s="168"/>
      <c r="O266" s="168"/>
      <c r="P266" s="168"/>
      <c r="Q266" s="169"/>
      <c r="AI266" s="173">
        <f t="shared" si="7"/>
        <v>85</v>
      </c>
      <c r="AJ266" s="168"/>
      <c r="AK266" s="168"/>
      <c r="AL266" s="168"/>
      <c r="AM266" s="168"/>
      <c r="AN266" s="168"/>
      <c r="AO266" s="168"/>
      <c r="AP266" s="168"/>
      <c r="AQ266" s="177"/>
    </row>
    <row r="267" spans="9:43">
      <c r="I267" s="205">
        <f t="shared" si="6"/>
        <v>84</v>
      </c>
      <c r="J267" s="167"/>
      <c r="K267" s="168"/>
      <c r="L267" s="168"/>
      <c r="M267" s="168"/>
      <c r="N267" s="168"/>
      <c r="O267" s="168"/>
      <c r="P267" s="168"/>
      <c r="Q267" s="169"/>
      <c r="AI267" s="173">
        <f t="shared" si="7"/>
        <v>84</v>
      </c>
      <c r="AJ267" s="168"/>
      <c r="AK267" s="168"/>
      <c r="AL267" s="168"/>
      <c r="AM267" s="168"/>
      <c r="AN267" s="168"/>
      <c r="AO267" s="168"/>
      <c r="AP267" s="168"/>
      <c r="AQ267" s="177"/>
    </row>
    <row r="268" spans="9:43">
      <c r="I268" s="205">
        <f t="shared" si="6"/>
        <v>83</v>
      </c>
      <c r="J268" s="167"/>
      <c r="K268" s="168"/>
      <c r="L268" s="168"/>
      <c r="M268" s="168"/>
      <c r="N268" s="168"/>
      <c r="O268" s="168"/>
      <c r="P268" s="168"/>
      <c r="Q268" s="169"/>
      <c r="AI268" s="173">
        <f t="shared" si="7"/>
        <v>83</v>
      </c>
      <c r="AJ268" s="168"/>
      <c r="AK268" s="168"/>
      <c r="AL268" s="168"/>
      <c r="AM268" s="168"/>
      <c r="AN268" s="168"/>
      <c r="AO268" s="168"/>
      <c r="AP268" s="168"/>
      <c r="AQ268" s="177"/>
    </row>
    <row r="269" spans="9:43">
      <c r="I269" s="205">
        <f t="shared" si="6"/>
        <v>82</v>
      </c>
      <c r="J269" s="167"/>
      <c r="K269" s="168"/>
      <c r="L269" s="168"/>
      <c r="M269" s="168"/>
      <c r="N269" s="168"/>
      <c r="O269" s="168"/>
      <c r="P269" s="168"/>
      <c r="Q269" s="169"/>
      <c r="AI269" s="173">
        <f t="shared" si="7"/>
        <v>82</v>
      </c>
      <c r="AJ269" s="168"/>
      <c r="AK269" s="168"/>
      <c r="AL269" s="168"/>
      <c r="AM269" s="168"/>
      <c r="AN269" s="168"/>
      <c r="AO269" s="168"/>
      <c r="AP269" s="168"/>
      <c r="AQ269" s="177"/>
    </row>
    <row r="270" spans="9:43">
      <c r="I270" s="205">
        <f t="shared" si="6"/>
        <v>81</v>
      </c>
      <c r="J270" s="167"/>
      <c r="K270" s="168"/>
      <c r="L270" s="168"/>
      <c r="M270" s="168"/>
      <c r="N270" s="168"/>
      <c r="O270" s="168"/>
      <c r="P270" s="168"/>
      <c r="Q270" s="169"/>
      <c r="AI270" s="173">
        <f t="shared" si="7"/>
        <v>81</v>
      </c>
      <c r="AJ270" s="168"/>
      <c r="AK270" s="168"/>
      <c r="AL270" s="168"/>
      <c r="AM270" s="168"/>
      <c r="AN270" s="168"/>
      <c r="AO270" s="168"/>
      <c r="AP270" s="168"/>
      <c r="AQ270" s="177"/>
    </row>
    <row r="271" spans="9:43">
      <c r="I271" s="205">
        <f t="shared" si="6"/>
        <v>80</v>
      </c>
      <c r="J271" s="167"/>
      <c r="K271" s="168"/>
      <c r="L271" s="168"/>
      <c r="M271" s="168"/>
      <c r="N271" s="168"/>
      <c r="O271" s="168"/>
      <c r="P271" s="168"/>
      <c r="Q271" s="169"/>
      <c r="AI271" s="173">
        <f t="shared" si="7"/>
        <v>80</v>
      </c>
      <c r="AJ271" s="168"/>
      <c r="AK271" s="168"/>
      <c r="AL271" s="168"/>
      <c r="AM271" s="168"/>
      <c r="AN271" s="168"/>
      <c r="AO271" s="168"/>
      <c r="AP271" s="168"/>
      <c r="AQ271" s="177"/>
    </row>
    <row r="272" spans="9:43">
      <c r="I272" s="205">
        <f t="shared" si="6"/>
        <v>79</v>
      </c>
      <c r="J272" s="167"/>
      <c r="K272" s="168"/>
      <c r="L272" s="168"/>
      <c r="M272" s="168"/>
      <c r="N272" s="168"/>
      <c r="O272" s="168"/>
      <c r="P272" s="168"/>
      <c r="Q272" s="169"/>
      <c r="AI272" s="173">
        <f t="shared" si="7"/>
        <v>79</v>
      </c>
      <c r="AJ272" s="168"/>
      <c r="AK272" s="168"/>
      <c r="AL272" s="168"/>
      <c r="AM272" s="168"/>
      <c r="AN272" s="168"/>
      <c r="AO272" s="168"/>
      <c r="AP272" s="168"/>
      <c r="AQ272" s="177"/>
    </row>
    <row r="273" spans="9:43">
      <c r="I273" s="205">
        <f t="shared" si="6"/>
        <v>78</v>
      </c>
      <c r="J273" s="167"/>
      <c r="K273" s="168"/>
      <c r="L273" s="168"/>
      <c r="M273" s="168"/>
      <c r="N273" s="168"/>
      <c r="O273" s="168"/>
      <c r="P273" s="168"/>
      <c r="Q273" s="169"/>
      <c r="AI273" s="173">
        <f t="shared" si="7"/>
        <v>78</v>
      </c>
      <c r="AJ273" s="168"/>
      <c r="AK273" s="168"/>
      <c r="AL273" s="168"/>
      <c r="AM273" s="168"/>
      <c r="AN273" s="168"/>
      <c r="AO273" s="168"/>
      <c r="AP273" s="168"/>
      <c r="AQ273" s="177"/>
    </row>
    <row r="274" spans="9:43">
      <c r="I274" s="205">
        <f t="shared" si="6"/>
        <v>77</v>
      </c>
      <c r="J274" s="167"/>
      <c r="K274" s="168"/>
      <c r="L274" s="168"/>
      <c r="M274" s="168"/>
      <c r="N274" s="168"/>
      <c r="O274" s="168"/>
      <c r="P274" s="168"/>
      <c r="Q274" s="169"/>
      <c r="AI274" s="173">
        <f t="shared" si="7"/>
        <v>77</v>
      </c>
      <c r="AJ274" s="168"/>
      <c r="AK274" s="168"/>
      <c r="AL274" s="168"/>
      <c r="AM274" s="168"/>
      <c r="AN274" s="168"/>
      <c r="AO274" s="168"/>
      <c r="AP274" s="168"/>
      <c r="AQ274" s="177"/>
    </row>
    <row r="275" spans="9:43">
      <c r="I275" s="205">
        <f t="shared" si="6"/>
        <v>76</v>
      </c>
      <c r="J275" s="167"/>
      <c r="K275" s="168"/>
      <c r="L275" s="168"/>
      <c r="M275" s="168"/>
      <c r="N275" s="168"/>
      <c r="O275" s="168"/>
      <c r="P275" s="168"/>
      <c r="Q275" s="169"/>
      <c r="AI275" s="173">
        <f t="shared" si="7"/>
        <v>76</v>
      </c>
      <c r="AJ275" s="168"/>
      <c r="AK275" s="168"/>
      <c r="AL275" s="168"/>
      <c r="AM275" s="168"/>
      <c r="AN275" s="168"/>
      <c r="AO275" s="168"/>
      <c r="AP275" s="168"/>
      <c r="AQ275" s="177"/>
    </row>
    <row r="276" spans="9:43">
      <c r="I276" s="205">
        <f t="shared" si="6"/>
        <v>75</v>
      </c>
      <c r="J276" s="167"/>
      <c r="K276" s="168"/>
      <c r="L276" s="168"/>
      <c r="M276" s="168"/>
      <c r="N276" s="168"/>
      <c r="O276" s="168"/>
      <c r="P276" s="168"/>
      <c r="Q276" s="169"/>
      <c r="AI276" s="173">
        <f t="shared" si="7"/>
        <v>75</v>
      </c>
      <c r="AJ276" s="168"/>
      <c r="AK276" s="168"/>
      <c r="AL276" s="168"/>
      <c r="AM276" s="168"/>
      <c r="AN276" s="168"/>
      <c r="AO276" s="168"/>
      <c r="AP276" s="168"/>
      <c r="AQ276" s="177"/>
    </row>
    <row r="277" spans="9:43">
      <c r="I277" s="205">
        <f t="shared" si="6"/>
        <v>74</v>
      </c>
      <c r="J277" s="167"/>
      <c r="K277" s="168"/>
      <c r="L277" s="168"/>
      <c r="M277" s="168"/>
      <c r="N277" s="168"/>
      <c r="O277" s="168"/>
      <c r="P277" s="168"/>
      <c r="Q277" s="169"/>
      <c r="AI277" s="173">
        <f t="shared" si="7"/>
        <v>74</v>
      </c>
      <c r="AJ277" s="168"/>
      <c r="AK277" s="168"/>
      <c r="AL277" s="168"/>
      <c r="AM277" s="168"/>
      <c r="AN277" s="168"/>
      <c r="AO277" s="168"/>
      <c r="AP277" s="168"/>
      <c r="AQ277" s="177"/>
    </row>
    <row r="278" spans="9:43">
      <c r="I278" s="205">
        <f t="shared" si="6"/>
        <v>73</v>
      </c>
      <c r="J278" s="167"/>
      <c r="K278" s="168"/>
      <c r="L278" s="168"/>
      <c r="M278" s="168"/>
      <c r="N278" s="168"/>
      <c r="O278" s="168"/>
      <c r="P278" s="168"/>
      <c r="Q278" s="169"/>
      <c r="AI278" s="173">
        <f t="shared" si="7"/>
        <v>73</v>
      </c>
      <c r="AJ278" s="168"/>
      <c r="AK278" s="168"/>
      <c r="AL278" s="168"/>
      <c r="AM278" s="168"/>
      <c r="AN278" s="168"/>
      <c r="AO278" s="168"/>
      <c r="AP278" s="168"/>
      <c r="AQ278" s="177"/>
    </row>
    <row r="279" spans="9:43">
      <c r="I279" s="205">
        <f t="shared" si="6"/>
        <v>72</v>
      </c>
      <c r="J279" s="167"/>
      <c r="K279" s="168"/>
      <c r="L279" s="168"/>
      <c r="M279" s="168"/>
      <c r="N279" s="168"/>
      <c r="O279" s="168"/>
      <c r="P279" s="168"/>
      <c r="Q279" s="169"/>
      <c r="AI279" s="173">
        <f t="shared" si="7"/>
        <v>72</v>
      </c>
      <c r="AJ279" s="168"/>
      <c r="AK279" s="168"/>
      <c r="AL279" s="168"/>
      <c r="AM279" s="168"/>
      <c r="AN279" s="168"/>
      <c r="AO279" s="168"/>
      <c r="AP279" s="168"/>
      <c r="AQ279" s="177"/>
    </row>
    <row r="280" spans="9:43">
      <c r="I280" s="205">
        <f t="shared" si="6"/>
        <v>71</v>
      </c>
      <c r="J280" s="167"/>
      <c r="K280" s="168"/>
      <c r="L280" s="168"/>
      <c r="M280" s="168"/>
      <c r="N280" s="168"/>
      <c r="O280" s="168"/>
      <c r="P280" s="168"/>
      <c r="Q280" s="169"/>
      <c r="AI280" s="173">
        <f t="shared" si="7"/>
        <v>71</v>
      </c>
      <c r="AJ280" s="168"/>
      <c r="AK280" s="168"/>
      <c r="AL280" s="168"/>
      <c r="AM280" s="168"/>
      <c r="AN280" s="168"/>
      <c r="AO280" s="168"/>
      <c r="AP280" s="168"/>
      <c r="AQ280" s="177"/>
    </row>
    <row r="281" spans="9:43">
      <c r="I281" s="205">
        <f t="shared" si="6"/>
        <v>70</v>
      </c>
      <c r="J281" s="167"/>
      <c r="K281" s="168"/>
      <c r="L281" s="168"/>
      <c r="M281" s="168"/>
      <c r="N281" s="168"/>
      <c r="O281" s="168"/>
      <c r="P281" s="168"/>
      <c r="Q281" s="169"/>
      <c r="AI281" s="173">
        <f t="shared" si="7"/>
        <v>70</v>
      </c>
      <c r="AJ281" s="168"/>
      <c r="AK281" s="168"/>
      <c r="AL281" s="168"/>
      <c r="AM281" s="168"/>
      <c r="AN281" s="168"/>
      <c r="AO281" s="168"/>
      <c r="AP281" s="168"/>
      <c r="AQ281" s="177"/>
    </row>
    <row r="282" spans="9:43">
      <c r="I282" s="205">
        <f t="shared" si="6"/>
        <v>69</v>
      </c>
      <c r="J282" s="167"/>
      <c r="K282" s="168"/>
      <c r="L282" s="168"/>
      <c r="M282" s="168"/>
      <c r="N282" s="168"/>
      <c r="O282" s="168"/>
      <c r="P282" s="168"/>
      <c r="Q282" s="169"/>
      <c r="AI282" s="173">
        <f t="shared" si="7"/>
        <v>69</v>
      </c>
      <c r="AJ282" s="168"/>
      <c r="AK282" s="168"/>
      <c r="AL282" s="168"/>
      <c r="AM282" s="168"/>
      <c r="AN282" s="168"/>
      <c r="AO282" s="168"/>
      <c r="AP282" s="168"/>
      <c r="AQ282" s="177"/>
    </row>
    <row r="283" spans="9:43">
      <c r="I283" s="205">
        <f t="shared" si="6"/>
        <v>68</v>
      </c>
      <c r="J283" s="167"/>
      <c r="K283" s="168"/>
      <c r="L283" s="168"/>
      <c r="M283" s="168"/>
      <c r="N283" s="168"/>
      <c r="O283" s="168"/>
      <c r="P283" s="168"/>
      <c r="Q283" s="169"/>
      <c r="AI283" s="173">
        <f t="shared" si="7"/>
        <v>68</v>
      </c>
      <c r="AJ283" s="168"/>
      <c r="AK283" s="168"/>
      <c r="AL283" s="168"/>
      <c r="AM283" s="168"/>
      <c r="AN283" s="168"/>
      <c r="AO283" s="168"/>
      <c r="AP283" s="168"/>
      <c r="AQ283" s="177"/>
    </row>
    <row r="284" spans="9:43">
      <c r="I284" s="205">
        <f t="shared" si="6"/>
        <v>67</v>
      </c>
      <c r="J284" s="167"/>
      <c r="K284" s="168"/>
      <c r="L284" s="168"/>
      <c r="M284" s="168"/>
      <c r="N284" s="168"/>
      <c r="O284" s="168"/>
      <c r="P284" s="168"/>
      <c r="Q284" s="169"/>
      <c r="AI284" s="173">
        <f t="shared" si="7"/>
        <v>67</v>
      </c>
      <c r="AJ284" s="168"/>
      <c r="AK284" s="168"/>
      <c r="AL284" s="168"/>
      <c r="AM284" s="168"/>
      <c r="AN284" s="168"/>
      <c r="AO284" s="168"/>
      <c r="AP284" s="168"/>
      <c r="AQ284" s="177"/>
    </row>
    <row r="285" spans="9:43">
      <c r="I285" s="205">
        <f t="shared" si="6"/>
        <v>66</v>
      </c>
      <c r="J285" s="167"/>
      <c r="K285" s="168"/>
      <c r="L285" s="168"/>
      <c r="M285" s="168"/>
      <c r="N285" s="168"/>
      <c r="O285" s="168"/>
      <c r="P285" s="168"/>
      <c r="Q285" s="169"/>
      <c r="AI285" s="173">
        <f t="shared" si="7"/>
        <v>66</v>
      </c>
      <c r="AJ285" s="168"/>
      <c r="AK285" s="168"/>
      <c r="AL285" s="168"/>
      <c r="AM285" s="168"/>
      <c r="AN285" s="168"/>
      <c r="AO285" s="168"/>
      <c r="AP285" s="168"/>
      <c r="AQ285" s="177"/>
    </row>
    <row r="286" spans="9:43">
      <c r="I286" s="205">
        <f t="shared" si="6"/>
        <v>65</v>
      </c>
      <c r="J286" s="167"/>
      <c r="K286" s="168"/>
      <c r="L286" s="168"/>
      <c r="M286" s="168"/>
      <c r="N286" s="168"/>
      <c r="O286" s="168"/>
      <c r="P286" s="168"/>
      <c r="Q286" s="169"/>
      <c r="AI286" s="173">
        <f t="shared" si="7"/>
        <v>65</v>
      </c>
      <c r="AJ286" s="168"/>
      <c r="AK286" s="168"/>
      <c r="AL286" s="168"/>
      <c r="AM286" s="168"/>
      <c r="AN286" s="168"/>
      <c r="AO286" s="168"/>
      <c r="AP286" s="168"/>
      <c r="AQ286" s="177"/>
    </row>
    <row r="287" spans="9:43">
      <c r="I287" s="205">
        <f t="shared" si="6"/>
        <v>64</v>
      </c>
      <c r="J287" s="167"/>
      <c r="K287" s="168"/>
      <c r="L287" s="168"/>
      <c r="M287" s="168"/>
      <c r="N287" s="168"/>
      <c r="O287" s="168"/>
      <c r="P287" s="168"/>
      <c r="Q287" s="169"/>
      <c r="AI287" s="173">
        <f t="shared" si="7"/>
        <v>64</v>
      </c>
      <c r="AJ287" s="168"/>
      <c r="AK287" s="168"/>
      <c r="AL287" s="168"/>
      <c r="AM287" s="168"/>
      <c r="AN287" s="168"/>
      <c r="AO287" s="168"/>
      <c r="AP287" s="168"/>
      <c r="AQ287" s="177"/>
    </row>
    <row r="288" spans="9:43">
      <c r="I288" s="205">
        <f t="shared" si="6"/>
        <v>63</v>
      </c>
      <c r="J288" s="167"/>
      <c r="K288" s="168"/>
      <c r="L288" s="168"/>
      <c r="M288" s="168"/>
      <c r="N288" s="168"/>
      <c r="O288" s="168"/>
      <c r="P288" s="168"/>
      <c r="Q288" s="169"/>
      <c r="AI288" s="173">
        <f t="shared" si="7"/>
        <v>63</v>
      </c>
      <c r="AJ288" s="168"/>
      <c r="AK288" s="168"/>
      <c r="AL288" s="168"/>
      <c r="AM288" s="168"/>
      <c r="AN288" s="168"/>
      <c r="AO288" s="168"/>
      <c r="AP288" s="168"/>
      <c r="AQ288" s="177"/>
    </row>
    <row r="289" spans="9:43">
      <c r="I289" s="205">
        <f t="shared" si="6"/>
        <v>62</v>
      </c>
      <c r="J289" s="167"/>
      <c r="K289" s="168"/>
      <c r="L289" s="168"/>
      <c r="M289" s="168"/>
      <c r="N289" s="168"/>
      <c r="O289" s="168"/>
      <c r="P289" s="168"/>
      <c r="Q289" s="169"/>
      <c r="AI289" s="173">
        <f t="shared" si="7"/>
        <v>62</v>
      </c>
      <c r="AJ289" s="168"/>
      <c r="AK289" s="168"/>
      <c r="AL289" s="168"/>
      <c r="AM289" s="168"/>
      <c r="AN289" s="168"/>
      <c r="AO289" s="168"/>
      <c r="AP289" s="168"/>
      <c r="AQ289" s="177"/>
    </row>
    <row r="290" spans="9:43">
      <c r="I290" s="205">
        <f t="shared" si="6"/>
        <v>61</v>
      </c>
      <c r="J290" s="167"/>
      <c r="K290" s="168"/>
      <c r="L290" s="168"/>
      <c r="M290" s="168"/>
      <c r="N290" s="168"/>
      <c r="O290" s="168"/>
      <c r="P290" s="168"/>
      <c r="Q290" s="169"/>
      <c r="AI290" s="173">
        <f t="shared" si="7"/>
        <v>61</v>
      </c>
      <c r="AJ290" s="168"/>
      <c r="AK290" s="168"/>
      <c r="AL290" s="168"/>
      <c r="AM290" s="168"/>
      <c r="AN290" s="168"/>
      <c r="AO290" s="168"/>
      <c r="AP290" s="168"/>
      <c r="AQ290" s="177"/>
    </row>
    <row r="291" spans="9:43" ht="15.75" thickBot="1">
      <c r="I291" s="206">
        <f t="shared" si="6"/>
        <v>60</v>
      </c>
      <c r="J291" s="194"/>
      <c r="K291" s="194"/>
      <c r="L291" s="194"/>
      <c r="M291" s="194"/>
      <c r="N291" s="194"/>
      <c r="O291" s="168"/>
      <c r="P291" s="194"/>
      <c r="Q291" s="195"/>
      <c r="AI291" s="196">
        <f t="shared" si="7"/>
        <v>60</v>
      </c>
      <c r="AJ291" s="199"/>
      <c r="AK291" s="199"/>
      <c r="AL291" s="199"/>
      <c r="AM291" s="199"/>
      <c r="AN291" s="199"/>
      <c r="AO291" s="199"/>
      <c r="AP291" s="199"/>
      <c r="AQ291" s="200"/>
    </row>
    <row r="292" spans="9:43" ht="16.5" thickTop="1" thickBot="1">
      <c r="I292" s="218" t="s">
        <v>78</v>
      </c>
      <c r="J292" s="219"/>
      <c r="K292" s="219"/>
      <c r="L292" s="219"/>
      <c r="M292" s="219"/>
      <c r="N292" s="219"/>
      <c r="O292" s="219"/>
      <c r="P292" s="219"/>
      <c r="Q292" s="222"/>
    </row>
    <row r="293" spans="9:43" ht="15.75" thickTop="1"/>
  </sheetData>
  <sheetProtection algorithmName="SHA-512" hashValue="THWSD2GvACdwS7O7IU7BMcdG98h8Sdgt6mbpz+PeI/C+gWGJeDfWHc320t4ozdks09xcGfzOxphmUEuREzzhtg==" saltValue="BurwDDeDNJkC/hNRCCEpDA==" spinCount="100000" sheet="1" objects="1" scenarios="1"/>
  <mergeCells count="80">
    <mergeCell ref="J168:Q168"/>
    <mergeCell ref="AJ168:AQ168"/>
    <mergeCell ref="J169:M169"/>
    <mergeCell ref="N169:Q169"/>
    <mergeCell ref="AJ169:AM169"/>
    <mergeCell ref="AN169:AQ169"/>
    <mergeCell ref="BD80:BG80"/>
    <mergeCell ref="J80:M80"/>
    <mergeCell ref="N80:Q80"/>
    <mergeCell ref="R80:U80"/>
    <mergeCell ref="V80:Y80"/>
    <mergeCell ref="Z80:AC80"/>
    <mergeCell ref="AD80:AG80"/>
    <mergeCell ref="AJ80:AM80"/>
    <mergeCell ref="AN80:AQ80"/>
    <mergeCell ref="AR80:AU80"/>
    <mergeCell ref="AV80:AY80"/>
    <mergeCell ref="AZ80:BC80"/>
    <mergeCell ref="J79:Q79"/>
    <mergeCell ref="R79:Y79"/>
    <mergeCell ref="Z79:AG79"/>
    <mergeCell ref="AJ79:AQ79"/>
    <mergeCell ref="AR79:AY79"/>
    <mergeCell ref="AZ79:BG79"/>
    <mergeCell ref="AJ55:AM55"/>
    <mergeCell ref="AN55:AQ55"/>
    <mergeCell ref="AR55:AU55"/>
    <mergeCell ref="AV55:AY55"/>
    <mergeCell ref="AZ55:BC55"/>
    <mergeCell ref="BD55:BG55"/>
    <mergeCell ref="AD55:AG55"/>
    <mergeCell ref="J54:Q54"/>
    <mergeCell ref="R54:Y54"/>
    <mergeCell ref="Z54:AG54"/>
    <mergeCell ref="AJ54:AQ54"/>
    <mergeCell ref="J55:M55"/>
    <mergeCell ref="N55:Q55"/>
    <mergeCell ref="R55:U55"/>
    <mergeCell ref="V55:Y55"/>
    <mergeCell ref="Z55:AC55"/>
    <mergeCell ref="AR54:AY54"/>
    <mergeCell ref="AZ54:BG54"/>
    <mergeCell ref="AJ30:AM30"/>
    <mergeCell ref="AN30:AQ30"/>
    <mergeCell ref="AR30:AU30"/>
    <mergeCell ref="AV30:AY30"/>
    <mergeCell ref="AZ30:BC30"/>
    <mergeCell ref="BD30:BG30"/>
    <mergeCell ref="AD30:AG30"/>
    <mergeCell ref="AV5:AY5"/>
    <mergeCell ref="AZ5:BC5"/>
    <mergeCell ref="BD5:BG5"/>
    <mergeCell ref="F6:G6"/>
    <mergeCell ref="J29:Q29"/>
    <mergeCell ref="R29:Y29"/>
    <mergeCell ref="Z29:AG29"/>
    <mergeCell ref="AJ29:AQ29"/>
    <mergeCell ref="AR29:AY29"/>
    <mergeCell ref="AZ29:BG29"/>
    <mergeCell ref="J30:M30"/>
    <mergeCell ref="N30:Q30"/>
    <mergeCell ref="R30:U30"/>
    <mergeCell ref="V30:Y30"/>
    <mergeCell ref="Z30:AC30"/>
    <mergeCell ref="AZ4:BG4"/>
    <mergeCell ref="J5:M5"/>
    <mergeCell ref="N5:Q5"/>
    <mergeCell ref="R5:U5"/>
    <mergeCell ref="V5:Y5"/>
    <mergeCell ref="Z5:AC5"/>
    <mergeCell ref="AD5:AG5"/>
    <mergeCell ref="AJ5:AM5"/>
    <mergeCell ref="AN5:AQ5"/>
    <mergeCell ref="AR5:AU5"/>
    <mergeCell ref="AR4:AY4"/>
    <mergeCell ref="D4:E4"/>
    <mergeCell ref="J4:Q4"/>
    <mergeCell ref="R4:Y4"/>
    <mergeCell ref="Z4:AG4"/>
    <mergeCell ref="AJ4:AQ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G252"/>
  <sheetViews>
    <sheetView zoomScaleNormal="100" workbookViewId="0">
      <selection activeCell="O12" sqref="O12"/>
    </sheetView>
  </sheetViews>
  <sheetFormatPr defaultRowHeight="15"/>
  <cols>
    <col min="1" max="1" width="4" style="55" customWidth="1"/>
    <col min="2" max="2" width="11.42578125" style="55" customWidth="1"/>
    <col min="3" max="16384" width="9.140625" style="55"/>
  </cols>
  <sheetData>
    <row r="3" spans="1:59" ht="15.75" thickBot="1">
      <c r="B3" s="58" t="s">
        <v>3</v>
      </c>
      <c r="C3" s="59" t="str">
        <f>IF(Self!K4="Select:","",Self!K4)</f>
        <v>14-18</v>
      </c>
    </row>
    <row r="4" spans="1:59" ht="15.75" thickTop="1">
      <c r="B4" s="60" t="s">
        <v>53</v>
      </c>
      <c r="C4" s="59" t="str">
        <f>IF(Self!K5="Select:","",Self!K5)</f>
        <v>Boys</v>
      </c>
      <c r="D4" s="282" t="s">
        <v>54</v>
      </c>
      <c r="E4" s="282"/>
      <c r="F4" s="61">
        <f>IF(C4="Girls",4,0)</f>
        <v>0</v>
      </c>
      <c r="I4" s="62"/>
      <c r="J4" s="278" t="s">
        <v>55</v>
      </c>
      <c r="K4" s="273"/>
      <c r="L4" s="273"/>
      <c r="M4" s="273"/>
      <c r="N4" s="273"/>
      <c r="O4" s="273"/>
      <c r="P4" s="273"/>
      <c r="Q4" s="274"/>
      <c r="R4" s="278" t="s">
        <v>56</v>
      </c>
      <c r="S4" s="273"/>
      <c r="T4" s="273"/>
      <c r="U4" s="273"/>
      <c r="V4" s="273"/>
      <c r="W4" s="273"/>
      <c r="X4" s="273"/>
      <c r="Y4" s="274"/>
      <c r="Z4" s="278" t="s">
        <v>57</v>
      </c>
      <c r="AA4" s="273"/>
      <c r="AB4" s="273"/>
      <c r="AC4" s="273"/>
      <c r="AD4" s="273"/>
      <c r="AE4" s="273"/>
      <c r="AF4" s="273"/>
      <c r="AG4" s="274"/>
      <c r="AI4" s="63"/>
      <c r="AJ4" s="267" t="s">
        <v>58</v>
      </c>
      <c r="AK4" s="267"/>
      <c r="AL4" s="267"/>
      <c r="AM4" s="267"/>
      <c r="AN4" s="267"/>
      <c r="AO4" s="267"/>
      <c r="AP4" s="267"/>
      <c r="AQ4" s="267"/>
      <c r="AR4" s="271" t="s">
        <v>59</v>
      </c>
      <c r="AS4" s="267"/>
      <c r="AT4" s="267"/>
      <c r="AU4" s="267"/>
      <c r="AV4" s="267"/>
      <c r="AW4" s="267"/>
      <c r="AX4" s="267"/>
      <c r="AY4" s="268"/>
      <c r="AZ4" s="267" t="s">
        <v>60</v>
      </c>
      <c r="BA4" s="267"/>
      <c r="BB4" s="267"/>
      <c r="BC4" s="267"/>
      <c r="BD4" s="267"/>
      <c r="BE4" s="267"/>
      <c r="BF4" s="267"/>
      <c r="BG4" s="268"/>
    </row>
    <row r="5" spans="1:59" ht="15.75" thickBot="1">
      <c r="I5" s="64"/>
      <c r="J5" s="279" t="s">
        <v>8</v>
      </c>
      <c r="K5" s="269"/>
      <c r="L5" s="269"/>
      <c r="M5" s="269"/>
      <c r="N5" s="269" t="s">
        <v>61</v>
      </c>
      <c r="O5" s="269"/>
      <c r="P5" s="269"/>
      <c r="Q5" s="275"/>
      <c r="R5" s="279" t="s">
        <v>8</v>
      </c>
      <c r="S5" s="269"/>
      <c r="T5" s="269"/>
      <c r="U5" s="269"/>
      <c r="V5" s="269" t="s">
        <v>61</v>
      </c>
      <c r="W5" s="269"/>
      <c r="X5" s="269"/>
      <c r="Y5" s="275"/>
      <c r="Z5" s="279" t="s">
        <v>8</v>
      </c>
      <c r="AA5" s="269"/>
      <c r="AB5" s="269"/>
      <c r="AC5" s="269"/>
      <c r="AD5" s="269" t="s">
        <v>61</v>
      </c>
      <c r="AE5" s="269"/>
      <c r="AF5" s="269"/>
      <c r="AG5" s="275"/>
      <c r="AI5" s="65"/>
      <c r="AJ5" s="269" t="s">
        <v>8</v>
      </c>
      <c r="AK5" s="269"/>
      <c r="AL5" s="269"/>
      <c r="AM5" s="269"/>
      <c r="AN5" s="269" t="s">
        <v>61</v>
      </c>
      <c r="AO5" s="269"/>
      <c r="AP5" s="269"/>
      <c r="AQ5" s="269"/>
      <c r="AR5" s="272" t="s">
        <v>8</v>
      </c>
      <c r="AS5" s="269"/>
      <c r="AT5" s="269"/>
      <c r="AU5" s="269"/>
      <c r="AV5" s="269" t="s">
        <v>61</v>
      </c>
      <c r="AW5" s="269"/>
      <c r="AX5" s="269"/>
      <c r="AY5" s="270"/>
      <c r="AZ5" s="269" t="s">
        <v>8</v>
      </c>
      <c r="BA5" s="269"/>
      <c r="BB5" s="269"/>
      <c r="BC5" s="269"/>
      <c r="BD5" s="269" t="s">
        <v>61</v>
      </c>
      <c r="BE5" s="269"/>
      <c r="BF5" s="269"/>
      <c r="BG5" s="270"/>
    </row>
    <row r="6" spans="1:59" ht="15.75" thickTop="1">
      <c r="A6" s="60"/>
      <c r="B6" s="66" t="s">
        <v>62</v>
      </c>
      <c r="C6" s="67" t="s">
        <v>63</v>
      </c>
      <c r="D6" s="67" t="s">
        <v>64</v>
      </c>
      <c r="E6" s="67" t="s">
        <v>65</v>
      </c>
      <c r="F6" s="280" t="s">
        <v>44</v>
      </c>
      <c r="G6" s="281"/>
      <c r="H6" s="58"/>
      <c r="I6" s="68" t="s">
        <v>66</v>
      </c>
      <c r="J6" s="69" t="s">
        <v>4</v>
      </c>
      <c r="K6" s="70" t="s">
        <v>67</v>
      </c>
      <c r="L6" s="70" t="s">
        <v>68</v>
      </c>
      <c r="M6" s="70" t="s">
        <v>51</v>
      </c>
      <c r="N6" s="70" t="s">
        <v>4</v>
      </c>
      <c r="O6" s="70" t="s">
        <v>67</v>
      </c>
      <c r="P6" s="70" t="s">
        <v>68</v>
      </c>
      <c r="Q6" s="71" t="s">
        <v>51</v>
      </c>
      <c r="R6" s="69" t="s">
        <v>4</v>
      </c>
      <c r="S6" s="70" t="s">
        <v>67</v>
      </c>
      <c r="T6" s="70" t="s">
        <v>68</v>
      </c>
      <c r="U6" s="70" t="s">
        <v>51</v>
      </c>
      <c r="V6" s="70" t="s">
        <v>4</v>
      </c>
      <c r="W6" s="70" t="s">
        <v>67</v>
      </c>
      <c r="X6" s="70" t="s">
        <v>68</v>
      </c>
      <c r="Y6" s="71" t="s">
        <v>51</v>
      </c>
      <c r="Z6" s="69" t="s">
        <v>4</v>
      </c>
      <c r="AA6" s="70" t="s">
        <v>67</v>
      </c>
      <c r="AB6" s="70" t="s">
        <v>68</v>
      </c>
      <c r="AC6" s="70" t="s">
        <v>51</v>
      </c>
      <c r="AD6" s="70" t="s">
        <v>4</v>
      </c>
      <c r="AE6" s="70" t="s">
        <v>67</v>
      </c>
      <c r="AF6" s="70" t="s">
        <v>68</v>
      </c>
      <c r="AG6" s="71" t="s">
        <v>51</v>
      </c>
      <c r="AI6" s="72" t="s">
        <v>66</v>
      </c>
      <c r="AJ6" s="70" t="s">
        <v>4</v>
      </c>
      <c r="AK6" s="70" t="s">
        <v>67</v>
      </c>
      <c r="AL6" s="70" t="s">
        <v>68</v>
      </c>
      <c r="AM6" s="70" t="s">
        <v>51</v>
      </c>
      <c r="AN6" s="70" t="s">
        <v>4</v>
      </c>
      <c r="AO6" s="70" t="s">
        <v>67</v>
      </c>
      <c r="AP6" s="70" t="s">
        <v>68</v>
      </c>
      <c r="AQ6" s="70" t="s">
        <v>51</v>
      </c>
      <c r="AR6" s="73" t="s">
        <v>4</v>
      </c>
      <c r="AS6" s="70" t="s">
        <v>67</v>
      </c>
      <c r="AT6" s="70" t="s">
        <v>68</v>
      </c>
      <c r="AU6" s="70" t="s">
        <v>51</v>
      </c>
      <c r="AV6" s="70" t="s">
        <v>4</v>
      </c>
      <c r="AW6" s="70" t="s">
        <v>67</v>
      </c>
      <c r="AX6" s="70" t="s">
        <v>68</v>
      </c>
      <c r="AY6" s="74" t="s">
        <v>51</v>
      </c>
      <c r="AZ6" s="70" t="s">
        <v>4</v>
      </c>
      <c r="BA6" s="70" t="s">
        <v>67</v>
      </c>
      <c r="BB6" s="70" t="s">
        <v>68</v>
      </c>
      <c r="BC6" s="70" t="s">
        <v>51</v>
      </c>
      <c r="BD6" s="70" t="s">
        <v>4</v>
      </c>
      <c r="BE6" s="70" t="s">
        <v>67</v>
      </c>
      <c r="BF6" s="70" t="s">
        <v>68</v>
      </c>
      <c r="BG6" s="74" t="s">
        <v>51</v>
      </c>
    </row>
    <row r="7" spans="1:59">
      <c r="B7" s="75" t="s">
        <v>20</v>
      </c>
      <c r="C7" s="59">
        <f>Self!P24</f>
        <v>0</v>
      </c>
      <c r="D7" s="76" t="str">
        <f>IFERROR(VLOOKUP(C7,I6:AG26,C25,FALSE),"")</f>
        <v/>
      </c>
      <c r="E7" s="76" t="str">
        <f>IFERROR(VLOOKUP(C7,AI6:BG26,C25,FALSE),"")</f>
        <v/>
      </c>
      <c r="F7" s="77" t="e">
        <f>D7-(VLOOKUP("CI",I27:AG27,C25,FALSE))</f>
        <v>#VALUE!</v>
      </c>
      <c r="G7" s="78" t="e">
        <f>D7+(VLOOKUP("CI",I27:AG27,C25,FALSE))</f>
        <v>#VALUE!</v>
      </c>
      <c r="H7" s="79"/>
      <c r="I7" s="80">
        <v>24</v>
      </c>
      <c r="J7" s="81"/>
      <c r="K7" s="82"/>
      <c r="L7" s="61">
        <v>84</v>
      </c>
      <c r="M7" s="61" t="s">
        <v>69</v>
      </c>
      <c r="N7" s="82"/>
      <c r="O7" s="82"/>
      <c r="P7" s="61">
        <v>85</v>
      </c>
      <c r="Q7" s="83">
        <v>90</v>
      </c>
      <c r="R7" s="81"/>
      <c r="S7" s="82"/>
      <c r="T7" s="82"/>
      <c r="U7" s="82"/>
      <c r="V7" s="82"/>
      <c r="W7" s="82"/>
      <c r="X7" s="82"/>
      <c r="Y7" s="84"/>
      <c r="Z7" s="81"/>
      <c r="AA7" s="82"/>
      <c r="AB7" s="61">
        <v>88</v>
      </c>
      <c r="AC7" s="61" t="s">
        <v>69</v>
      </c>
      <c r="AD7" s="82"/>
      <c r="AE7" s="82"/>
      <c r="AF7" s="61" t="s">
        <v>69</v>
      </c>
      <c r="AG7" s="83" t="s">
        <v>69</v>
      </c>
      <c r="AI7" s="85">
        <v>24</v>
      </c>
      <c r="AJ7" s="86"/>
      <c r="AK7" s="86"/>
      <c r="AL7" s="61" t="s">
        <v>70</v>
      </c>
      <c r="AM7" s="61" t="s">
        <v>70</v>
      </c>
      <c r="AN7" s="86"/>
      <c r="AO7" s="86"/>
      <c r="AP7" s="61" t="s">
        <v>70</v>
      </c>
      <c r="AQ7" s="61" t="s">
        <v>70</v>
      </c>
      <c r="AR7" s="87"/>
      <c r="AS7" s="86"/>
      <c r="AT7" s="86"/>
      <c r="AU7" s="86"/>
      <c r="AV7" s="86"/>
      <c r="AW7" s="86"/>
      <c r="AX7" s="86"/>
      <c r="AY7" s="88"/>
      <c r="AZ7" s="86"/>
      <c r="BA7" s="86"/>
      <c r="BB7" s="61" t="s">
        <v>70</v>
      </c>
      <c r="BC7" s="61" t="s">
        <v>70</v>
      </c>
      <c r="BD7" s="86"/>
      <c r="BE7" s="86"/>
      <c r="BF7" s="61" t="s">
        <v>70</v>
      </c>
      <c r="BG7" s="89" t="s">
        <v>70</v>
      </c>
    </row>
    <row r="8" spans="1:59">
      <c r="A8" s="56"/>
      <c r="B8" s="75" t="s">
        <v>71</v>
      </c>
      <c r="C8" s="59">
        <f>Self!P25</f>
        <v>0</v>
      </c>
      <c r="D8" s="76" t="str">
        <f>IFERROR(VLOOKUP(C8,I6:AG26,C25+8,FALSE),"")</f>
        <v/>
      </c>
      <c r="E8" s="76" t="str">
        <f>IFERROR(VLOOKUP(C8,AI6:BG26,C25+8,FALSE),"")</f>
        <v/>
      </c>
      <c r="F8" s="77" t="e">
        <f>D8-(VLOOKUP("CI",I27:AG27,C25+8,FALSE))</f>
        <v>#VALUE!</v>
      </c>
      <c r="G8" s="78" t="e">
        <f>D8+(VLOOKUP("CI",I27:AG27,C25+8,FALSE))</f>
        <v>#VALUE!</v>
      </c>
      <c r="H8" s="79"/>
      <c r="I8" s="80">
        <v>23</v>
      </c>
      <c r="J8" s="81"/>
      <c r="K8" s="82"/>
      <c r="L8" s="61">
        <v>81</v>
      </c>
      <c r="M8" s="61">
        <v>88</v>
      </c>
      <c r="N8" s="82"/>
      <c r="O8" s="82"/>
      <c r="P8" s="61">
        <v>82</v>
      </c>
      <c r="Q8" s="83">
        <v>86</v>
      </c>
      <c r="R8" s="81"/>
      <c r="S8" s="82"/>
      <c r="T8" s="82"/>
      <c r="U8" s="82"/>
      <c r="V8" s="82"/>
      <c r="W8" s="82"/>
      <c r="X8" s="82"/>
      <c r="Y8" s="84"/>
      <c r="Z8" s="81"/>
      <c r="AA8" s="82"/>
      <c r="AB8" s="61">
        <v>84</v>
      </c>
      <c r="AC8" s="61" t="s">
        <v>69</v>
      </c>
      <c r="AD8" s="82"/>
      <c r="AE8" s="82"/>
      <c r="AF8" s="61">
        <v>85</v>
      </c>
      <c r="AG8" s="83">
        <v>85</v>
      </c>
      <c r="AI8" s="85">
        <v>23</v>
      </c>
      <c r="AJ8" s="86"/>
      <c r="AK8" s="86"/>
      <c r="AL8" s="61">
        <v>99</v>
      </c>
      <c r="AM8" s="61" t="s">
        <v>70</v>
      </c>
      <c r="AN8" s="86"/>
      <c r="AO8" s="86"/>
      <c r="AP8" s="61" t="s">
        <v>70</v>
      </c>
      <c r="AQ8" s="61" t="s">
        <v>70</v>
      </c>
      <c r="AR8" s="87"/>
      <c r="AS8" s="86"/>
      <c r="AT8" s="86"/>
      <c r="AU8" s="86"/>
      <c r="AV8" s="86"/>
      <c r="AW8" s="86"/>
      <c r="AX8" s="86"/>
      <c r="AY8" s="88"/>
      <c r="AZ8" s="86"/>
      <c r="BA8" s="86"/>
      <c r="BB8" s="61" t="s">
        <v>70</v>
      </c>
      <c r="BC8" s="61" t="s">
        <v>70</v>
      </c>
      <c r="BD8" s="86"/>
      <c r="BE8" s="86"/>
      <c r="BF8" s="61" t="s">
        <v>70</v>
      </c>
      <c r="BG8" s="89" t="s">
        <v>70</v>
      </c>
    </row>
    <row r="9" spans="1:59">
      <c r="A9" s="90"/>
      <c r="B9" s="91" t="s">
        <v>23</v>
      </c>
      <c r="C9" s="59">
        <f>Self!P26</f>
        <v>0</v>
      </c>
      <c r="D9" s="76" t="str">
        <f>IFERROR(VLOOKUP(C9,I78:AG141,C25,FALSE),"")</f>
        <v/>
      </c>
      <c r="E9" s="76" t="str">
        <f>IFERROR(VLOOKUP(C9,AI78:BG141,C25,FALSE),"")</f>
        <v/>
      </c>
      <c r="F9" s="77" t="e">
        <f>D9-(VLOOKUP("CI",I142:AG142,C25,FALSE))</f>
        <v>#VALUE!</v>
      </c>
      <c r="G9" s="78" t="e">
        <f>D9+(VLOOKUP("CI",I142:AG142,C25,FALSE))</f>
        <v>#VALUE!</v>
      </c>
      <c r="H9" s="79"/>
      <c r="I9" s="80">
        <v>22</v>
      </c>
      <c r="J9" s="81"/>
      <c r="K9" s="82"/>
      <c r="L9" s="61">
        <v>78</v>
      </c>
      <c r="M9" s="61">
        <v>85</v>
      </c>
      <c r="N9" s="82"/>
      <c r="O9" s="82"/>
      <c r="P9" s="61">
        <v>79</v>
      </c>
      <c r="Q9" s="83">
        <v>83</v>
      </c>
      <c r="R9" s="81"/>
      <c r="S9" s="82"/>
      <c r="T9" s="82"/>
      <c r="U9" s="82"/>
      <c r="V9" s="82"/>
      <c r="W9" s="82"/>
      <c r="X9" s="82"/>
      <c r="Y9" s="84"/>
      <c r="Z9" s="81"/>
      <c r="AA9" s="82"/>
      <c r="AB9" s="61">
        <v>81</v>
      </c>
      <c r="AC9" s="61">
        <v>89</v>
      </c>
      <c r="AD9" s="82"/>
      <c r="AE9" s="82"/>
      <c r="AF9" s="61">
        <v>84</v>
      </c>
      <c r="AG9" s="83">
        <v>84</v>
      </c>
      <c r="AI9" s="85">
        <v>22</v>
      </c>
      <c r="AJ9" s="86"/>
      <c r="AK9" s="86"/>
      <c r="AL9" s="61">
        <v>99</v>
      </c>
      <c r="AM9" s="61" t="s">
        <v>70</v>
      </c>
      <c r="AN9" s="86"/>
      <c r="AO9" s="86"/>
      <c r="AP9" s="61" t="s">
        <v>70</v>
      </c>
      <c r="AQ9" s="61" t="s">
        <v>70</v>
      </c>
      <c r="AR9" s="87"/>
      <c r="AS9" s="86"/>
      <c r="AT9" s="86"/>
      <c r="AU9" s="86"/>
      <c r="AV9" s="86"/>
      <c r="AW9" s="86"/>
      <c r="AX9" s="86"/>
      <c r="AY9" s="88"/>
      <c r="AZ9" s="86"/>
      <c r="BA9" s="86"/>
      <c r="BB9" s="61" t="s">
        <v>70</v>
      </c>
      <c r="BC9" s="61" t="s">
        <v>70</v>
      </c>
      <c r="BD9" s="86"/>
      <c r="BE9" s="86"/>
      <c r="BF9" s="61" t="s">
        <v>70</v>
      </c>
      <c r="BG9" s="89" t="s">
        <v>70</v>
      </c>
    </row>
    <row r="10" spans="1:59">
      <c r="B10" s="75" t="s">
        <v>26</v>
      </c>
      <c r="C10" s="59">
        <f>Self!P27</f>
        <v>0</v>
      </c>
      <c r="D10" s="76" t="str">
        <f>IFERROR(VLOOKUP(C10,I6:AG26,C25+16,FALSE),"")</f>
        <v/>
      </c>
      <c r="E10" s="76" t="str">
        <f>IFERROR(VLOOKUP(C10,AI6:BG26,C25+16,FALSE),"")</f>
        <v/>
      </c>
      <c r="F10" s="77" t="e">
        <f>D10-(VLOOKUP("CI",I27:AG27,C25+16,FALSE))</f>
        <v>#VALUE!</v>
      </c>
      <c r="G10" s="78" t="e">
        <f>D10+(VLOOKUP("CI",I27:AG27,C25+16,FALSE))</f>
        <v>#VALUE!</v>
      </c>
      <c r="H10" s="79"/>
      <c r="I10" s="80">
        <v>21</v>
      </c>
      <c r="J10" s="81"/>
      <c r="K10" s="82"/>
      <c r="L10" s="61">
        <v>75</v>
      </c>
      <c r="M10" s="61">
        <v>82</v>
      </c>
      <c r="N10" s="82"/>
      <c r="O10" s="82"/>
      <c r="P10" s="61">
        <v>76</v>
      </c>
      <c r="Q10" s="83">
        <v>80</v>
      </c>
      <c r="R10" s="81"/>
      <c r="S10" s="82"/>
      <c r="T10" s="82"/>
      <c r="U10" s="82"/>
      <c r="V10" s="82"/>
      <c r="W10" s="82"/>
      <c r="X10" s="82"/>
      <c r="Y10" s="84"/>
      <c r="Z10" s="81"/>
      <c r="AA10" s="82"/>
      <c r="AB10" s="61">
        <v>78</v>
      </c>
      <c r="AC10" s="61">
        <v>86</v>
      </c>
      <c r="AD10" s="82"/>
      <c r="AE10" s="82"/>
      <c r="AF10" s="61">
        <v>79</v>
      </c>
      <c r="AG10" s="83">
        <v>79</v>
      </c>
      <c r="AI10" s="85">
        <v>21</v>
      </c>
      <c r="AJ10" s="86"/>
      <c r="AK10" s="86"/>
      <c r="AL10" s="61">
        <v>99</v>
      </c>
      <c r="AM10" s="61" t="s">
        <v>70</v>
      </c>
      <c r="AN10" s="86"/>
      <c r="AO10" s="86"/>
      <c r="AP10" s="61" t="s">
        <v>70</v>
      </c>
      <c r="AQ10" s="61" t="s">
        <v>70</v>
      </c>
      <c r="AR10" s="87"/>
      <c r="AS10" s="86"/>
      <c r="AT10" s="86"/>
      <c r="AU10" s="86"/>
      <c r="AV10" s="86"/>
      <c r="AW10" s="86"/>
      <c r="AX10" s="86"/>
      <c r="AY10" s="88"/>
      <c r="AZ10" s="86"/>
      <c r="BA10" s="86"/>
      <c r="BB10" s="61" t="s">
        <v>70</v>
      </c>
      <c r="BC10" s="61" t="s">
        <v>70</v>
      </c>
      <c r="BD10" s="86"/>
      <c r="BE10" s="86"/>
      <c r="BF10" s="61" t="s">
        <v>70</v>
      </c>
      <c r="BG10" s="89">
        <v>99</v>
      </c>
    </row>
    <row r="11" spans="1:59">
      <c r="B11" s="75" t="s">
        <v>72</v>
      </c>
      <c r="C11" s="59">
        <f>Self!P28</f>
        <v>0</v>
      </c>
      <c r="D11" s="76" t="str">
        <f>IFERROR(VLOOKUP(C11,I30:AG49,C25,FALSE),"")</f>
        <v/>
      </c>
      <c r="E11" s="76" t="str">
        <f>IFERROR(VLOOKUP(C11,AI30:BG49,C25,FALSE),"")</f>
        <v/>
      </c>
      <c r="F11" s="77" t="e">
        <f>D11-(VLOOKUP("CI",I50:AG50,C25,FALSE))</f>
        <v>#VALUE!</v>
      </c>
      <c r="G11" s="78" t="e">
        <f>D11+(VLOOKUP("CI",I50:AG50,C25,FALSE))</f>
        <v>#VALUE!</v>
      </c>
      <c r="H11" s="79"/>
      <c r="I11" s="80">
        <v>20</v>
      </c>
      <c r="J11" s="81"/>
      <c r="K11" s="82"/>
      <c r="L11" s="61">
        <v>72</v>
      </c>
      <c r="M11" s="61">
        <v>78</v>
      </c>
      <c r="N11" s="82"/>
      <c r="O11" s="82"/>
      <c r="P11" s="61">
        <v>73</v>
      </c>
      <c r="Q11" s="83">
        <v>77</v>
      </c>
      <c r="R11" s="81"/>
      <c r="S11" s="82"/>
      <c r="T11" s="82"/>
      <c r="U11" s="82"/>
      <c r="V11" s="82"/>
      <c r="W11" s="82"/>
      <c r="X11" s="82"/>
      <c r="Y11" s="84"/>
      <c r="Z11" s="81"/>
      <c r="AA11" s="82"/>
      <c r="AB11" s="61">
        <v>75</v>
      </c>
      <c r="AC11" s="61">
        <v>83</v>
      </c>
      <c r="AD11" s="82"/>
      <c r="AE11" s="82"/>
      <c r="AF11" s="61">
        <v>78</v>
      </c>
      <c r="AG11" s="83">
        <v>78</v>
      </c>
      <c r="AI11" s="85">
        <v>20</v>
      </c>
      <c r="AJ11" s="86"/>
      <c r="AK11" s="86"/>
      <c r="AL11" s="61">
        <v>99</v>
      </c>
      <c r="AM11" s="61" t="s">
        <v>70</v>
      </c>
      <c r="AN11" s="86"/>
      <c r="AO11" s="86"/>
      <c r="AP11" s="61">
        <v>99</v>
      </c>
      <c r="AQ11" s="61">
        <v>98</v>
      </c>
      <c r="AR11" s="87"/>
      <c r="AS11" s="86"/>
      <c r="AT11" s="86"/>
      <c r="AU11" s="86"/>
      <c r="AV11" s="86"/>
      <c r="AW11" s="86"/>
      <c r="AX11" s="86"/>
      <c r="AY11" s="88"/>
      <c r="AZ11" s="86"/>
      <c r="BA11" s="86"/>
      <c r="BB11" s="61" t="s">
        <v>70</v>
      </c>
      <c r="BC11" s="61" t="s">
        <v>70</v>
      </c>
      <c r="BD11" s="86"/>
      <c r="BE11" s="86"/>
      <c r="BF11" s="61" t="s">
        <v>70</v>
      </c>
      <c r="BG11" s="89">
        <v>99</v>
      </c>
    </row>
    <row r="12" spans="1:59">
      <c r="B12" s="75" t="s">
        <v>28</v>
      </c>
      <c r="C12" s="59">
        <f>Self!P29</f>
        <v>0</v>
      </c>
      <c r="D12" s="76" t="str">
        <f>IFERROR(VLOOKUP(C12,I78:AG141,C25+8,FALSE),"")</f>
        <v/>
      </c>
      <c r="E12" s="76" t="str">
        <f>IFERROR(VLOOKUP(C12,AI78:BG141,C25+8,FALSE),"")</f>
        <v/>
      </c>
      <c r="F12" s="77" t="e">
        <f>D12-(VLOOKUP("CI",I142:AG142,C25+8,FALSE))</f>
        <v>#VALUE!</v>
      </c>
      <c r="G12" s="78" t="e">
        <f>D12+(VLOOKUP("CI",I142:AG142,C25+8,FALSE))</f>
        <v>#VALUE!</v>
      </c>
      <c r="H12" s="79"/>
      <c r="I12" s="80">
        <v>19</v>
      </c>
      <c r="J12" s="81"/>
      <c r="K12" s="82"/>
      <c r="L12" s="61">
        <v>69</v>
      </c>
      <c r="M12" s="61">
        <v>75</v>
      </c>
      <c r="N12" s="82"/>
      <c r="O12" s="82"/>
      <c r="P12" s="61">
        <v>70</v>
      </c>
      <c r="Q12" s="83">
        <v>74</v>
      </c>
      <c r="R12" s="81"/>
      <c r="S12" s="82"/>
      <c r="T12" s="82"/>
      <c r="U12" s="82"/>
      <c r="V12" s="82"/>
      <c r="W12" s="82"/>
      <c r="X12" s="82"/>
      <c r="Y12" s="84"/>
      <c r="Z12" s="81"/>
      <c r="AA12" s="82"/>
      <c r="AB12" s="61">
        <v>72</v>
      </c>
      <c r="AC12" s="61">
        <v>79</v>
      </c>
      <c r="AD12" s="82"/>
      <c r="AE12" s="82"/>
      <c r="AF12" s="61">
        <v>73</v>
      </c>
      <c r="AG12" s="83">
        <v>73</v>
      </c>
      <c r="AI12" s="85">
        <v>19</v>
      </c>
      <c r="AJ12" s="86"/>
      <c r="AK12" s="86"/>
      <c r="AL12" s="61">
        <v>97</v>
      </c>
      <c r="AM12" s="61" t="s">
        <v>70</v>
      </c>
      <c r="AN12" s="86"/>
      <c r="AO12" s="86"/>
      <c r="AP12" s="61">
        <v>97</v>
      </c>
      <c r="AQ12" s="61">
        <v>98</v>
      </c>
      <c r="AR12" s="87"/>
      <c r="AS12" s="86"/>
      <c r="AT12" s="86"/>
      <c r="AU12" s="86"/>
      <c r="AV12" s="86"/>
      <c r="AW12" s="86"/>
      <c r="AX12" s="86"/>
      <c r="AY12" s="88"/>
      <c r="AZ12" s="86"/>
      <c r="BA12" s="86"/>
      <c r="BB12" s="61">
        <v>99</v>
      </c>
      <c r="BC12" s="61" t="s">
        <v>70</v>
      </c>
      <c r="BD12" s="86"/>
      <c r="BE12" s="86"/>
      <c r="BF12" s="61" t="s">
        <v>70</v>
      </c>
      <c r="BG12" s="89">
        <v>98</v>
      </c>
    </row>
    <row r="13" spans="1:59">
      <c r="B13" s="75" t="s">
        <v>95</v>
      </c>
      <c r="C13" s="59">
        <f>Self!P30</f>
        <v>0</v>
      </c>
      <c r="D13" s="76" t="str">
        <f>IFERROR(VLOOKUP(C13,I30:AG49,C25+8,FALSE),"")</f>
        <v/>
      </c>
      <c r="E13" s="76" t="str">
        <f>IFERROR(VLOOKUP(C13,AI30:BG49,C25+8,FALSE),"")</f>
        <v/>
      </c>
      <c r="F13" s="77" t="e">
        <f>D13-(VLOOKUP("CI",I50:AG50,C25+8,FALSE))</f>
        <v>#VALUE!</v>
      </c>
      <c r="G13" s="78" t="e">
        <f>D13+(VLOOKUP("CI",I50:AG50,C25+8,FALSE))</f>
        <v>#VALUE!</v>
      </c>
      <c r="H13" s="79"/>
      <c r="I13" s="80">
        <v>18</v>
      </c>
      <c r="J13" s="81"/>
      <c r="K13" s="82"/>
      <c r="L13" s="61">
        <v>67</v>
      </c>
      <c r="M13" s="61">
        <v>72</v>
      </c>
      <c r="N13" s="82"/>
      <c r="O13" s="82"/>
      <c r="P13" s="61">
        <v>67</v>
      </c>
      <c r="Q13" s="83">
        <v>70</v>
      </c>
      <c r="R13" s="81"/>
      <c r="S13" s="82"/>
      <c r="T13" s="82"/>
      <c r="U13" s="82"/>
      <c r="V13" s="82"/>
      <c r="W13" s="82"/>
      <c r="X13" s="82"/>
      <c r="Y13" s="84"/>
      <c r="Z13" s="81"/>
      <c r="AA13" s="82"/>
      <c r="AB13" s="61">
        <v>69</v>
      </c>
      <c r="AC13" s="61">
        <v>76</v>
      </c>
      <c r="AD13" s="82"/>
      <c r="AE13" s="82"/>
      <c r="AF13" s="61">
        <v>71</v>
      </c>
      <c r="AG13" s="83">
        <v>71</v>
      </c>
      <c r="AI13" s="85">
        <v>18</v>
      </c>
      <c r="AJ13" s="86"/>
      <c r="AK13" s="86"/>
      <c r="AL13" s="61">
        <v>94</v>
      </c>
      <c r="AM13" s="61">
        <v>98</v>
      </c>
      <c r="AN13" s="86"/>
      <c r="AO13" s="86"/>
      <c r="AP13" s="61">
        <v>95</v>
      </c>
      <c r="AQ13" s="61">
        <v>97</v>
      </c>
      <c r="AR13" s="87"/>
      <c r="AS13" s="86"/>
      <c r="AT13" s="86"/>
      <c r="AU13" s="86"/>
      <c r="AV13" s="86"/>
      <c r="AW13" s="86"/>
      <c r="AX13" s="86"/>
      <c r="AY13" s="88"/>
      <c r="AZ13" s="86"/>
      <c r="BA13" s="86"/>
      <c r="BB13" s="61">
        <v>97</v>
      </c>
      <c r="BC13" s="61" t="s">
        <v>70</v>
      </c>
      <c r="BD13" s="86"/>
      <c r="BE13" s="86"/>
      <c r="BF13" s="61">
        <v>99</v>
      </c>
      <c r="BG13" s="89">
        <v>97</v>
      </c>
    </row>
    <row r="14" spans="1:59">
      <c r="B14" s="75" t="s">
        <v>73</v>
      </c>
      <c r="C14" s="59">
        <f>Self!P31</f>
        <v>0</v>
      </c>
      <c r="D14" s="76" t="str">
        <f>IFERROR(VLOOKUP(C14,I30:AG49,C25+16,FALSE),"")</f>
        <v/>
      </c>
      <c r="E14" s="76" t="str">
        <f>IFERROR(VLOOKUP(C14,AI30:BG49,C25+16,FALSE),"")</f>
        <v/>
      </c>
      <c r="F14" s="77" t="e">
        <f>D14-(VLOOKUP("CI",I50:AG50,C25+16,FALSE))</f>
        <v>#VALUE!</v>
      </c>
      <c r="G14" s="78" t="e">
        <f>D14+(VLOOKUP("CI",I50:AG50,C25+16,FALSE))</f>
        <v>#VALUE!</v>
      </c>
      <c r="H14" s="79"/>
      <c r="I14" s="80">
        <v>17</v>
      </c>
      <c r="J14" s="81"/>
      <c r="K14" s="82"/>
      <c r="L14" s="61">
        <v>64</v>
      </c>
      <c r="M14" s="61">
        <v>69</v>
      </c>
      <c r="N14" s="82"/>
      <c r="O14" s="82"/>
      <c r="P14" s="61">
        <v>64</v>
      </c>
      <c r="Q14" s="83">
        <v>67</v>
      </c>
      <c r="R14" s="81"/>
      <c r="S14" s="82"/>
      <c r="T14" s="82"/>
      <c r="U14" s="82"/>
      <c r="V14" s="82"/>
      <c r="W14" s="82"/>
      <c r="X14" s="82"/>
      <c r="Y14" s="84"/>
      <c r="Z14" s="81"/>
      <c r="AA14" s="82"/>
      <c r="AB14" s="61">
        <v>66</v>
      </c>
      <c r="AC14" s="61">
        <v>72</v>
      </c>
      <c r="AD14" s="82"/>
      <c r="AE14" s="82"/>
      <c r="AF14" s="61">
        <v>67</v>
      </c>
      <c r="AG14" s="83">
        <v>67</v>
      </c>
      <c r="AI14" s="85">
        <v>17</v>
      </c>
      <c r="AJ14" s="86"/>
      <c r="AK14" s="86"/>
      <c r="AL14" s="61">
        <v>92</v>
      </c>
      <c r="AM14" s="61">
        <v>96</v>
      </c>
      <c r="AN14" s="86"/>
      <c r="AO14" s="86"/>
      <c r="AP14" s="61">
        <v>92</v>
      </c>
      <c r="AQ14" s="61">
        <v>96</v>
      </c>
      <c r="AR14" s="87"/>
      <c r="AS14" s="86"/>
      <c r="AT14" s="86"/>
      <c r="AU14" s="86"/>
      <c r="AV14" s="86"/>
      <c r="AW14" s="86"/>
      <c r="AX14" s="86"/>
      <c r="AY14" s="88"/>
      <c r="AZ14" s="86"/>
      <c r="BA14" s="86"/>
      <c r="BB14" s="61">
        <v>93</v>
      </c>
      <c r="BC14" s="61">
        <v>98</v>
      </c>
      <c r="BD14" s="86"/>
      <c r="BE14" s="86"/>
      <c r="BF14" s="61">
        <v>97</v>
      </c>
      <c r="BG14" s="89">
        <v>94</v>
      </c>
    </row>
    <row r="15" spans="1:59">
      <c r="B15" s="75" t="s">
        <v>74</v>
      </c>
      <c r="C15" s="59">
        <f>Self!P32</f>
        <v>0</v>
      </c>
      <c r="D15" s="76" t="str">
        <f>IFERROR(VLOOKUP(C15,I53:AG74,C25,FALSE),"")</f>
        <v/>
      </c>
      <c r="E15" s="76" t="str">
        <f>IFERROR(VLOOKUP(C15,AI53:BG74,C25,FALSE),"")</f>
        <v/>
      </c>
      <c r="F15" s="77" t="e">
        <f>D15-(VLOOKUP("CI",I75:AG75,C25,FALSE))</f>
        <v>#VALUE!</v>
      </c>
      <c r="G15" s="78" t="e">
        <f>D15+(VLOOKUP("CI",I75:AG75,C25,FALSE))</f>
        <v>#VALUE!</v>
      </c>
      <c r="H15" s="79"/>
      <c r="I15" s="80">
        <v>16</v>
      </c>
      <c r="J15" s="81"/>
      <c r="K15" s="82"/>
      <c r="L15" s="61">
        <v>61</v>
      </c>
      <c r="M15" s="61">
        <v>66</v>
      </c>
      <c r="N15" s="82"/>
      <c r="O15" s="82"/>
      <c r="P15" s="61">
        <v>61</v>
      </c>
      <c r="Q15" s="83">
        <v>64</v>
      </c>
      <c r="R15" s="81"/>
      <c r="S15" s="82"/>
      <c r="T15" s="82"/>
      <c r="U15" s="82"/>
      <c r="V15" s="82"/>
      <c r="W15" s="82"/>
      <c r="X15" s="82"/>
      <c r="Y15" s="84"/>
      <c r="Z15" s="81"/>
      <c r="AA15" s="82"/>
      <c r="AB15" s="61">
        <v>63</v>
      </c>
      <c r="AC15" s="61">
        <v>69</v>
      </c>
      <c r="AD15" s="82"/>
      <c r="AE15" s="82"/>
      <c r="AF15" s="61">
        <v>64</v>
      </c>
      <c r="AG15" s="83">
        <v>64</v>
      </c>
      <c r="AI15" s="85">
        <v>16</v>
      </c>
      <c r="AJ15" s="86"/>
      <c r="AK15" s="86"/>
      <c r="AL15" s="61">
        <v>89</v>
      </c>
      <c r="AM15" s="61">
        <v>94</v>
      </c>
      <c r="AN15" s="86"/>
      <c r="AO15" s="86"/>
      <c r="AP15" s="61">
        <v>88</v>
      </c>
      <c r="AQ15" s="61">
        <v>93</v>
      </c>
      <c r="AR15" s="87"/>
      <c r="AS15" s="86"/>
      <c r="AT15" s="86"/>
      <c r="AU15" s="86"/>
      <c r="AV15" s="86"/>
      <c r="AW15" s="86"/>
      <c r="AX15" s="86"/>
      <c r="AY15" s="88"/>
      <c r="AZ15" s="86"/>
      <c r="BA15" s="86"/>
      <c r="BB15" s="61">
        <v>90</v>
      </c>
      <c r="BC15" s="61">
        <v>96</v>
      </c>
      <c r="BD15" s="86"/>
      <c r="BE15" s="86"/>
      <c r="BF15" s="61">
        <v>95</v>
      </c>
      <c r="BG15" s="89">
        <v>92</v>
      </c>
    </row>
    <row r="16" spans="1:59">
      <c r="B16" s="75" t="s">
        <v>36</v>
      </c>
      <c r="C16" s="59">
        <f>Self!P33</f>
        <v>0</v>
      </c>
      <c r="D16" s="76" t="str">
        <f>IFERROR(VLOOKUP(C16,I78:AG141,C25+16,FALSE),"")</f>
        <v/>
      </c>
      <c r="E16" s="76" t="str">
        <f>IFERROR(VLOOKUP(C16,AI78:BG141,C25+16,FALSE),"")</f>
        <v/>
      </c>
      <c r="F16" s="77" t="e">
        <f>D16-(VLOOKUP("CI",I142:AG142,C25+16,FALSE))</f>
        <v>#VALUE!</v>
      </c>
      <c r="G16" s="78" t="e">
        <f>D16+(VLOOKUP("CI",I142:AG142,C25+16,FALSE))</f>
        <v>#VALUE!</v>
      </c>
      <c r="H16" s="79"/>
      <c r="I16" s="80">
        <v>15</v>
      </c>
      <c r="J16" s="81"/>
      <c r="K16" s="82"/>
      <c r="L16" s="61">
        <v>58</v>
      </c>
      <c r="M16" s="61">
        <v>62</v>
      </c>
      <c r="N16" s="82"/>
      <c r="O16" s="82"/>
      <c r="P16" s="61">
        <v>58</v>
      </c>
      <c r="Q16" s="83">
        <v>61</v>
      </c>
      <c r="R16" s="81"/>
      <c r="S16" s="82"/>
      <c r="T16" s="61">
        <v>85</v>
      </c>
      <c r="U16" s="61">
        <v>89</v>
      </c>
      <c r="V16" s="82"/>
      <c r="W16" s="82"/>
      <c r="X16" s="61">
        <v>85</v>
      </c>
      <c r="Y16" s="83">
        <v>88</v>
      </c>
      <c r="Z16" s="81"/>
      <c r="AA16" s="82"/>
      <c r="AB16" s="61">
        <v>60</v>
      </c>
      <c r="AC16" s="61">
        <v>65</v>
      </c>
      <c r="AD16" s="82"/>
      <c r="AE16" s="82"/>
      <c r="AF16" s="61">
        <v>61</v>
      </c>
      <c r="AG16" s="83">
        <v>61</v>
      </c>
      <c r="AI16" s="85">
        <v>15</v>
      </c>
      <c r="AJ16" s="86"/>
      <c r="AK16" s="86"/>
      <c r="AL16" s="61">
        <v>85</v>
      </c>
      <c r="AM16" s="61">
        <v>85</v>
      </c>
      <c r="AN16" s="86"/>
      <c r="AO16" s="86"/>
      <c r="AP16" s="61">
        <v>83</v>
      </c>
      <c r="AQ16" s="61">
        <v>90</v>
      </c>
      <c r="AR16" s="87"/>
      <c r="AS16" s="86"/>
      <c r="AT16" s="61" t="s">
        <v>70</v>
      </c>
      <c r="AU16" s="61" t="s">
        <v>70</v>
      </c>
      <c r="AV16" s="86"/>
      <c r="AW16" s="86"/>
      <c r="AX16" s="61" t="s">
        <v>70</v>
      </c>
      <c r="AY16" s="89" t="s">
        <v>70</v>
      </c>
      <c r="AZ16" s="86"/>
      <c r="BA16" s="86"/>
      <c r="BB16" s="61">
        <v>84</v>
      </c>
      <c r="BC16" s="61">
        <v>90</v>
      </c>
      <c r="BD16" s="86"/>
      <c r="BE16" s="86"/>
      <c r="BF16" s="61">
        <v>86</v>
      </c>
      <c r="BG16" s="89">
        <v>87</v>
      </c>
    </row>
    <row r="17" spans="2:59" ht="15.75" thickBot="1">
      <c r="B17" s="92" t="s">
        <v>37</v>
      </c>
      <c r="C17" s="93">
        <f>Self!P34</f>
        <v>0</v>
      </c>
      <c r="D17" s="94" t="str">
        <f>IFERROR(VLOOKUP(C17,I145:Q250,C25,FALSE),"")</f>
        <v/>
      </c>
      <c r="E17" s="94" t="str">
        <f>IFERROR(VLOOKUP(C17,AI145:AQ250,C25,FALSE),"")</f>
        <v/>
      </c>
      <c r="F17" s="95" t="e">
        <f>D17-(VLOOKUP("CI",I251:Q251,C25,FALSE))</f>
        <v>#VALUE!</v>
      </c>
      <c r="G17" s="96" t="e">
        <f>D17+(VLOOKUP("CI",I251:Q251,C25,FALSE))</f>
        <v>#VALUE!</v>
      </c>
      <c r="H17" s="79"/>
      <c r="I17" s="80">
        <v>14</v>
      </c>
      <c r="J17" s="81"/>
      <c r="K17" s="82"/>
      <c r="L17" s="61">
        <v>55</v>
      </c>
      <c r="M17" s="61">
        <v>59</v>
      </c>
      <c r="N17" s="82"/>
      <c r="O17" s="82"/>
      <c r="P17" s="61">
        <v>55</v>
      </c>
      <c r="Q17" s="83">
        <v>58</v>
      </c>
      <c r="R17" s="81"/>
      <c r="S17" s="82"/>
      <c r="T17" s="61">
        <v>81</v>
      </c>
      <c r="U17" s="61">
        <v>84</v>
      </c>
      <c r="V17" s="82"/>
      <c r="W17" s="82"/>
      <c r="X17" s="61">
        <v>81</v>
      </c>
      <c r="Y17" s="83">
        <v>84</v>
      </c>
      <c r="Z17" s="81"/>
      <c r="AA17" s="82"/>
      <c r="AB17" s="61">
        <v>57</v>
      </c>
      <c r="AC17" s="61">
        <v>62</v>
      </c>
      <c r="AD17" s="82"/>
      <c r="AE17" s="82"/>
      <c r="AF17" s="61">
        <v>57</v>
      </c>
      <c r="AG17" s="83">
        <v>58</v>
      </c>
      <c r="AI17" s="85">
        <v>14</v>
      </c>
      <c r="AJ17" s="86"/>
      <c r="AK17" s="86"/>
      <c r="AL17" s="61">
        <v>74</v>
      </c>
      <c r="AM17" s="61">
        <v>80</v>
      </c>
      <c r="AN17" s="86"/>
      <c r="AO17" s="86"/>
      <c r="AP17" s="61">
        <v>73</v>
      </c>
      <c r="AQ17" s="61">
        <v>81</v>
      </c>
      <c r="AR17" s="87"/>
      <c r="AS17" s="86"/>
      <c r="AT17" s="61" t="s">
        <v>70</v>
      </c>
      <c r="AU17" s="61" t="s">
        <v>70</v>
      </c>
      <c r="AV17" s="86"/>
      <c r="AW17" s="86"/>
      <c r="AX17" s="61">
        <v>99</v>
      </c>
      <c r="AY17" s="89">
        <v>99</v>
      </c>
      <c r="AZ17" s="86"/>
      <c r="BA17" s="86"/>
      <c r="BB17" s="61">
        <v>80</v>
      </c>
      <c r="BC17" s="61">
        <v>87</v>
      </c>
      <c r="BD17" s="86"/>
      <c r="BE17" s="86"/>
      <c r="BF17" s="61">
        <v>77</v>
      </c>
      <c r="BG17" s="89">
        <v>81</v>
      </c>
    </row>
    <row r="18" spans="2:59" ht="15.75" thickTop="1">
      <c r="H18" s="79"/>
      <c r="I18" s="80">
        <v>13</v>
      </c>
      <c r="J18" s="81"/>
      <c r="K18" s="82"/>
      <c r="L18" s="61">
        <v>52</v>
      </c>
      <c r="M18" s="61">
        <v>56</v>
      </c>
      <c r="N18" s="82"/>
      <c r="O18" s="82"/>
      <c r="P18" s="61">
        <v>52</v>
      </c>
      <c r="Q18" s="83">
        <v>55</v>
      </c>
      <c r="R18" s="81"/>
      <c r="S18" s="82"/>
      <c r="T18" s="61">
        <v>76</v>
      </c>
      <c r="U18" s="61">
        <v>79</v>
      </c>
      <c r="V18" s="82"/>
      <c r="W18" s="82"/>
      <c r="X18" s="61">
        <v>76</v>
      </c>
      <c r="Y18" s="83">
        <v>79</v>
      </c>
      <c r="Z18" s="81"/>
      <c r="AA18" s="82"/>
      <c r="AB18" s="61">
        <v>54</v>
      </c>
      <c r="AC18" s="61">
        <v>58</v>
      </c>
      <c r="AD18" s="82"/>
      <c r="AE18" s="82"/>
      <c r="AF18" s="61">
        <v>54</v>
      </c>
      <c r="AG18" s="83">
        <v>55</v>
      </c>
      <c r="AI18" s="85">
        <v>13</v>
      </c>
      <c r="AJ18" s="86"/>
      <c r="AK18" s="86"/>
      <c r="AL18" s="61">
        <v>65</v>
      </c>
      <c r="AM18" s="61">
        <v>77</v>
      </c>
      <c r="AN18" s="86"/>
      <c r="AO18" s="86"/>
      <c r="AP18" s="61">
        <v>63</v>
      </c>
      <c r="AQ18" s="61">
        <v>73</v>
      </c>
      <c r="AR18" s="87"/>
      <c r="AS18" s="86"/>
      <c r="AT18" s="61">
        <v>99</v>
      </c>
      <c r="AU18" s="61">
        <v>99</v>
      </c>
      <c r="AV18" s="86"/>
      <c r="AW18" s="86"/>
      <c r="AX18" s="61">
        <v>99</v>
      </c>
      <c r="AY18" s="89">
        <v>98</v>
      </c>
      <c r="AZ18" s="86"/>
      <c r="BA18" s="86"/>
      <c r="BB18" s="61">
        <v>72</v>
      </c>
      <c r="BC18" s="61">
        <v>82</v>
      </c>
      <c r="BD18" s="86"/>
      <c r="BE18" s="86"/>
      <c r="BF18" s="61">
        <v>69</v>
      </c>
      <c r="BG18" s="89">
        <v>74</v>
      </c>
    </row>
    <row r="19" spans="2:59">
      <c r="H19" s="79"/>
      <c r="I19" s="80">
        <v>12</v>
      </c>
      <c r="J19" s="81"/>
      <c r="K19" s="82"/>
      <c r="L19" s="61">
        <v>49</v>
      </c>
      <c r="M19" s="61">
        <v>53</v>
      </c>
      <c r="N19" s="82"/>
      <c r="O19" s="82"/>
      <c r="P19" s="61">
        <v>49</v>
      </c>
      <c r="Q19" s="83">
        <v>51</v>
      </c>
      <c r="R19" s="81"/>
      <c r="S19" s="82"/>
      <c r="T19" s="61">
        <v>72</v>
      </c>
      <c r="U19" s="61">
        <v>75</v>
      </c>
      <c r="V19" s="82"/>
      <c r="W19" s="82"/>
      <c r="X19" s="61">
        <v>72</v>
      </c>
      <c r="Y19" s="83">
        <v>74</v>
      </c>
      <c r="Z19" s="81"/>
      <c r="AA19" s="82"/>
      <c r="AB19" s="61">
        <v>51</v>
      </c>
      <c r="AC19" s="61">
        <v>55</v>
      </c>
      <c r="AD19" s="82"/>
      <c r="AE19" s="82"/>
      <c r="AF19" s="61">
        <v>51</v>
      </c>
      <c r="AG19" s="83">
        <v>52</v>
      </c>
      <c r="AI19" s="85">
        <v>12</v>
      </c>
      <c r="AJ19" s="86"/>
      <c r="AK19" s="86"/>
      <c r="AL19" s="61">
        <v>56</v>
      </c>
      <c r="AM19" s="61">
        <v>71</v>
      </c>
      <c r="AN19" s="86"/>
      <c r="AO19" s="86"/>
      <c r="AP19" s="61">
        <v>54</v>
      </c>
      <c r="AQ19" s="61">
        <v>65</v>
      </c>
      <c r="AR19" s="87"/>
      <c r="AS19" s="86"/>
      <c r="AT19" s="61">
        <v>98</v>
      </c>
      <c r="AU19" s="61">
        <v>98</v>
      </c>
      <c r="AV19" s="86"/>
      <c r="AW19" s="86"/>
      <c r="AX19" s="61">
        <v>97</v>
      </c>
      <c r="AY19" s="89">
        <v>98</v>
      </c>
      <c r="AZ19" s="86"/>
      <c r="BA19" s="86"/>
      <c r="BB19" s="61">
        <v>65</v>
      </c>
      <c r="BC19" s="61">
        <v>73</v>
      </c>
      <c r="BD19" s="86"/>
      <c r="BE19" s="86"/>
      <c r="BF19" s="61">
        <v>58</v>
      </c>
      <c r="BG19" s="89">
        <v>64</v>
      </c>
    </row>
    <row r="20" spans="2:59">
      <c r="I20" s="80">
        <v>11</v>
      </c>
      <c r="J20" s="81"/>
      <c r="K20" s="82"/>
      <c r="L20" s="61">
        <v>46</v>
      </c>
      <c r="M20" s="61">
        <v>50</v>
      </c>
      <c r="N20" s="82"/>
      <c r="O20" s="82"/>
      <c r="P20" s="61">
        <v>46</v>
      </c>
      <c r="Q20" s="83">
        <v>48</v>
      </c>
      <c r="R20" s="81"/>
      <c r="S20" s="82"/>
      <c r="T20" s="61">
        <v>67</v>
      </c>
      <c r="U20" s="61">
        <v>70</v>
      </c>
      <c r="V20" s="82"/>
      <c r="W20" s="82"/>
      <c r="X20" s="61">
        <v>67</v>
      </c>
      <c r="Y20" s="83">
        <v>70</v>
      </c>
      <c r="Z20" s="81"/>
      <c r="AA20" s="82"/>
      <c r="AB20" s="61">
        <v>48</v>
      </c>
      <c r="AC20" s="61">
        <v>52</v>
      </c>
      <c r="AD20" s="82"/>
      <c r="AE20" s="82"/>
      <c r="AF20" s="61">
        <v>47</v>
      </c>
      <c r="AG20" s="83">
        <v>49</v>
      </c>
      <c r="AI20" s="85">
        <v>11</v>
      </c>
      <c r="AJ20" s="86"/>
      <c r="AK20" s="86"/>
      <c r="AL20" s="61">
        <v>45</v>
      </c>
      <c r="AM20" s="61">
        <v>66</v>
      </c>
      <c r="AN20" s="86"/>
      <c r="AO20" s="86"/>
      <c r="AP20" s="61">
        <v>46</v>
      </c>
      <c r="AQ20" s="61">
        <v>55</v>
      </c>
      <c r="AR20" s="87"/>
      <c r="AS20" s="86"/>
      <c r="AT20" s="61">
        <v>95</v>
      </c>
      <c r="AU20" s="61">
        <v>96</v>
      </c>
      <c r="AV20" s="86"/>
      <c r="AW20" s="86"/>
      <c r="AX20" s="61">
        <v>96</v>
      </c>
      <c r="AY20" s="89">
        <v>97</v>
      </c>
      <c r="AZ20" s="86"/>
      <c r="BA20" s="86"/>
      <c r="BB20" s="61">
        <v>55</v>
      </c>
      <c r="BC20" s="61">
        <v>67</v>
      </c>
      <c r="BD20" s="86"/>
      <c r="BE20" s="86"/>
      <c r="BF20" s="61">
        <v>48</v>
      </c>
      <c r="BG20" s="89">
        <v>58</v>
      </c>
    </row>
    <row r="21" spans="2:59">
      <c r="B21" s="58"/>
      <c r="C21" s="70" t="s">
        <v>4</v>
      </c>
      <c r="D21" s="70" t="s">
        <v>67</v>
      </c>
      <c r="E21" s="70" t="s">
        <v>68</v>
      </c>
      <c r="F21" s="70" t="s">
        <v>51</v>
      </c>
      <c r="I21" s="80">
        <v>10</v>
      </c>
      <c r="J21" s="81"/>
      <c r="K21" s="82"/>
      <c r="L21" s="61">
        <v>43</v>
      </c>
      <c r="M21" s="61">
        <v>46</v>
      </c>
      <c r="N21" s="82"/>
      <c r="O21" s="82"/>
      <c r="P21" s="61">
        <v>43</v>
      </c>
      <c r="Q21" s="83">
        <v>45</v>
      </c>
      <c r="R21" s="81"/>
      <c r="S21" s="82"/>
      <c r="T21" s="61">
        <v>63</v>
      </c>
      <c r="U21" s="61">
        <v>65</v>
      </c>
      <c r="V21" s="82"/>
      <c r="W21" s="82"/>
      <c r="X21" s="61">
        <v>63</v>
      </c>
      <c r="Y21" s="83">
        <v>65</v>
      </c>
      <c r="Z21" s="81"/>
      <c r="AA21" s="82"/>
      <c r="AB21" s="61">
        <v>45</v>
      </c>
      <c r="AC21" s="61">
        <v>48</v>
      </c>
      <c r="AD21" s="82"/>
      <c r="AE21" s="82"/>
      <c r="AF21" s="61">
        <v>44</v>
      </c>
      <c r="AG21" s="83">
        <v>46</v>
      </c>
      <c r="AI21" s="85">
        <v>10</v>
      </c>
      <c r="AJ21" s="86"/>
      <c r="AK21" s="86"/>
      <c r="AL21" s="61">
        <v>37</v>
      </c>
      <c r="AM21" s="61">
        <v>55</v>
      </c>
      <c r="AN21" s="86"/>
      <c r="AO21" s="86"/>
      <c r="AP21" s="61">
        <v>35</v>
      </c>
      <c r="AQ21" s="61">
        <v>47</v>
      </c>
      <c r="AR21" s="87"/>
      <c r="AS21" s="86"/>
      <c r="AT21" s="61">
        <v>91</v>
      </c>
      <c r="AU21" s="61">
        <v>94</v>
      </c>
      <c r="AV21" s="86"/>
      <c r="AW21" s="86"/>
      <c r="AX21" s="61">
        <v>94</v>
      </c>
      <c r="AY21" s="89">
        <v>94</v>
      </c>
      <c r="AZ21" s="86"/>
      <c r="BA21" s="86"/>
      <c r="BB21" s="61">
        <v>48</v>
      </c>
      <c r="BC21" s="61">
        <v>59</v>
      </c>
      <c r="BD21" s="86"/>
      <c r="BE21" s="86"/>
      <c r="BF21" s="61">
        <v>39</v>
      </c>
      <c r="BG21" s="89">
        <v>49</v>
      </c>
    </row>
    <row r="22" spans="2:59">
      <c r="B22" s="97" t="s">
        <v>8</v>
      </c>
      <c r="C22" s="98">
        <v>2</v>
      </c>
      <c r="D22" s="98">
        <v>3</v>
      </c>
      <c r="E22" s="98">
        <v>4</v>
      </c>
      <c r="F22" s="98">
        <v>5</v>
      </c>
      <c r="I22" s="80">
        <v>9</v>
      </c>
      <c r="J22" s="81"/>
      <c r="K22" s="82"/>
      <c r="L22" s="61">
        <v>40</v>
      </c>
      <c r="M22" s="61">
        <v>43</v>
      </c>
      <c r="N22" s="82"/>
      <c r="O22" s="82"/>
      <c r="P22" s="61">
        <v>40</v>
      </c>
      <c r="Q22" s="83">
        <v>42</v>
      </c>
      <c r="R22" s="81"/>
      <c r="S22" s="82"/>
      <c r="T22" s="61">
        <v>58</v>
      </c>
      <c r="U22" s="61">
        <v>61</v>
      </c>
      <c r="V22" s="82"/>
      <c r="W22" s="82"/>
      <c r="X22" s="61">
        <v>58</v>
      </c>
      <c r="Y22" s="83">
        <v>60</v>
      </c>
      <c r="Z22" s="81"/>
      <c r="AA22" s="82"/>
      <c r="AB22" s="61">
        <v>42</v>
      </c>
      <c r="AC22" s="61">
        <v>45</v>
      </c>
      <c r="AD22" s="82"/>
      <c r="AE22" s="82"/>
      <c r="AF22" s="61">
        <v>41</v>
      </c>
      <c r="AG22" s="83">
        <v>43</v>
      </c>
      <c r="AI22" s="85">
        <v>9</v>
      </c>
      <c r="AJ22" s="86"/>
      <c r="AK22" s="86"/>
      <c r="AL22" s="61">
        <v>28</v>
      </c>
      <c r="AM22" s="61">
        <v>40</v>
      </c>
      <c r="AN22" s="86"/>
      <c r="AO22" s="86"/>
      <c r="AP22" s="61">
        <v>22</v>
      </c>
      <c r="AQ22" s="61">
        <v>33</v>
      </c>
      <c r="AR22" s="87"/>
      <c r="AS22" s="86"/>
      <c r="AT22" s="61">
        <v>81</v>
      </c>
      <c r="AU22" s="61">
        <v>86</v>
      </c>
      <c r="AV22" s="86"/>
      <c r="AW22" s="86"/>
      <c r="AX22" s="61">
        <v>84</v>
      </c>
      <c r="AY22" s="89">
        <v>87</v>
      </c>
      <c r="AZ22" s="86"/>
      <c r="BA22" s="86"/>
      <c r="BB22" s="61">
        <v>37</v>
      </c>
      <c r="BC22" s="61">
        <v>53</v>
      </c>
      <c r="BD22" s="86"/>
      <c r="BE22" s="86"/>
      <c r="BF22" s="61">
        <v>31</v>
      </c>
      <c r="BG22" s="89">
        <v>37</v>
      </c>
    </row>
    <row r="23" spans="2:59">
      <c r="B23" s="97" t="s">
        <v>61</v>
      </c>
      <c r="C23" s="98">
        <v>6</v>
      </c>
      <c r="D23" s="98">
        <v>7</v>
      </c>
      <c r="E23" s="98">
        <v>8</v>
      </c>
      <c r="F23" s="98">
        <v>9</v>
      </c>
      <c r="I23" s="80">
        <v>8</v>
      </c>
      <c r="J23" s="81"/>
      <c r="K23" s="82"/>
      <c r="L23" s="61">
        <v>38</v>
      </c>
      <c r="M23" s="61">
        <v>40</v>
      </c>
      <c r="N23" s="82"/>
      <c r="O23" s="82"/>
      <c r="P23" s="61">
        <v>37</v>
      </c>
      <c r="Q23" s="83">
        <v>39</v>
      </c>
      <c r="R23" s="81"/>
      <c r="S23" s="82"/>
      <c r="T23" s="61">
        <v>54</v>
      </c>
      <c r="U23" s="61">
        <v>56</v>
      </c>
      <c r="V23" s="82"/>
      <c r="W23" s="82"/>
      <c r="X23" s="61">
        <v>54</v>
      </c>
      <c r="Y23" s="83">
        <v>55</v>
      </c>
      <c r="Z23" s="81"/>
      <c r="AA23" s="82"/>
      <c r="AB23" s="61">
        <v>39</v>
      </c>
      <c r="AC23" s="61">
        <v>41</v>
      </c>
      <c r="AD23" s="82"/>
      <c r="AE23" s="82"/>
      <c r="AF23" s="61">
        <v>37</v>
      </c>
      <c r="AG23" s="83">
        <v>39</v>
      </c>
      <c r="AI23" s="85">
        <v>8</v>
      </c>
      <c r="AJ23" s="86"/>
      <c r="AK23" s="86"/>
      <c r="AL23" s="61">
        <v>14</v>
      </c>
      <c r="AM23" s="61">
        <v>24</v>
      </c>
      <c r="AN23" s="86"/>
      <c r="AO23" s="86"/>
      <c r="AP23" s="61">
        <v>12</v>
      </c>
      <c r="AQ23" s="61">
        <v>19</v>
      </c>
      <c r="AR23" s="87"/>
      <c r="AS23" s="86"/>
      <c r="AT23" s="61">
        <v>73</v>
      </c>
      <c r="AU23" s="61">
        <v>79</v>
      </c>
      <c r="AV23" s="86"/>
      <c r="AW23" s="86"/>
      <c r="AX23" s="61">
        <v>69</v>
      </c>
      <c r="AY23" s="89">
        <v>80</v>
      </c>
      <c r="AZ23" s="86"/>
      <c r="BA23" s="86"/>
      <c r="BB23" s="61">
        <v>26</v>
      </c>
      <c r="BC23" s="61">
        <v>38</v>
      </c>
      <c r="BD23" s="86"/>
      <c r="BE23" s="86"/>
      <c r="BF23" s="61">
        <v>19</v>
      </c>
      <c r="BG23" s="89">
        <v>24</v>
      </c>
    </row>
    <row r="24" spans="2:59">
      <c r="B24" s="99"/>
      <c r="C24" s="100"/>
      <c r="D24" s="101"/>
      <c r="E24" s="101"/>
      <c r="F24" s="101"/>
      <c r="I24" s="80">
        <v>7</v>
      </c>
      <c r="J24" s="81"/>
      <c r="K24" s="82"/>
      <c r="L24" s="82"/>
      <c r="M24" s="82"/>
      <c r="N24" s="82"/>
      <c r="O24" s="82"/>
      <c r="P24" s="82"/>
      <c r="Q24" s="84"/>
      <c r="R24" s="81"/>
      <c r="S24" s="82"/>
      <c r="T24" s="61">
        <v>49</v>
      </c>
      <c r="U24" s="61">
        <v>51</v>
      </c>
      <c r="V24" s="82"/>
      <c r="W24" s="82"/>
      <c r="X24" s="61">
        <v>49</v>
      </c>
      <c r="Y24" s="83">
        <v>51</v>
      </c>
      <c r="Z24" s="81"/>
      <c r="AA24" s="82"/>
      <c r="AB24" s="82"/>
      <c r="AC24" s="82"/>
      <c r="AD24" s="82"/>
      <c r="AE24" s="82"/>
      <c r="AF24" s="82"/>
      <c r="AG24" s="84"/>
      <c r="AI24" s="85">
        <v>7</v>
      </c>
      <c r="AJ24" s="86"/>
      <c r="AK24" s="86"/>
      <c r="AL24" s="86"/>
      <c r="AM24" s="86"/>
      <c r="AN24" s="86"/>
      <c r="AO24" s="86"/>
      <c r="AP24" s="86"/>
      <c r="AQ24" s="86"/>
      <c r="AR24" s="87"/>
      <c r="AS24" s="86"/>
      <c r="AT24" s="61">
        <v>60</v>
      </c>
      <c r="AU24" s="61">
        <v>71</v>
      </c>
      <c r="AV24" s="86"/>
      <c r="AW24" s="86"/>
      <c r="AX24" s="61">
        <v>61</v>
      </c>
      <c r="AY24" s="89">
        <v>69</v>
      </c>
      <c r="AZ24" s="86"/>
      <c r="BA24" s="86"/>
      <c r="BB24" s="86"/>
      <c r="BC24" s="86"/>
      <c r="BD24" s="86"/>
      <c r="BE24" s="86"/>
      <c r="BF24" s="86"/>
      <c r="BG24" s="88"/>
    </row>
    <row r="25" spans="2:59">
      <c r="B25" s="97" t="s">
        <v>77</v>
      </c>
      <c r="C25" s="98">
        <f>IFERROR(INDEX(B21:F23,MATCH(C4,B21:B23,0),MATCH(C3,B21:F21,0)),"")</f>
        <v>5</v>
      </c>
      <c r="D25" s="101"/>
      <c r="E25" s="101"/>
      <c r="F25" s="101"/>
      <c r="I25" s="80">
        <v>6</v>
      </c>
      <c r="J25" s="81"/>
      <c r="K25" s="82"/>
      <c r="L25" s="82"/>
      <c r="M25" s="82"/>
      <c r="N25" s="82"/>
      <c r="O25" s="82"/>
      <c r="P25" s="82"/>
      <c r="Q25" s="84"/>
      <c r="R25" s="81"/>
      <c r="S25" s="82"/>
      <c r="T25" s="61">
        <v>45</v>
      </c>
      <c r="U25" s="61">
        <v>47</v>
      </c>
      <c r="V25" s="82"/>
      <c r="W25" s="82"/>
      <c r="X25" s="61">
        <v>45</v>
      </c>
      <c r="Y25" s="83">
        <v>46</v>
      </c>
      <c r="Z25" s="81"/>
      <c r="AA25" s="82"/>
      <c r="AB25" s="82"/>
      <c r="AC25" s="82"/>
      <c r="AD25" s="82"/>
      <c r="AE25" s="82"/>
      <c r="AF25" s="82"/>
      <c r="AG25" s="84"/>
      <c r="AI25" s="85">
        <v>6</v>
      </c>
      <c r="AJ25" s="86"/>
      <c r="AK25" s="86"/>
      <c r="AL25" s="86"/>
      <c r="AM25" s="86"/>
      <c r="AN25" s="86"/>
      <c r="AO25" s="86"/>
      <c r="AP25" s="86"/>
      <c r="AQ25" s="86"/>
      <c r="AR25" s="87"/>
      <c r="AS25" s="86"/>
      <c r="AT25" s="61">
        <v>51</v>
      </c>
      <c r="AU25" s="61">
        <v>63</v>
      </c>
      <c r="AV25" s="86"/>
      <c r="AW25" s="86"/>
      <c r="AX25" s="61">
        <v>54</v>
      </c>
      <c r="AY25" s="89">
        <v>54</v>
      </c>
      <c r="AZ25" s="86"/>
      <c r="BA25" s="86"/>
      <c r="BB25" s="86"/>
      <c r="BC25" s="86"/>
      <c r="BD25" s="86"/>
      <c r="BE25" s="86"/>
      <c r="BF25" s="86"/>
      <c r="BG25" s="88"/>
    </row>
    <row r="26" spans="2:59" ht="15.75" thickBot="1">
      <c r="C26" s="101"/>
      <c r="D26" s="101"/>
      <c r="E26" s="101"/>
      <c r="F26" s="101"/>
      <c r="I26" s="80">
        <v>5</v>
      </c>
      <c r="J26" s="81"/>
      <c r="K26" s="82"/>
      <c r="L26" s="82"/>
      <c r="M26" s="82"/>
      <c r="N26" s="82"/>
      <c r="O26" s="82"/>
      <c r="P26" s="82"/>
      <c r="Q26" s="84"/>
      <c r="R26" s="81"/>
      <c r="S26" s="82"/>
      <c r="T26" s="61">
        <v>40</v>
      </c>
      <c r="U26" s="61">
        <v>42</v>
      </c>
      <c r="V26" s="82"/>
      <c r="W26" s="82"/>
      <c r="X26" s="61">
        <v>40</v>
      </c>
      <c r="Y26" s="83">
        <v>41</v>
      </c>
      <c r="Z26" s="81"/>
      <c r="AA26" s="82"/>
      <c r="AB26" s="82"/>
      <c r="AC26" s="82"/>
      <c r="AD26" s="82"/>
      <c r="AE26" s="82"/>
      <c r="AF26" s="82"/>
      <c r="AG26" s="84"/>
      <c r="AI26" s="102">
        <v>5</v>
      </c>
      <c r="AJ26" s="103"/>
      <c r="AK26" s="103"/>
      <c r="AL26" s="103"/>
      <c r="AM26" s="103"/>
      <c r="AN26" s="103"/>
      <c r="AO26" s="103"/>
      <c r="AP26" s="103"/>
      <c r="AQ26" s="103"/>
      <c r="AR26" s="104"/>
      <c r="AS26" s="103"/>
      <c r="AT26" s="105">
        <v>30</v>
      </c>
      <c r="AU26" s="105">
        <v>44</v>
      </c>
      <c r="AV26" s="103"/>
      <c r="AW26" s="103"/>
      <c r="AX26" s="105">
        <v>33</v>
      </c>
      <c r="AY26" s="106">
        <v>40</v>
      </c>
      <c r="AZ26" s="103"/>
      <c r="BA26" s="103"/>
      <c r="BB26" s="103"/>
      <c r="BC26" s="103"/>
      <c r="BD26" s="103"/>
      <c r="BE26" s="103"/>
      <c r="BF26" s="103"/>
      <c r="BG26" s="107"/>
    </row>
    <row r="27" spans="2:59" ht="16.5" thickTop="1" thickBot="1">
      <c r="C27" s="101"/>
      <c r="D27" s="101"/>
      <c r="E27" s="101"/>
      <c r="F27" s="101"/>
      <c r="I27" s="108" t="s">
        <v>78</v>
      </c>
      <c r="J27" s="109"/>
      <c r="K27" s="110"/>
      <c r="L27" s="110">
        <v>6</v>
      </c>
      <c r="M27" s="110">
        <v>6</v>
      </c>
      <c r="N27" s="110"/>
      <c r="O27" s="110"/>
      <c r="P27" s="110">
        <v>7</v>
      </c>
      <c r="Q27" s="110">
        <v>7</v>
      </c>
      <c r="R27" s="109"/>
      <c r="S27" s="110"/>
      <c r="T27" s="110">
        <v>8</v>
      </c>
      <c r="U27" s="110">
        <v>7</v>
      </c>
      <c r="V27" s="110"/>
      <c r="W27" s="110"/>
      <c r="X27" s="110">
        <v>7</v>
      </c>
      <c r="Y27" s="111">
        <v>7</v>
      </c>
      <c r="Z27" s="110"/>
      <c r="AA27" s="110"/>
      <c r="AB27" s="110">
        <v>6</v>
      </c>
      <c r="AC27" s="110">
        <v>6</v>
      </c>
      <c r="AD27" s="110"/>
      <c r="AE27" s="110"/>
      <c r="AF27" s="110">
        <v>7</v>
      </c>
      <c r="AG27" s="111">
        <v>6</v>
      </c>
    </row>
    <row r="28" spans="2:59" ht="15.75" thickTop="1">
      <c r="I28" s="112"/>
      <c r="J28" s="273" t="s">
        <v>79</v>
      </c>
      <c r="K28" s="273"/>
      <c r="L28" s="273"/>
      <c r="M28" s="273"/>
      <c r="N28" s="273"/>
      <c r="O28" s="273"/>
      <c r="P28" s="273"/>
      <c r="Q28" s="273"/>
      <c r="R28" s="278" t="s">
        <v>96</v>
      </c>
      <c r="S28" s="273"/>
      <c r="T28" s="273"/>
      <c r="U28" s="273"/>
      <c r="V28" s="273"/>
      <c r="W28" s="273"/>
      <c r="X28" s="273"/>
      <c r="Y28" s="274"/>
      <c r="Z28" s="273" t="s">
        <v>81</v>
      </c>
      <c r="AA28" s="273"/>
      <c r="AB28" s="273"/>
      <c r="AC28" s="273"/>
      <c r="AD28" s="273"/>
      <c r="AE28" s="273"/>
      <c r="AF28" s="273"/>
      <c r="AG28" s="274"/>
      <c r="AI28" s="63"/>
      <c r="AJ28" s="267" t="s">
        <v>82</v>
      </c>
      <c r="AK28" s="267"/>
      <c r="AL28" s="267"/>
      <c r="AM28" s="267"/>
      <c r="AN28" s="267"/>
      <c r="AO28" s="267"/>
      <c r="AP28" s="267"/>
      <c r="AQ28" s="267"/>
      <c r="AR28" s="271" t="s">
        <v>97</v>
      </c>
      <c r="AS28" s="267"/>
      <c r="AT28" s="267"/>
      <c r="AU28" s="267"/>
      <c r="AV28" s="267"/>
      <c r="AW28" s="267"/>
      <c r="AX28" s="267"/>
      <c r="AY28" s="268"/>
      <c r="AZ28" s="267" t="s">
        <v>84</v>
      </c>
      <c r="BA28" s="267"/>
      <c r="BB28" s="267"/>
      <c r="BC28" s="267"/>
      <c r="BD28" s="267"/>
      <c r="BE28" s="267"/>
      <c r="BF28" s="267"/>
      <c r="BG28" s="268"/>
    </row>
    <row r="29" spans="2:59">
      <c r="I29" s="113"/>
      <c r="J29" s="269" t="s">
        <v>8</v>
      </c>
      <c r="K29" s="269"/>
      <c r="L29" s="269"/>
      <c r="M29" s="269"/>
      <c r="N29" s="269" t="s">
        <v>61</v>
      </c>
      <c r="O29" s="269"/>
      <c r="P29" s="269"/>
      <c r="Q29" s="269"/>
      <c r="R29" s="279" t="s">
        <v>8</v>
      </c>
      <c r="S29" s="269"/>
      <c r="T29" s="269"/>
      <c r="U29" s="269"/>
      <c r="V29" s="269" t="s">
        <v>61</v>
      </c>
      <c r="W29" s="269"/>
      <c r="X29" s="269"/>
      <c r="Y29" s="275"/>
      <c r="Z29" s="269" t="s">
        <v>8</v>
      </c>
      <c r="AA29" s="269"/>
      <c r="AB29" s="269"/>
      <c r="AC29" s="269"/>
      <c r="AD29" s="269" t="s">
        <v>61</v>
      </c>
      <c r="AE29" s="269"/>
      <c r="AF29" s="269"/>
      <c r="AG29" s="275"/>
      <c r="AI29" s="65"/>
      <c r="AJ29" s="269" t="s">
        <v>8</v>
      </c>
      <c r="AK29" s="269"/>
      <c r="AL29" s="269"/>
      <c r="AM29" s="269"/>
      <c r="AN29" s="269" t="s">
        <v>61</v>
      </c>
      <c r="AO29" s="269"/>
      <c r="AP29" s="269"/>
      <c r="AQ29" s="269"/>
      <c r="AR29" s="272" t="s">
        <v>8</v>
      </c>
      <c r="AS29" s="269"/>
      <c r="AT29" s="269"/>
      <c r="AU29" s="269"/>
      <c r="AV29" s="269" t="s">
        <v>61</v>
      </c>
      <c r="AW29" s="269"/>
      <c r="AX29" s="269"/>
      <c r="AY29" s="270"/>
      <c r="AZ29" s="269" t="s">
        <v>8</v>
      </c>
      <c r="BA29" s="269"/>
      <c r="BB29" s="269"/>
      <c r="BC29" s="269"/>
      <c r="BD29" s="269" t="s">
        <v>61</v>
      </c>
      <c r="BE29" s="269"/>
      <c r="BF29" s="269"/>
      <c r="BG29" s="270"/>
    </row>
    <row r="30" spans="2:59">
      <c r="I30" s="114" t="s">
        <v>66</v>
      </c>
      <c r="J30" s="70" t="s">
        <v>4</v>
      </c>
      <c r="K30" s="70" t="s">
        <v>67</v>
      </c>
      <c r="L30" s="70" t="s">
        <v>68</v>
      </c>
      <c r="M30" s="70" t="s">
        <v>51</v>
      </c>
      <c r="N30" s="70" t="s">
        <v>4</v>
      </c>
      <c r="O30" s="70" t="s">
        <v>67</v>
      </c>
      <c r="P30" s="70" t="s">
        <v>68</v>
      </c>
      <c r="Q30" s="70" t="s">
        <v>51</v>
      </c>
      <c r="R30" s="69" t="s">
        <v>4</v>
      </c>
      <c r="S30" s="70" t="s">
        <v>67</v>
      </c>
      <c r="T30" s="70" t="s">
        <v>68</v>
      </c>
      <c r="U30" s="70" t="s">
        <v>51</v>
      </c>
      <c r="V30" s="70" t="s">
        <v>4</v>
      </c>
      <c r="W30" s="70" t="s">
        <v>67</v>
      </c>
      <c r="X30" s="70" t="s">
        <v>68</v>
      </c>
      <c r="Y30" s="71" t="s">
        <v>51</v>
      </c>
      <c r="Z30" s="70" t="s">
        <v>4</v>
      </c>
      <c r="AA30" s="70" t="s">
        <v>67</v>
      </c>
      <c r="AB30" s="70" t="s">
        <v>68</v>
      </c>
      <c r="AC30" s="70" t="s">
        <v>51</v>
      </c>
      <c r="AD30" s="70" t="s">
        <v>4</v>
      </c>
      <c r="AE30" s="70" t="s">
        <v>67</v>
      </c>
      <c r="AF30" s="70" t="s">
        <v>68</v>
      </c>
      <c r="AG30" s="71" t="s">
        <v>51</v>
      </c>
      <c r="AI30" s="72" t="s">
        <v>66</v>
      </c>
      <c r="AJ30" s="70" t="s">
        <v>4</v>
      </c>
      <c r="AK30" s="70" t="s">
        <v>67</v>
      </c>
      <c r="AL30" s="70" t="s">
        <v>68</v>
      </c>
      <c r="AM30" s="70" t="s">
        <v>51</v>
      </c>
      <c r="AN30" s="70" t="s">
        <v>4</v>
      </c>
      <c r="AO30" s="70" t="s">
        <v>67</v>
      </c>
      <c r="AP30" s="70" t="s">
        <v>68</v>
      </c>
      <c r="AQ30" s="70" t="s">
        <v>51</v>
      </c>
      <c r="AR30" s="73" t="s">
        <v>4</v>
      </c>
      <c r="AS30" s="70" t="s">
        <v>67</v>
      </c>
      <c r="AT30" s="70" t="s">
        <v>68</v>
      </c>
      <c r="AU30" s="70" t="s">
        <v>51</v>
      </c>
      <c r="AV30" s="70" t="s">
        <v>4</v>
      </c>
      <c r="AW30" s="70" t="s">
        <v>67</v>
      </c>
      <c r="AX30" s="70" t="s">
        <v>68</v>
      </c>
      <c r="AY30" s="74" t="s">
        <v>51</v>
      </c>
      <c r="AZ30" s="70" t="s">
        <v>4</v>
      </c>
      <c r="BA30" s="70" t="s">
        <v>67</v>
      </c>
      <c r="BB30" s="70" t="s">
        <v>68</v>
      </c>
      <c r="BC30" s="70" t="s">
        <v>51</v>
      </c>
      <c r="BD30" s="70" t="s">
        <v>4</v>
      </c>
      <c r="BE30" s="70" t="s">
        <v>67</v>
      </c>
      <c r="BF30" s="70" t="s">
        <v>68</v>
      </c>
      <c r="BG30" s="74" t="s">
        <v>51</v>
      </c>
    </row>
    <row r="31" spans="2:59">
      <c r="I31" s="115">
        <v>24</v>
      </c>
      <c r="J31" s="82"/>
      <c r="K31" s="82"/>
      <c r="L31" s="82"/>
      <c r="M31" s="82"/>
      <c r="N31" s="82"/>
      <c r="O31" s="82"/>
      <c r="P31" s="82"/>
      <c r="Q31" s="82"/>
      <c r="R31" s="81"/>
      <c r="S31" s="82"/>
      <c r="T31" s="82"/>
      <c r="U31" s="82"/>
      <c r="V31" s="82"/>
      <c r="W31" s="82"/>
      <c r="X31" s="82"/>
      <c r="Y31" s="84"/>
      <c r="Z31" s="82"/>
      <c r="AA31" s="82"/>
      <c r="AB31" s="61">
        <v>84</v>
      </c>
      <c r="AC31" s="61" t="s">
        <v>69</v>
      </c>
      <c r="AD31" s="82"/>
      <c r="AE31" s="82"/>
      <c r="AF31" s="61">
        <v>87</v>
      </c>
      <c r="AG31" s="83" t="s">
        <v>69</v>
      </c>
      <c r="AI31" s="85">
        <v>24</v>
      </c>
      <c r="AJ31" s="86"/>
      <c r="AK31" s="86"/>
      <c r="AL31" s="86"/>
      <c r="AM31" s="86"/>
      <c r="AN31" s="86"/>
      <c r="AO31" s="86"/>
      <c r="AP31" s="86"/>
      <c r="AQ31" s="86"/>
      <c r="AR31" s="87"/>
      <c r="AS31" s="86"/>
      <c r="AT31" s="86"/>
      <c r="AU31" s="86"/>
      <c r="AV31" s="86"/>
      <c r="AW31" s="86"/>
      <c r="AX31" s="86"/>
      <c r="AY31" s="88"/>
      <c r="AZ31" s="86"/>
      <c r="BA31" s="86"/>
      <c r="BB31" s="61" t="s">
        <v>70</v>
      </c>
      <c r="BC31" s="61" t="s">
        <v>70</v>
      </c>
      <c r="BD31" s="86"/>
      <c r="BE31" s="86"/>
      <c r="BF31" s="61" t="s">
        <v>70</v>
      </c>
      <c r="BG31" s="89" t="s">
        <v>70</v>
      </c>
    </row>
    <row r="32" spans="2:59">
      <c r="I32" s="115">
        <v>23</v>
      </c>
      <c r="J32" s="82"/>
      <c r="K32" s="82"/>
      <c r="L32" s="82"/>
      <c r="M32" s="82"/>
      <c r="N32" s="82"/>
      <c r="O32" s="82"/>
      <c r="P32" s="82"/>
      <c r="Q32" s="82"/>
      <c r="R32" s="81"/>
      <c r="S32" s="82"/>
      <c r="T32" s="82"/>
      <c r="U32" s="82"/>
      <c r="V32" s="82"/>
      <c r="W32" s="82"/>
      <c r="X32" s="82"/>
      <c r="Y32" s="84"/>
      <c r="Z32" s="82"/>
      <c r="AA32" s="82"/>
      <c r="AB32" s="61">
        <v>81</v>
      </c>
      <c r="AC32" s="61">
        <v>88</v>
      </c>
      <c r="AD32" s="82"/>
      <c r="AE32" s="82"/>
      <c r="AF32" s="61">
        <v>84</v>
      </c>
      <c r="AG32" s="83">
        <v>88</v>
      </c>
      <c r="AI32" s="85">
        <v>23</v>
      </c>
      <c r="AJ32" s="86"/>
      <c r="AK32" s="86"/>
      <c r="AL32" s="86"/>
      <c r="AM32" s="86"/>
      <c r="AN32" s="86"/>
      <c r="AO32" s="86"/>
      <c r="AP32" s="86"/>
      <c r="AQ32" s="86"/>
      <c r="AR32" s="87"/>
      <c r="AS32" s="86"/>
      <c r="AT32" s="86"/>
      <c r="AU32" s="86"/>
      <c r="AV32" s="86"/>
      <c r="AW32" s="86"/>
      <c r="AX32" s="86"/>
      <c r="AY32" s="88"/>
      <c r="AZ32" s="86"/>
      <c r="BA32" s="86"/>
      <c r="BB32" s="61" t="s">
        <v>70</v>
      </c>
      <c r="BC32" s="61" t="s">
        <v>70</v>
      </c>
      <c r="BD32" s="86"/>
      <c r="BE32" s="86"/>
      <c r="BF32" s="61" t="s">
        <v>70</v>
      </c>
      <c r="BG32" s="89" t="s">
        <v>70</v>
      </c>
    </row>
    <row r="33" spans="9:59">
      <c r="I33" s="115">
        <v>22</v>
      </c>
      <c r="J33" s="82"/>
      <c r="K33" s="82"/>
      <c r="L33" s="82"/>
      <c r="M33" s="82"/>
      <c r="N33" s="82"/>
      <c r="O33" s="82"/>
      <c r="P33" s="82"/>
      <c r="Q33" s="82"/>
      <c r="R33" s="81"/>
      <c r="S33" s="82"/>
      <c r="T33" s="82"/>
      <c r="U33" s="82"/>
      <c r="V33" s="82"/>
      <c r="W33" s="82"/>
      <c r="X33" s="82"/>
      <c r="Y33" s="84"/>
      <c r="Z33" s="82"/>
      <c r="AA33" s="82"/>
      <c r="AB33" s="61">
        <v>78</v>
      </c>
      <c r="AC33" s="61">
        <v>85</v>
      </c>
      <c r="AD33" s="82"/>
      <c r="AE33" s="82"/>
      <c r="AF33" s="61">
        <v>81</v>
      </c>
      <c r="AG33" s="83">
        <v>85</v>
      </c>
      <c r="AI33" s="85">
        <v>22</v>
      </c>
      <c r="AJ33" s="86"/>
      <c r="AK33" s="86"/>
      <c r="AL33" s="86"/>
      <c r="AM33" s="86"/>
      <c r="AN33" s="86"/>
      <c r="AO33" s="86"/>
      <c r="AP33" s="86"/>
      <c r="AQ33" s="86"/>
      <c r="AR33" s="87"/>
      <c r="AS33" s="86"/>
      <c r="AT33" s="86"/>
      <c r="AU33" s="86"/>
      <c r="AV33" s="86"/>
      <c r="AW33" s="86"/>
      <c r="AX33" s="86"/>
      <c r="AY33" s="88"/>
      <c r="AZ33" s="86"/>
      <c r="BA33" s="86"/>
      <c r="BB33" s="61">
        <v>99</v>
      </c>
      <c r="BC33" s="61" t="s">
        <v>70</v>
      </c>
      <c r="BD33" s="86"/>
      <c r="BE33" s="86"/>
      <c r="BF33" s="61" t="s">
        <v>70</v>
      </c>
      <c r="BG33" s="89" t="s">
        <v>70</v>
      </c>
    </row>
    <row r="34" spans="9:59">
      <c r="I34" s="115">
        <v>21</v>
      </c>
      <c r="J34" s="82"/>
      <c r="K34" s="82"/>
      <c r="L34" s="82"/>
      <c r="M34" s="82"/>
      <c r="N34" s="82"/>
      <c r="O34" s="82"/>
      <c r="P34" s="82"/>
      <c r="Q34" s="82"/>
      <c r="R34" s="81"/>
      <c r="S34" s="82"/>
      <c r="T34" s="61">
        <v>80</v>
      </c>
      <c r="U34" s="61">
        <v>87</v>
      </c>
      <c r="V34" s="82"/>
      <c r="W34" s="82"/>
      <c r="X34" s="61">
        <v>89</v>
      </c>
      <c r="Y34" s="83">
        <v>89</v>
      </c>
      <c r="Z34" s="82"/>
      <c r="AA34" s="82"/>
      <c r="AB34" s="61">
        <v>75</v>
      </c>
      <c r="AC34" s="61">
        <v>82</v>
      </c>
      <c r="AD34" s="82"/>
      <c r="AE34" s="82"/>
      <c r="AF34" s="61">
        <v>78</v>
      </c>
      <c r="AG34" s="83">
        <v>82</v>
      </c>
      <c r="AI34" s="85">
        <v>21</v>
      </c>
      <c r="AJ34" s="86"/>
      <c r="AK34" s="86"/>
      <c r="AL34" s="86"/>
      <c r="AM34" s="86"/>
      <c r="AN34" s="86"/>
      <c r="AO34" s="86"/>
      <c r="AP34" s="86"/>
      <c r="AQ34" s="86"/>
      <c r="AR34" s="87"/>
      <c r="AS34" s="86"/>
      <c r="AT34" s="61" t="s">
        <v>70</v>
      </c>
      <c r="AU34" s="61" t="s">
        <v>70</v>
      </c>
      <c r="AV34" s="86"/>
      <c r="AW34" s="86"/>
      <c r="AX34" s="61" t="s">
        <v>70</v>
      </c>
      <c r="AY34" s="89" t="s">
        <v>70</v>
      </c>
      <c r="AZ34" s="86"/>
      <c r="BA34" s="86"/>
      <c r="BB34" s="61">
        <v>99</v>
      </c>
      <c r="BC34" s="61" t="s">
        <v>70</v>
      </c>
      <c r="BD34" s="86"/>
      <c r="BE34" s="86"/>
      <c r="BF34" s="61">
        <v>99</v>
      </c>
      <c r="BG34" s="89" t="s">
        <v>70</v>
      </c>
    </row>
    <row r="35" spans="9:59">
      <c r="I35" s="115">
        <v>20</v>
      </c>
      <c r="J35" s="82"/>
      <c r="K35" s="82"/>
      <c r="L35" s="82"/>
      <c r="M35" s="82"/>
      <c r="N35" s="82"/>
      <c r="O35" s="82"/>
      <c r="P35" s="82"/>
      <c r="Q35" s="82"/>
      <c r="R35" s="81"/>
      <c r="S35" s="82"/>
      <c r="T35" s="61">
        <v>77</v>
      </c>
      <c r="U35" s="61">
        <v>84</v>
      </c>
      <c r="V35" s="82"/>
      <c r="W35" s="82"/>
      <c r="X35" s="61">
        <v>85</v>
      </c>
      <c r="Y35" s="83">
        <v>86</v>
      </c>
      <c r="Z35" s="82"/>
      <c r="AA35" s="82"/>
      <c r="AB35" s="61">
        <v>72</v>
      </c>
      <c r="AC35" s="61">
        <v>78</v>
      </c>
      <c r="AD35" s="82"/>
      <c r="AE35" s="82"/>
      <c r="AF35" s="61">
        <v>75</v>
      </c>
      <c r="AG35" s="83">
        <v>78</v>
      </c>
      <c r="AI35" s="85">
        <v>20</v>
      </c>
      <c r="AJ35" s="86"/>
      <c r="AK35" s="86"/>
      <c r="AL35" s="86"/>
      <c r="AM35" s="86"/>
      <c r="AN35" s="86"/>
      <c r="AO35" s="86"/>
      <c r="AP35" s="86"/>
      <c r="AQ35" s="86"/>
      <c r="AR35" s="87"/>
      <c r="AS35" s="86"/>
      <c r="AT35" s="61">
        <v>99</v>
      </c>
      <c r="AU35" s="61" t="s">
        <v>70</v>
      </c>
      <c r="AV35" s="86"/>
      <c r="AW35" s="86"/>
      <c r="AX35" s="61" t="s">
        <v>70</v>
      </c>
      <c r="AY35" s="89" t="s">
        <v>70</v>
      </c>
      <c r="AZ35" s="86"/>
      <c r="BA35" s="86"/>
      <c r="BB35" s="61">
        <v>99</v>
      </c>
      <c r="BC35" s="61">
        <v>99</v>
      </c>
      <c r="BD35" s="86"/>
      <c r="BE35" s="86"/>
      <c r="BF35" s="61">
        <v>99</v>
      </c>
      <c r="BG35" s="89">
        <v>99</v>
      </c>
    </row>
    <row r="36" spans="9:59">
      <c r="I36" s="115">
        <v>19</v>
      </c>
      <c r="J36" s="82"/>
      <c r="K36" s="82"/>
      <c r="L36" s="82"/>
      <c r="M36" s="82"/>
      <c r="N36" s="82"/>
      <c r="O36" s="82"/>
      <c r="P36" s="82"/>
      <c r="Q36" s="82"/>
      <c r="R36" s="81"/>
      <c r="S36" s="82"/>
      <c r="T36" s="61">
        <v>74</v>
      </c>
      <c r="U36" s="61">
        <v>80</v>
      </c>
      <c r="V36" s="82"/>
      <c r="W36" s="82"/>
      <c r="X36" s="61">
        <v>82</v>
      </c>
      <c r="Y36" s="83">
        <v>82</v>
      </c>
      <c r="Z36" s="82"/>
      <c r="AA36" s="82"/>
      <c r="AB36" s="61">
        <v>69</v>
      </c>
      <c r="AC36" s="61">
        <v>75</v>
      </c>
      <c r="AD36" s="82"/>
      <c r="AE36" s="82"/>
      <c r="AF36" s="61">
        <v>72</v>
      </c>
      <c r="AG36" s="83">
        <v>75</v>
      </c>
      <c r="AI36" s="85">
        <v>19</v>
      </c>
      <c r="AJ36" s="86"/>
      <c r="AK36" s="86"/>
      <c r="AL36" s="86"/>
      <c r="AM36" s="86"/>
      <c r="AN36" s="86"/>
      <c r="AO36" s="86"/>
      <c r="AP36" s="86"/>
      <c r="AQ36" s="86"/>
      <c r="AR36" s="87"/>
      <c r="AS36" s="86"/>
      <c r="AT36" s="61">
        <v>99</v>
      </c>
      <c r="AU36" s="61" t="s">
        <v>70</v>
      </c>
      <c r="AV36" s="86"/>
      <c r="AW36" s="86"/>
      <c r="AX36" s="61" t="s">
        <v>70</v>
      </c>
      <c r="AY36" s="89">
        <v>99</v>
      </c>
      <c r="AZ36" s="86"/>
      <c r="BA36" s="86"/>
      <c r="BB36" s="61">
        <v>98</v>
      </c>
      <c r="BC36" s="61">
        <v>98</v>
      </c>
      <c r="BD36" s="86"/>
      <c r="BE36" s="86"/>
      <c r="BF36" s="61">
        <v>97</v>
      </c>
      <c r="BG36" s="89">
        <v>99</v>
      </c>
    </row>
    <row r="37" spans="9:59">
      <c r="I37" s="115">
        <v>18</v>
      </c>
      <c r="J37" s="82"/>
      <c r="K37" s="82"/>
      <c r="L37" s="61">
        <v>86</v>
      </c>
      <c r="M37" s="61" t="s">
        <v>69</v>
      </c>
      <c r="N37" s="82"/>
      <c r="O37" s="82"/>
      <c r="P37" s="61">
        <v>82</v>
      </c>
      <c r="Q37" s="61">
        <v>82</v>
      </c>
      <c r="R37" s="81"/>
      <c r="S37" s="82"/>
      <c r="T37" s="61">
        <v>72</v>
      </c>
      <c r="U37" s="61">
        <v>77</v>
      </c>
      <c r="V37" s="82"/>
      <c r="W37" s="82"/>
      <c r="X37" s="61">
        <v>78</v>
      </c>
      <c r="Y37" s="83">
        <v>79</v>
      </c>
      <c r="Z37" s="82"/>
      <c r="AA37" s="82"/>
      <c r="AB37" s="61">
        <v>67</v>
      </c>
      <c r="AC37" s="61">
        <v>72</v>
      </c>
      <c r="AD37" s="82"/>
      <c r="AE37" s="82"/>
      <c r="AF37" s="61">
        <v>69</v>
      </c>
      <c r="AG37" s="83">
        <v>72</v>
      </c>
      <c r="AI37" s="85">
        <v>18</v>
      </c>
      <c r="AJ37" s="86"/>
      <c r="AK37" s="86"/>
      <c r="AL37" s="61" t="s">
        <v>70</v>
      </c>
      <c r="AM37" s="61" t="s">
        <v>70</v>
      </c>
      <c r="AN37" s="86"/>
      <c r="AO37" s="86"/>
      <c r="AP37" s="61" t="s">
        <v>70</v>
      </c>
      <c r="AQ37" s="61" t="s">
        <v>70</v>
      </c>
      <c r="AR37" s="87"/>
      <c r="AS37" s="86"/>
      <c r="AT37" s="61">
        <v>97</v>
      </c>
      <c r="AU37" s="61">
        <v>98</v>
      </c>
      <c r="AV37" s="86"/>
      <c r="AW37" s="86"/>
      <c r="AX37" s="61" t="s">
        <v>70</v>
      </c>
      <c r="AY37" s="89">
        <v>99</v>
      </c>
      <c r="AZ37" s="86"/>
      <c r="BA37" s="86"/>
      <c r="BB37" s="61">
        <v>95</v>
      </c>
      <c r="BC37" s="61">
        <v>97</v>
      </c>
      <c r="BD37" s="86"/>
      <c r="BE37" s="86"/>
      <c r="BF37" s="61">
        <v>96</v>
      </c>
      <c r="BG37" s="89">
        <v>97</v>
      </c>
    </row>
    <row r="38" spans="9:59">
      <c r="I38" s="115">
        <v>17</v>
      </c>
      <c r="J38" s="82"/>
      <c r="K38" s="82"/>
      <c r="L38" s="61">
        <v>82</v>
      </c>
      <c r="M38" s="61" t="s">
        <v>69</v>
      </c>
      <c r="N38" s="82"/>
      <c r="O38" s="82"/>
      <c r="P38" s="61">
        <v>79</v>
      </c>
      <c r="Q38" s="61">
        <v>79</v>
      </c>
      <c r="R38" s="81"/>
      <c r="S38" s="82"/>
      <c r="T38" s="61">
        <v>69</v>
      </c>
      <c r="U38" s="61">
        <v>74</v>
      </c>
      <c r="V38" s="82"/>
      <c r="W38" s="82"/>
      <c r="X38" s="61">
        <v>75</v>
      </c>
      <c r="Y38" s="83">
        <v>75</v>
      </c>
      <c r="Z38" s="82"/>
      <c r="AA38" s="82"/>
      <c r="AB38" s="61">
        <v>64</v>
      </c>
      <c r="AC38" s="61">
        <v>69</v>
      </c>
      <c r="AD38" s="82"/>
      <c r="AE38" s="82"/>
      <c r="AF38" s="61">
        <v>66</v>
      </c>
      <c r="AG38" s="83">
        <v>69</v>
      </c>
      <c r="AI38" s="85">
        <v>17</v>
      </c>
      <c r="AJ38" s="86"/>
      <c r="AK38" s="86"/>
      <c r="AL38" s="61">
        <v>99</v>
      </c>
      <c r="AM38" s="61" t="s">
        <v>70</v>
      </c>
      <c r="AN38" s="86"/>
      <c r="AO38" s="86"/>
      <c r="AP38" s="61" t="s">
        <v>70</v>
      </c>
      <c r="AQ38" s="61">
        <v>99</v>
      </c>
      <c r="AR38" s="87"/>
      <c r="AS38" s="86"/>
      <c r="AT38" s="61">
        <v>95</v>
      </c>
      <c r="AU38" s="61">
        <v>98</v>
      </c>
      <c r="AV38" s="86"/>
      <c r="AW38" s="86"/>
      <c r="AX38" s="61">
        <v>99</v>
      </c>
      <c r="AY38" s="89">
        <v>99</v>
      </c>
      <c r="AZ38" s="86"/>
      <c r="BA38" s="86"/>
      <c r="BB38" s="61">
        <v>91</v>
      </c>
      <c r="BC38" s="61">
        <v>96</v>
      </c>
      <c r="BD38" s="86"/>
      <c r="BE38" s="86"/>
      <c r="BF38" s="61">
        <v>94</v>
      </c>
      <c r="BG38" s="89">
        <v>96</v>
      </c>
    </row>
    <row r="39" spans="9:59">
      <c r="I39" s="115">
        <v>16</v>
      </c>
      <c r="J39" s="82"/>
      <c r="K39" s="82"/>
      <c r="L39" s="61">
        <v>78</v>
      </c>
      <c r="M39" s="61">
        <v>87</v>
      </c>
      <c r="N39" s="82"/>
      <c r="O39" s="82"/>
      <c r="P39" s="61">
        <v>75</v>
      </c>
      <c r="Q39" s="61">
        <v>75</v>
      </c>
      <c r="R39" s="81"/>
      <c r="S39" s="82"/>
      <c r="T39" s="61">
        <v>66</v>
      </c>
      <c r="U39" s="61">
        <v>71</v>
      </c>
      <c r="V39" s="82"/>
      <c r="W39" s="82"/>
      <c r="X39" s="61">
        <v>71</v>
      </c>
      <c r="Y39" s="83">
        <v>72</v>
      </c>
      <c r="Z39" s="82"/>
      <c r="AA39" s="82"/>
      <c r="AB39" s="61">
        <v>61</v>
      </c>
      <c r="AC39" s="61">
        <v>66</v>
      </c>
      <c r="AD39" s="82"/>
      <c r="AE39" s="82"/>
      <c r="AF39" s="61">
        <v>63</v>
      </c>
      <c r="AG39" s="83">
        <v>65</v>
      </c>
      <c r="AI39" s="85">
        <v>16</v>
      </c>
      <c r="AJ39" s="86"/>
      <c r="AK39" s="86"/>
      <c r="AL39" s="61">
        <v>99</v>
      </c>
      <c r="AM39" s="61" t="s">
        <v>70</v>
      </c>
      <c r="AN39" s="86"/>
      <c r="AO39" s="86"/>
      <c r="AP39" s="61">
        <v>98</v>
      </c>
      <c r="AQ39" s="61">
        <v>98</v>
      </c>
      <c r="AR39" s="87"/>
      <c r="AS39" s="86"/>
      <c r="AT39" s="61">
        <v>93</v>
      </c>
      <c r="AU39" s="61">
        <v>97</v>
      </c>
      <c r="AV39" s="86"/>
      <c r="AW39" s="86"/>
      <c r="AX39" s="61">
        <v>97</v>
      </c>
      <c r="AY39" s="89">
        <v>98</v>
      </c>
      <c r="AZ39" s="86"/>
      <c r="BA39" s="86"/>
      <c r="BB39" s="61">
        <v>88</v>
      </c>
      <c r="BC39" s="61">
        <v>94</v>
      </c>
      <c r="BD39" s="86"/>
      <c r="BE39" s="86"/>
      <c r="BF39" s="61">
        <v>91</v>
      </c>
      <c r="BG39" s="89">
        <v>94</v>
      </c>
    </row>
    <row r="40" spans="9:59">
      <c r="I40" s="115">
        <v>15</v>
      </c>
      <c r="J40" s="82"/>
      <c r="K40" s="82"/>
      <c r="L40" s="61">
        <v>75</v>
      </c>
      <c r="M40" s="61">
        <v>82</v>
      </c>
      <c r="N40" s="82"/>
      <c r="O40" s="82"/>
      <c r="P40" s="61">
        <v>71</v>
      </c>
      <c r="Q40" s="61">
        <v>71</v>
      </c>
      <c r="R40" s="81"/>
      <c r="S40" s="82"/>
      <c r="T40" s="61">
        <v>63</v>
      </c>
      <c r="U40" s="61">
        <v>68</v>
      </c>
      <c r="V40" s="82"/>
      <c r="W40" s="82"/>
      <c r="X40" s="61">
        <v>68</v>
      </c>
      <c r="Y40" s="83">
        <v>69</v>
      </c>
      <c r="Z40" s="82"/>
      <c r="AA40" s="82"/>
      <c r="AB40" s="61">
        <v>58</v>
      </c>
      <c r="AC40" s="61">
        <v>63</v>
      </c>
      <c r="AD40" s="82"/>
      <c r="AE40" s="82"/>
      <c r="AF40" s="61">
        <v>59</v>
      </c>
      <c r="AG40" s="83">
        <v>62</v>
      </c>
      <c r="AI40" s="85">
        <v>15</v>
      </c>
      <c r="AJ40" s="86"/>
      <c r="AK40" s="86"/>
      <c r="AL40" s="61">
        <v>99</v>
      </c>
      <c r="AM40" s="61">
        <v>99</v>
      </c>
      <c r="AN40" s="86"/>
      <c r="AO40" s="86"/>
      <c r="AP40" s="61">
        <v>97</v>
      </c>
      <c r="AQ40" s="61">
        <v>96</v>
      </c>
      <c r="AR40" s="87"/>
      <c r="AS40" s="86"/>
      <c r="AT40" s="61">
        <v>91</v>
      </c>
      <c r="AU40" s="61">
        <v>96</v>
      </c>
      <c r="AV40" s="86"/>
      <c r="AW40" s="86"/>
      <c r="AX40" s="61">
        <v>96</v>
      </c>
      <c r="AY40" s="89">
        <v>95</v>
      </c>
      <c r="AZ40" s="86"/>
      <c r="BA40" s="86"/>
      <c r="BB40" s="61">
        <v>78</v>
      </c>
      <c r="BC40" s="61">
        <v>89</v>
      </c>
      <c r="BD40" s="86"/>
      <c r="BE40" s="86"/>
      <c r="BF40" s="61">
        <v>83</v>
      </c>
      <c r="BG40" s="89">
        <v>90</v>
      </c>
    </row>
    <row r="41" spans="9:59">
      <c r="I41" s="115">
        <v>14</v>
      </c>
      <c r="J41" s="82"/>
      <c r="K41" s="82"/>
      <c r="L41" s="61">
        <v>71</v>
      </c>
      <c r="M41" s="61">
        <v>78</v>
      </c>
      <c r="N41" s="82"/>
      <c r="O41" s="82"/>
      <c r="P41" s="61">
        <v>68</v>
      </c>
      <c r="Q41" s="61">
        <v>68</v>
      </c>
      <c r="R41" s="81"/>
      <c r="S41" s="82"/>
      <c r="T41" s="61">
        <v>60</v>
      </c>
      <c r="U41" s="61">
        <v>64</v>
      </c>
      <c r="V41" s="82"/>
      <c r="W41" s="82"/>
      <c r="X41" s="61">
        <v>64</v>
      </c>
      <c r="Y41" s="83">
        <v>65</v>
      </c>
      <c r="Z41" s="82"/>
      <c r="AA41" s="82"/>
      <c r="AB41" s="61">
        <v>55</v>
      </c>
      <c r="AC41" s="61">
        <v>59</v>
      </c>
      <c r="AD41" s="82"/>
      <c r="AE41" s="82"/>
      <c r="AF41" s="61">
        <v>56</v>
      </c>
      <c r="AG41" s="83">
        <v>59</v>
      </c>
      <c r="AI41" s="85">
        <v>14</v>
      </c>
      <c r="AJ41" s="86"/>
      <c r="AK41" s="86"/>
      <c r="AL41" s="61">
        <v>97</v>
      </c>
      <c r="AM41" s="61">
        <v>99</v>
      </c>
      <c r="AN41" s="86"/>
      <c r="AO41" s="86"/>
      <c r="AP41" s="61">
        <v>96</v>
      </c>
      <c r="AQ41" s="61">
        <v>96</v>
      </c>
      <c r="AR41" s="87"/>
      <c r="AS41" s="86"/>
      <c r="AT41" s="61">
        <v>87</v>
      </c>
      <c r="AU41" s="61">
        <v>91</v>
      </c>
      <c r="AV41" s="86"/>
      <c r="AW41" s="86"/>
      <c r="AX41" s="61">
        <v>90</v>
      </c>
      <c r="AY41" s="89">
        <v>93</v>
      </c>
      <c r="AZ41" s="86"/>
      <c r="BA41" s="86"/>
      <c r="BB41" s="61">
        <v>71</v>
      </c>
      <c r="BC41" s="61">
        <v>84</v>
      </c>
      <c r="BD41" s="86"/>
      <c r="BE41" s="86"/>
      <c r="BF41" s="61">
        <v>79</v>
      </c>
      <c r="BG41" s="89">
        <v>85</v>
      </c>
    </row>
    <row r="42" spans="9:59">
      <c r="I42" s="115">
        <v>13</v>
      </c>
      <c r="J42" s="82"/>
      <c r="K42" s="82"/>
      <c r="L42" s="61">
        <v>67</v>
      </c>
      <c r="M42" s="61">
        <v>73</v>
      </c>
      <c r="N42" s="82"/>
      <c r="O42" s="82"/>
      <c r="P42" s="61">
        <v>64</v>
      </c>
      <c r="Q42" s="61">
        <v>64</v>
      </c>
      <c r="R42" s="81"/>
      <c r="S42" s="82"/>
      <c r="T42" s="61">
        <v>57</v>
      </c>
      <c r="U42" s="61">
        <v>61</v>
      </c>
      <c r="V42" s="82"/>
      <c r="W42" s="82"/>
      <c r="X42" s="61">
        <v>61</v>
      </c>
      <c r="Y42" s="83">
        <v>62</v>
      </c>
      <c r="Z42" s="82"/>
      <c r="AA42" s="82"/>
      <c r="AB42" s="61">
        <v>53</v>
      </c>
      <c r="AC42" s="61">
        <v>56</v>
      </c>
      <c r="AD42" s="82"/>
      <c r="AE42" s="82"/>
      <c r="AF42" s="61">
        <v>53</v>
      </c>
      <c r="AG42" s="83">
        <v>56</v>
      </c>
      <c r="AI42" s="85">
        <v>13</v>
      </c>
      <c r="AJ42" s="86"/>
      <c r="AK42" s="86"/>
      <c r="AL42" s="61">
        <v>93</v>
      </c>
      <c r="AM42" s="61">
        <v>98</v>
      </c>
      <c r="AN42" s="86"/>
      <c r="AO42" s="86"/>
      <c r="AP42" s="61">
        <v>95</v>
      </c>
      <c r="AQ42" s="61">
        <v>93</v>
      </c>
      <c r="AR42" s="87"/>
      <c r="AS42" s="86"/>
      <c r="AT42" s="61">
        <v>79</v>
      </c>
      <c r="AU42" s="61">
        <v>84</v>
      </c>
      <c r="AV42" s="86"/>
      <c r="AW42" s="86"/>
      <c r="AX42" s="61">
        <v>84</v>
      </c>
      <c r="AY42" s="89">
        <v>85</v>
      </c>
      <c r="AZ42" s="86"/>
      <c r="BA42" s="86"/>
      <c r="BB42" s="61">
        <v>66</v>
      </c>
      <c r="BC42" s="61">
        <v>79</v>
      </c>
      <c r="BD42" s="86"/>
      <c r="BE42" s="86"/>
      <c r="BF42" s="61">
        <v>72</v>
      </c>
      <c r="BG42" s="89">
        <v>78</v>
      </c>
    </row>
    <row r="43" spans="9:59">
      <c r="I43" s="115">
        <v>12</v>
      </c>
      <c r="J43" s="82"/>
      <c r="K43" s="82"/>
      <c r="L43" s="61">
        <v>63</v>
      </c>
      <c r="M43" s="61">
        <v>68</v>
      </c>
      <c r="N43" s="82"/>
      <c r="O43" s="82"/>
      <c r="P43" s="61">
        <v>60</v>
      </c>
      <c r="Q43" s="61">
        <v>61</v>
      </c>
      <c r="R43" s="81"/>
      <c r="S43" s="82"/>
      <c r="T43" s="61">
        <v>55</v>
      </c>
      <c r="U43" s="61">
        <v>58</v>
      </c>
      <c r="V43" s="82"/>
      <c r="W43" s="82"/>
      <c r="X43" s="61">
        <v>57</v>
      </c>
      <c r="Y43" s="83">
        <v>58</v>
      </c>
      <c r="Z43" s="82"/>
      <c r="AA43" s="82"/>
      <c r="AB43" s="61">
        <v>50</v>
      </c>
      <c r="AC43" s="61">
        <v>53</v>
      </c>
      <c r="AD43" s="82"/>
      <c r="AE43" s="82"/>
      <c r="AF43" s="61">
        <v>50</v>
      </c>
      <c r="AG43" s="83">
        <v>52</v>
      </c>
      <c r="AI43" s="85">
        <v>12</v>
      </c>
      <c r="AJ43" s="86"/>
      <c r="AK43" s="86"/>
      <c r="AL43" s="61">
        <v>91</v>
      </c>
      <c r="AM43" s="61">
        <v>97</v>
      </c>
      <c r="AN43" s="86"/>
      <c r="AO43" s="86"/>
      <c r="AP43" s="61">
        <v>90</v>
      </c>
      <c r="AQ43" s="61">
        <v>91</v>
      </c>
      <c r="AR43" s="87"/>
      <c r="AS43" s="86"/>
      <c r="AT43" s="61">
        <v>72</v>
      </c>
      <c r="AU43" s="61">
        <v>80</v>
      </c>
      <c r="AV43" s="86"/>
      <c r="AW43" s="86"/>
      <c r="AX43" s="61">
        <v>81</v>
      </c>
      <c r="AY43" s="89">
        <v>84</v>
      </c>
      <c r="AZ43" s="86"/>
      <c r="BA43" s="86"/>
      <c r="BB43" s="61">
        <v>62</v>
      </c>
      <c r="BC43" s="61">
        <v>71</v>
      </c>
      <c r="BD43" s="86"/>
      <c r="BE43" s="86"/>
      <c r="BF43" s="61">
        <v>63</v>
      </c>
      <c r="BG43" s="89">
        <v>69</v>
      </c>
    </row>
    <row r="44" spans="9:59">
      <c r="I44" s="115">
        <v>11</v>
      </c>
      <c r="J44" s="82"/>
      <c r="K44" s="82"/>
      <c r="L44" s="61">
        <v>60</v>
      </c>
      <c r="M44" s="61">
        <v>64</v>
      </c>
      <c r="N44" s="82"/>
      <c r="O44" s="82"/>
      <c r="P44" s="61">
        <v>57</v>
      </c>
      <c r="Q44" s="61">
        <v>57</v>
      </c>
      <c r="R44" s="81"/>
      <c r="S44" s="82"/>
      <c r="T44" s="61">
        <v>52</v>
      </c>
      <c r="U44" s="61">
        <v>55</v>
      </c>
      <c r="V44" s="82"/>
      <c r="W44" s="82"/>
      <c r="X44" s="61">
        <v>54</v>
      </c>
      <c r="Y44" s="83">
        <v>55</v>
      </c>
      <c r="Z44" s="82"/>
      <c r="AA44" s="82"/>
      <c r="AB44" s="61">
        <v>47</v>
      </c>
      <c r="AC44" s="61">
        <v>50</v>
      </c>
      <c r="AD44" s="82"/>
      <c r="AE44" s="82"/>
      <c r="AF44" s="61">
        <v>47</v>
      </c>
      <c r="AG44" s="83">
        <v>49</v>
      </c>
      <c r="AI44" s="85">
        <v>11</v>
      </c>
      <c r="AJ44" s="86"/>
      <c r="AK44" s="86"/>
      <c r="AL44" s="61">
        <v>86</v>
      </c>
      <c r="AM44" s="61">
        <v>92</v>
      </c>
      <c r="AN44" s="86"/>
      <c r="AO44" s="86"/>
      <c r="AP44" s="61">
        <v>79</v>
      </c>
      <c r="AQ44" s="61">
        <v>80</v>
      </c>
      <c r="AR44" s="87"/>
      <c r="AS44" s="86"/>
      <c r="AT44" s="61">
        <v>64</v>
      </c>
      <c r="AU44" s="61">
        <v>75</v>
      </c>
      <c r="AV44" s="86"/>
      <c r="AW44" s="86"/>
      <c r="AX44" s="61">
        <v>71</v>
      </c>
      <c r="AY44" s="89">
        <v>79</v>
      </c>
      <c r="AZ44" s="86"/>
      <c r="BA44" s="86"/>
      <c r="BB44" s="61">
        <v>51</v>
      </c>
      <c r="BC44" s="61">
        <v>66</v>
      </c>
      <c r="BD44" s="86"/>
      <c r="BE44" s="86"/>
      <c r="BF44" s="61">
        <v>52</v>
      </c>
      <c r="BG44" s="89">
        <v>58</v>
      </c>
    </row>
    <row r="45" spans="9:59">
      <c r="I45" s="115">
        <v>10</v>
      </c>
      <c r="J45" s="82"/>
      <c r="K45" s="82"/>
      <c r="L45" s="61">
        <v>56</v>
      </c>
      <c r="M45" s="61">
        <v>59</v>
      </c>
      <c r="N45" s="82"/>
      <c r="O45" s="82"/>
      <c r="P45" s="61">
        <v>53</v>
      </c>
      <c r="Q45" s="61">
        <v>54</v>
      </c>
      <c r="R45" s="81"/>
      <c r="S45" s="82"/>
      <c r="T45" s="61">
        <v>49</v>
      </c>
      <c r="U45" s="61">
        <v>51</v>
      </c>
      <c r="V45" s="82"/>
      <c r="W45" s="82"/>
      <c r="X45" s="61">
        <v>50</v>
      </c>
      <c r="Y45" s="83">
        <v>52</v>
      </c>
      <c r="Z45" s="82"/>
      <c r="AA45" s="82"/>
      <c r="AB45" s="61">
        <v>44</v>
      </c>
      <c r="AC45" s="61">
        <v>47</v>
      </c>
      <c r="AD45" s="82"/>
      <c r="AE45" s="82"/>
      <c r="AF45" s="61">
        <v>44</v>
      </c>
      <c r="AG45" s="83">
        <v>46</v>
      </c>
      <c r="AI45" s="85">
        <v>10</v>
      </c>
      <c r="AJ45" s="86"/>
      <c r="AK45" s="86"/>
      <c r="AL45" s="61">
        <v>76</v>
      </c>
      <c r="AM45" s="61">
        <v>85</v>
      </c>
      <c r="AN45" s="86"/>
      <c r="AO45" s="86"/>
      <c r="AP45" s="61">
        <v>67</v>
      </c>
      <c r="AQ45" s="61">
        <v>72</v>
      </c>
      <c r="AR45" s="87"/>
      <c r="AS45" s="86"/>
      <c r="AT45" s="61">
        <v>58</v>
      </c>
      <c r="AU45" s="61">
        <v>69</v>
      </c>
      <c r="AV45" s="86"/>
      <c r="AW45" s="86"/>
      <c r="AX45" s="61">
        <v>64</v>
      </c>
      <c r="AY45" s="89">
        <v>69</v>
      </c>
      <c r="AZ45" s="86"/>
      <c r="BA45" s="86"/>
      <c r="BB45" s="61">
        <v>44</v>
      </c>
      <c r="BC45" s="61">
        <v>55</v>
      </c>
      <c r="BD45" s="86"/>
      <c r="BE45" s="86"/>
      <c r="BF45" s="61">
        <v>39</v>
      </c>
      <c r="BG45" s="89">
        <v>49</v>
      </c>
    </row>
    <row r="46" spans="9:59">
      <c r="I46" s="115">
        <v>9</v>
      </c>
      <c r="J46" s="82"/>
      <c r="K46" s="82"/>
      <c r="L46" s="61">
        <v>52</v>
      </c>
      <c r="M46" s="61">
        <v>55</v>
      </c>
      <c r="N46" s="82"/>
      <c r="O46" s="82"/>
      <c r="P46" s="61">
        <v>49</v>
      </c>
      <c r="Q46" s="61">
        <v>50</v>
      </c>
      <c r="R46" s="81"/>
      <c r="S46" s="82"/>
      <c r="T46" s="61">
        <v>46</v>
      </c>
      <c r="U46" s="61">
        <v>48</v>
      </c>
      <c r="V46" s="82"/>
      <c r="W46" s="82"/>
      <c r="X46" s="61">
        <v>47</v>
      </c>
      <c r="Y46" s="83">
        <v>48</v>
      </c>
      <c r="Z46" s="82"/>
      <c r="AA46" s="82"/>
      <c r="AB46" s="61">
        <v>41</v>
      </c>
      <c r="AC46" s="61">
        <v>44</v>
      </c>
      <c r="AD46" s="82"/>
      <c r="AE46" s="82"/>
      <c r="AF46" s="61">
        <v>41</v>
      </c>
      <c r="AG46" s="83">
        <v>43</v>
      </c>
      <c r="AI46" s="85">
        <v>9</v>
      </c>
      <c r="AJ46" s="86"/>
      <c r="AK46" s="86"/>
      <c r="AL46" s="61">
        <v>70</v>
      </c>
      <c r="AM46" s="61">
        <v>78</v>
      </c>
      <c r="AN46" s="86"/>
      <c r="AO46" s="86"/>
      <c r="AP46" s="61">
        <v>57</v>
      </c>
      <c r="AQ46" s="61">
        <v>62</v>
      </c>
      <c r="AR46" s="87"/>
      <c r="AS46" s="86"/>
      <c r="AT46" s="61">
        <v>51</v>
      </c>
      <c r="AU46" s="61">
        <v>63</v>
      </c>
      <c r="AV46" s="86"/>
      <c r="AW46" s="86"/>
      <c r="AX46" s="61">
        <v>51</v>
      </c>
      <c r="AY46" s="89">
        <v>59</v>
      </c>
      <c r="AZ46" s="86"/>
      <c r="BA46" s="86"/>
      <c r="BB46" s="61">
        <v>33</v>
      </c>
      <c r="BC46" s="61">
        <v>46</v>
      </c>
      <c r="BD46" s="86"/>
      <c r="BE46" s="86"/>
      <c r="BF46" s="61">
        <v>28</v>
      </c>
      <c r="BG46" s="89">
        <v>38</v>
      </c>
    </row>
    <row r="47" spans="9:59">
      <c r="I47" s="115">
        <v>8</v>
      </c>
      <c r="J47" s="82"/>
      <c r="K47" s="82"/>
      <c r="L47" s="61">
        <v>48</v>
      </c>
      <c r="M47" s="61">
        <v>50</v>
      </c>
      <c r="N47" s="82"/>
      <c r="O47" s="82"/>
      <c r="P47" s="61">
        <v>46</v>
      </c>
      <c r="Q47" s="61">
        <v>47</v>
      </c>
      <c r="R47" s="81"/>
      <c r="S47" s="82"/>
      <c r="T47" s="61">
        <v>43</v>
      </c>
      <c r="U47" s="61">
        <v>45</v>
      </c>
      <c r="V47" s="82"/>
      <c r="W47" s="82"/>
      <c r="X47" s="61">
        <v>43</v>
      </c>
      <c r="Y47" s="83">
        <v>45</v>
      </c>
      <c r="Z47" s="82"/>
      <c r="AA47" s="82"/>
      <c r="AB47" s="61">
        <v>39</v>
      </c>
      <c r="AC47" s="61">
        <v>41</v>
      </c>
      <c r="AD47" s="82"/>
      <c r="AE47" s="82"/>
      <c r="AF47" s="61">
        <v>38</v>
      </c>
      <c r="AG47" s="83">
        <v>39</v>
      </c>
      <c r="AI47" s="85">
        <v>8</v>
      </c>
      <c r="AJ47" s="86"/>
      <c r="AK47" s="86"/>
      <c r="AL47" s="61">
        <v>60</v>
      </c>
      <c r="AM47" s="61">
        <v>68</v>
      </c>
      <c r="AN47" s="86"/>
      <c r="AO47" s="86"/>
      <c r="AP47" s="61">
        <v>47</v>
      </c>
      <c r="AQ47" s="61">
        <v>53</v>
      </c>
      <c r="AR47" s="87"/>
      <c r="AS47" s="86"/>
      <c r="AT47" s="61">
        <v>47</v>
      </c>
      <c r="AU47" s="61">
        <v>52</v>
      </c>
      <c r="AV47" s="86"/>
      <c r="AW47" s="86"/>
      <c r="AX47" s="61">
        <v>39</v>
      </c>
      <c r="AY47" s="89">
        <v>51</v>
      </c>
      <c r="AZ47" s="86"/>
      <c r="BA47" s="86"/>
      <c r="BB47" s="61">
        <v>18</v>
      </c>
      <c r="BC47" s="61">
        <v>27</v>
      </c>
      <c r="BD47" s="86"/>
      <c r="BE47" s="86"/>
      <c r="BF47" s="61">
        <v>15</v>
      </c>
      <c r="BG47" s="89">
        <v>21</v>
      </c>
    </row>
    <row r="48" spans="9:59">
      <c r="I48" s="115">
        <v>7</v>
      </c>
      <c r="J48" s="82"/>
      <c r="K48" s="82"/>
      <c r="L48" s="61">
        <v>44</v>
      </c>
      <c r="M48" s="61">
        <v>46</v>
      </c>
      <c r="N48" s="82"/>
      <c r="O48" s="82"/>
      <c r="P48" s="61">
        <v>42</v>
      </c>
      <c r="Q48" s="61">
        <v>43</v>
      </c>
      <c r="R48" s="81"/>
      <c r="S48" s="82"/>
      <c r="T48" s="61">
        <v>40</v>
      </c>
      <c r="U48" s="61">
        <v>42</v>
      </c>
      <c r="V48" s="82"/>
      <c r="W48" s="82"/>
      <c r="X48" s="61">
        <v>40</v>
      </c>
      <c r="Y48" s="83">
        <v>41</v>
      </c>
      <c r="Z48" s="82"/>
      <c r="AA48" s="82"/>
      <c r="AB48" s="82"/>
      <c r="AC48" s="82"/>
      <c r="AD48" s="82"/>
      <c r="AE48" s="82"/>
      <c r="AF48" s="82"/>
      <c r="AG48" s="84"/>
      <c r="AI48" s="85">
        <v>7</v>
      </c>
      <c r="AJ48" s="86"/>
      <c r="AK48" s="86"/>
      <c r="AL48" s="61">
        <v>51</v>
      </c>
      <c r="AM48" s="61">
        <v>54</v>
      </c>
      <c r="AN48" s="86"/>
      <c r="AO48" s="86"/>
      <c r="AP48" s="61">
        <v>37</v>
      </c>
      <c r="AQ48" s="61">
        <v>41</v>
      </c>
      <c r="AR48" s="87"/>
      <c r="AS48" s="86"/>
      <c r="AT48" s="61">
        <v>30</v>
      </c>
      <c r="AU48" s="61">
        <v>40</v>
      </c>
      <c r="AV48" s="86"/>
      <c r="AW48" s="86"/>
      <c r="AX48" s="61">
        <v>28</v>
      </c>
      <c r="AY48" s="89">
        <v>35</v>
      </c>
      <c r="AZ48" s="86"/>
      <c r="BA48" s="86"/>
      <c r="BB48" s="86"/>
      <c r="BC48" s="86"/>
      <c r="BD48" s="86"/>
      <c r="BE48" s="86"/>
      <c r="BF48" s="86"/>
      <c r="BG48" s="88"/>
    </row>
    <row r="49" spans="9:59" ht="15.75" thickBot="1">
      <c r="I49" s="115">
        <v>6</v>
      </c>
      <c r="J49" s="82"/>
      <c r="K49" s="82"/>
      <c r="L49" s="61">
        <v>41</v>
      </c>
      <c r="M49" s="61">
        <v>41</v>
      </c>
      <c r="N49" s="82"/>
      <c r="O49" s="82"/>
      <c r="P49" s="61">
        <v>38</v>
      </c>
      <c r="Q49" s="61">
        <v>40</v>
      </c>
      <c r="R49" s="81"/>
      <c r="S49" s="82"/>
      <c r="T49" s="82"/>
      <c r="U49" s="82"/>
      <c r="V49" s="82"/>
      <c r="W49" s="82"/>
      <c r="X49" s="82"/>
      <c r="Y49" s="84"/>
      <c r="Z49" s="82"/>
      <c r="AA49" s="82"/>
      <c r="AB49" s="82"/>
      <c r="AC49" s="82"/>
      <c r="AD49" s="82"/>
      <c r="AE49" s="82"/>
      <c r="AF49" s="82"/>
      <c r="AG49" s="84"/>
      <c r="AI49" s="102">
        <v>6</v>
      </c>
      <c r="AJ49" s="103"/>
      <c r="AK49" s="103"/>
      <c r="AL49" s="105">
        <v>30</v>
      </c>
      <c r="AM49" s="105">
        <v>38</v>
      </c>
      <c r="AN49" s="103"/>
      <c r="AO49" s="103"/>
      <c r="AP49" s="105">
        <v>20</v>
      </c>
      <c r="AQ49" s="105">
        <v>27</v>
      </c>
      <c r="AR49" s="104"/>
      <c r="AS49" s="103"/>
      <c r="AT49" s="103"/>
      <c r="AU49" s="103"/>
      <c r="AV49" s="103"/>
      <c r="AW49" s="103"/>
      <c r="AX49" s="103"/>
      <c r="AY49" s="107"/>
      <c r="AZ49" s="103"/>
      <c r="BA49" s="103"/>
      <c r="BB49" s="103"/>
      <c r="BC49" s="103"/>
      <c r="BD49" s="103"/>
      <c r="BE49" s="103"/>
      <c r="BF49" s="103"/>
      <c r="BG49" s="107"/>
    </row>
    <row r="50" spans="9:59" ht="16.5" thickTop="1" thickBot="1">
      <c r="I50" s="109" t="s">
        <v>78</v>
      </c>
      <c r="J50" s="110"/>
      <c r="K50" s="110"/>
      <c r="L50" s="110">
        <v>7</v>
      </c>
      <c r="M50" s="110">
        <v>7</v>
      </c>
      <c r="N50" s="110"/>
      <c r="O50" s="110"/>
      <c r="P50" s="110">
        <v>7</v>
      </c>
      <c r="Q50" s="110">
        <v>6</v>
      </c>
      <c r="R50" s="109"/>
      <c r="S50" s="110"/>
      <c r="T50" s="110">
        <v>5</v>
      </c>
      <c r="U50" s="110">
        <v>6</v>
      </c>
      <c r="V50" s="110"/>
      <c r="W50" s="110"/>
      <c r="X50" s="110">
        <v>6</v>
      </c>
      <c r="Y50" s="111">
        <v>6</v>
      </c>
      <c r="Z50" s="110"/>
      <c r="AA50" s="110"/>
      <c r="AB50" s="110">
        <v>6</v>
      </c>
      <c r="AC50" s="110">
        <v>6</v>
      </c>
      <c r="AD50" s="110"/>
      <c r="AE50" s="110"/>
      <c r="AF50" s="110">
        <v>7</v>
      </c>
      <c r="AG50" s="111">
        <v>7</v>
      </c>
    </row>
    <row r="51" spans="9:59" ht="15.75" thickTop="1">
      <c r="I51" s="112"/>
      <c r="J51" s="273" t="s">
        <v>85</v>
      </c>
      <c r="K51" s="273"/>
      <c r="L51" s="273"/>
      <c r="M51" s="273"/>
      <c r="N51" s="273"/>
      <c r="O51" s="273"/>
      <c r="P51" s="273"/>
      <c r="Q51" s="273"/>
      <c r="R51" s="116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I51" s="63"/>
      <c r="AJ51" s="267" t="s">
        <v>88</v>
      </c>
      <c r="AK51" s="267"/>
      <c r="AL51" s="267"/>
      <c r="AM51" s="267"/>
      <c r="AN51" s="267"/>
      <c r="AO51" s="267"/>
      <c r="AP51" s="267"/>
      <c r="AQ51" s="267"/>
      <c r="AR51" s="118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</row>
    <row r="52" spans="9:59">
      <c r="I52" s="113"/>
      <c r="J52" s="269" t="s">
        <v>8</v>
      </c>
      <c r="K52" s="269"/>
      <c r="L52" s="269"/>
      <c r="M52" s="269"/>
      <c r="N52" s="269" t="s">
        <v>61</v>
      </c>
      <c r="O52" s="269"/>
      <c r="P52" s="269"/>
      <c r="Q52" s="269"/>
      <c r="R52" s="120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I52" s="65"/>
      <c r="AJ52" s="269" t="s">
        <v>8</v>
      </c>
      <c r="AK52" s="269"/>
      <c r="AL52" s="269"/>
      <c r="AM52" s="269"/>
      <c r="AN52" s="269" t="s">
        <v>61</v>
      </c>
      <c r="AO52" s="269"/>
      <c r="AP52" s="269"/>
      <c r="AQ52" s="269"/>
      <c r="AR52" s="121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</row>
    <row r="53" spans="9:59">
      <c r="I53" s="114" t="s">
        <v>66</v>
      </c>
      <c r="J53" s="70" t="s">
        <v>4</v>
      </c>
      <c r="K53" s="70" t="s">
        <v>67</v>
      </c>
      <c r="L53" s="70" t="s">
        <v>68</v>
      </c>
      <c r="M53" s="70" t="s">
        <v>51</v>
      </c>
      <c r="N53" s="70" t="s">
        <v>4</v>
      </c>
      <c r="O53" s="70" t="s">
        <v>67</v>
      </c>
      <c r="P53" s="70" t="s">
        <v>68</v>
      </c>
      <c r="Q53" s="70" t="s">
        <v>51</v>
      </c>
      <c r="R53" s="69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I53" s="72" t="s">
        <v>66</v>
      </c>
      <c r="AJ53" s="70" t="s">
        <v>4</v>
      </c>
      <c r="AK53" s="70" t="s">
        <v>67</v>
      </c>
      <c r="AL53" s="70" t="s">
        <v>68</v>
      </c>
      <c r="AM53" s="70" t="s">
        <v>51</v>
      </c>
      <c r="AN53" s="70" t="s">
        <v>4</v>
      </c>
      <c r="AO53" s="70" t="s">
        <v>67</v>
      </c>
      <c r="AP53" s="70" t="s">
        <v>68</v>
      </c>
      <c r="AQ53" s="70" t="s">
        <v>51</v>
      </c>
      <c r="AR53" s="73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</row>
    <row r="54" spans="9:59">
      <c r="I54" s="115">
        <v>30</v>
      </c>
      <c r="J54" s="82"/>
      <c r="K54" s="82"/>
      <c r="L54" s="61">
        <v>81</v>
      </c>
      <c r="M54" s="61">
        <v>85</v>
      </c>
      <c r="N54" s="82"/>
      <c r="O54" s="82"/>
      <c r="P54" s="61">
        <v>88</v>
      </c>
      <c r="Q54" s="61">
        <v>88</v>
      </c>
      <c r="R54" s="80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I54" s="85">
        <v>30</v>
      </c>
      <c r="AJ54" s="86"/>
      <c r="AK54" s="86"/>
      <c r="AL54" s="61" t="s">
        <v>70</v>
      </c>
      <c r="AM54" s="61" t="s">
        <v>70</v>
      </c>
      <c r="AN54" s="86"/>
      <c r="AO54" s="86"/>
      <c r="AP54" s="61" t="s">
        <v>70</v>
      </c>
      <c r="AQ54" s="61" t="s">
        <v>70</v>
      </c>
      <c r="AR54" s="122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</row>
    <row r="55" spans="9:59">
      <c r="I55" s="115">
        <f>I54-1</f>
        <v>29</v>
      </c>
      <c r="J55" s="82"/>
      <c r="K55" s="82"/>
      <c r="L55" s="61">
        <v>79</v>
      </c>
      <c r="M55" s="61">
        <v>83</v>
      </c>
      <c r="N55" s="82"/>
      <c r="O55" s="82"/>
      <c r="P55" s="61">
        <v>86</v>
      </c>
      <c r="Q55" s="61">
        <v>86</v>
      </c>
      <c r="R55" s="80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I55" s="85">
        <f>AI54-1</f>
        <v>29</v>
      </c>
      <c r="AJ55" s="86"/>
      <c r="AK55" s="86"/>
      <c r="AL55" s="61" t="s">
        <v>70</v>
      </c>
      <c r="AM55" s="61" t="s">
        <v>70</v>
      </c>
      <c r="AN55" s="86"/>
      <c r="AO55" s="86"/>
      <c r="AP55" s="61" t="s">
        <v>70</v>
      </c>
      <c r="AQ55" s="61" t="s">
        <v>70</v>
      </c>
      <c r="AR55" s="122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</row>
    <row r="56" spans="9:59">
      <c r="I56" s="115">
        <f t="shared" ref="I56:I72" si="0">I55-1</f>
        <v>28</v>
      </c>
      <c r="J56" s="82"/>
      <c r="K56" s="82"/>
      <c r="L56" s="61">
        <v>77</v>
      </c>
      <c r="M56" s="61">
        <v>80</v>
      </c>
      <c r="N56" s="82"/>
      <c r="O56" s="82"/>
      <c r="P56" s="61">
        <v>83</v>
      </c>
      <c r="Q56" s="61">
        <v>83</v>
      </c>
      <c r="R56" s="80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I56" s="85">
        <f t="shared" ref="AI56:AI73" si="1">AI55-1</f>
        <v>28</v>
      </c>
      <c r="AJ56" s="86"/>
      <c r="AK56" s="86"/>
      <c r="AL56" s="61" t="s">
        <v>70</v>
      </c>
      <c r="AM56" s="61" t="s">
        <v>70</v>
      </c>
      <c r="AN56" s="86"/>
      <c r="AO56" s="86"/>
      <c r="AP56" s="61" t="s">
        <v>70</v>
      </c>
      <c r="AQ56" s="61" t="s">
        <v>70</v>
      </c>
      <c r="AR56" s="122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</row>
    <row r="57" spans="9:59">
      <c r="I57" s="115">
        <f t="shared" si="0"/>
        <v>27</v>
      </c>
      <c r="J57" s="82"/>
      <c r="K57" s="82"/>
      <c r="L57" s="61">
        <v>75</v>
      </c>
      <c r="M57" s="61">
        <v>78</v>
      </c>
      <c r="N57" s="82"/>
      <c r="O57" s="82"/>
      <c r="P57" s="61">
        <v>80</v>
      </c>
      <c r="Q57" s="61">
        <v>81</v>
      </c>
      <c r="R57" s="80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I57" s="85">
        <f t="shared" si="1"/>
        <v>27</v>
      </c>
      <c r="AJ57" s="86"/>
      <c r="AK57" s="86"/>
      <c r="AL57" s="61" t="s">
        <v>70</v>
      </c>
      <c r="AM57" s="61">
        <v>99</v>
      </c>
      <c r="AN57" s="86"/>
      <c r="AO57" s="86"/>
      <c r="AP57" s="61" t="s">
        <v>70</v>
      </c>
      <c r="AQ57" s="61">
        <v>99</v>
      </c>
      <c r="AR57" s="122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</row>
    <row r="58" spans="9:59">
      <c r="I58" s="115">
        <f t="shared" si="0"/>
        <v>26</v>
      </c>
      <c r="J58" s="82"/>
      <c r="K58" s="82"/>
      <c r="L58" s="61">
        <v>73</v>
      </c>
      <c r="M58" s="61">
        <v>76</v>
      </c>
      <c r="N58" s="82"/>
      <c r="O58" s="82"/>
      <c r="P58" s="61">
        <v>78</v>
      </c>
      <c r="Q58" s="61">
        <v>78</v>
      </c>
      <c r="R58" s="80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I58" s="85">
        <f t="shared" si="1"/>
        <v>26</v>
      </c>
      <c r="AJ58" s="86"/>
      <c r="AK58" s="86"/>
      <c r="AL58" s="61">
        <v>99</v>
      </c>
      <c r="AM58" s="61">
        <v>99</v>
      </c>
      <c r="AN58" s="86"/>
      <c r="AO58" s="86"/>
      <c r="AP58" s="61" t="s">
        <v>70</v>
      </c>
      <c r="AQ58" s="61">
        <v>99</v>
      </c>
      <c r="AR58" s="122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</row>
    <row r="59" spans="9:59">
      <c r="I59" s="115">
        <f t="shared" si="0"/>
        <v>25</v>
      </c>
      <c r="J59" s="82"/>
      <c r="K59" s="82"/>
      <c r="L59" s="61">
        <v>70</v>
      </c>
      <c r="M59" s="61">
        <v>74</v>
      </c>
      <c r="N59" s="82"/>
      <c r="O59" s="82"/>
      <c r="P59" s="61">
        <v>75</v>
      </c>
      <c r="Q59" s="61">
        <v>76</v>
      </c>
      <c r="R59" s="80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I59" s="85">
        <f t="shared" si="1"/>
        <v>25</v>
      </c>
      <c r="AJ59" s="86"/>
      <c r="AK59" s="86"/>
      <c r="AL59" s="61">
        <v>97</v>
      </c>
      <c r="AM59" s="61">
        <v>98</v>
      </c>
      <c r="AN59" s="86"/>
      <c r="AO59" s="86"/>
      <c r="AP59" s="61" t="s">
        <v>70</v>
      </c>
      <c r="AQ59" s="61">
        <v>99</v>
      </c>
      <c r="AR59" s="122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</row>
    <row r="60" spans="9:59">
      <c r="I60" s="115">
        <f t="shared" si="0"/>
        <v>24</v>
      </c>
      <c r="J60" s="82"/>
      <c r="K60" s="82"/>
      <c r="L60" s="61">
        <v>68</v>
      </c>
      <c r="M60" s="61">
        <v>71</v>
      </c>
      <c r="N60" s="82"/>
      <c r="O60" s="82"/>
      <c r="P60" s="61">
        <v>73</v>
      </c>
      <c r="Q60" s="61">
        <v>73</v>
      </c>
      <c r="R60" s="80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I60" s="85">
        <f t="shared" si="1"/>
        <v>24</v>
      </c>
      <c r="AJ60" s="86"/>
      <c r="AK60" s="86"/>
      <c r="AL60" s="61">
        <v>95</v>
      </c>
      <c r="AM60" s="61">
        <v>97</v>
      </c>
      <c r="AN60" s="86"/>
      <c r="AO60" s="86"/>
      <c r="AP60" s="61">
        <v>99</v>
      </c>
      <c r="AQ60" s="61">
        <v>98</v>
      </c>
      <c r="AR60" s="122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</row>
    <row r="61" spans="9:59">
      <c r="I61" s="115">
        <f t="shared" si="0"/>
        <v>23</v>
      </c>
      <c r="J61" s="82"/>
      <c r="K61" s="82"/>
      <c r="L61" s="61">
        <v>66</v>
      </c>
      <c r="M61" s="61">
        <v>69</v>
      </c>
      <c r="N61" s="82"/>
      <c r="O61" s="82"/>
      <c r="P61" s="61">
        <v>70</v>
      </c>
      <c r="Q61" s="61">
        <v>71</v>
      </c>
      <c r="R61" s="80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I61" s="85">
        <f t="shared" si="1"/>
        <v>23</v>
      </c>
      <c r="AJ61" s="86"/>
      <c r="AK61" s="86"/>
      <c r="AL61" s="61">
        <v>93</v>
      </c>
      <c r="AM61" s="61">
        <v>94</v>
      </c>
      <c r="AN61" s="86"/>
      <c r="AO61" s="86"/>
      <c r="AP61" s="61">
        <v>98</v>
      </c>
      <c r="AQ61" s="61">
        <v>96</v>
      </c>
      <c r="AR61" s="122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</row>
    <row r="62" spans="9:59">
      <c r="I62" s="115">
        <f t="shared" si="0"/>
        <v>22</v>
      </c>
      <c r="J62" s="82"/>
      <c r="K62" s="82"/>
      <c r="L62" s="61">
        <v>64</v>
      </c>
      <c r="M62" s="61">
        <v>67</v>
      </c>
      <c r="N62" s="82"/>
      <c r="O62" s="82"/>
      <c r="P62" s="61">
        <v>67</v>
      </c>
      <c r="Q62" s="61">
        <v>68</v>
      </c>
      <c r="R62" s="80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I62" s="85">
        <f t="shared" si="1"/>
        <v>22</v>
      </c>
      <c r="AJ62" s="86"/>
      <c r="AK62" s="86"/>
      <c r="AL62" s="61">
        <v>92</v>
      </c>
      <c r="AM62" s="61">
        <v>93</v>
      </c>
      <c r="AN62" s="86"/>
      <c r="AO62" s="86"/>
      <c r="AP62" s="61">
        <v>97</v>
      </c>
      <c r="AQ62" s="61">
        <v>96</v>
      </c>
      <c r="AR62" s="122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</row>
    <row r="63" spans="9:59">
      <c r="I63" s="115">
        <f t="shared" si="0"/>
        <v>21</v>
      </c>
      <c r="J63" s="82"/>
      <c r="K63" s="82"/>
      <c r="L63" s="61">
        <v>61</v>
      </c>
      <c r="M63" s="61">
        <v>64</v>
      </c>
      <c r="N63" s="82"/>
      <c r="O63" s="82"/>
      <c r="P63" s="61">
        <v>65</v>
      </c>
      <c r="Q63" s="61">
        <v>66</v>
      </c>
      <c r="R63" s="80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I63" s="85">
        <f t="shared" si="1"/>
        <v>21</v>
      </c>
      <c r="AJ63" s="86"/>
      <c r="AK63" s="86"/>
      <c r="AL63" s="61">
        <v>88</v>
      </c>
      <c r="AM63" s="61">
        <v>92</v>
      </c>
      <c r="AN63" s="86"/>
      <c r="AO63" s="86"/>
      <c r="AP63" s="61">
        <v>97</v>
      </c>
      <c r="AQ63" s="61">
        <v>95</v>
      </c>
      <c r="AR63" s="122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</row>
    <row r="64" spans="9:59">
      <c r="I64" s="115">
        <f t="shared" si="0"/>
        <v>20</v>
      </c>
      <c r="J64" s="82"/>
      <c r="K64" s="82"/>
      <c r="L64" s="61">
        <v>59</v>
      </c>
      <c r="M64" s="61">
        <v>62</v>
      </c>
      <c r="N64" s="82"/>
      <c r="O64" s="82"/>
      <c r="P64" s="61">
        <v>62</v>
      </c>
      <c r="Q64" s="61">
        <v>63</v>
      </c>
      <c r="R64" s="80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I64" s="85">
        <f t="shared" si="1"/>
        <v>20</v>
      </c>
      <c r="AJ64" s="86"/>
      <c r="AK64" s="86"/>
      <c r="AL64" s="61">
        <v>84</v>
      </c>
      <c r="AM64" s="61">
        <v>88</v>
      </c>
      <c r="AN64" s="86"/>
      <c r="AO64" s="86"/>
      <c r="AP64" s="61">
        <v>90</v>
      </c>
      <c r="AQ64" s="61">
        <v>91</v>
      </c>
      <c r="AR64" s="122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</row>
    <row r="65" spans="9:59">
      <c r="I65" s="115">
        <f t="shared" si="0"/>
        <v>19</v>
      </c>
      <c r="J65" s="82"/>
      <c r="K65" s="82"/>
      <c r="L65" s="61">
        <v>57</v>
      </c>
      <c r="M65" s="61">
        <v>60</v>
      </c>
      <c r="N65" s="82"/>
      <c r="O65" s="82"/>
      <c r="P65" s="61">
        <v>60</v>
      </c>
      <c r="Q65" s="61">
        <v>60</v>
      </c>
      <c r="R65" s="80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I65" s="85">
        <f t="shared" si="1"/>
        <v>19</v>
      </c>
      <c r="AJ65" s="86"/>
      <c r="AK65" s="86"/>
      <c r="AL65" s="61">
        <v>76</v>
      </c>
      <c r="AM65" s="61">
        <v>85</v>
      </c>
      <c r="AN65" s="86"/>
      <c r="AO65" s="86"/>
      <c r="AP65" s="61">
        <v>82</v>
      </c>
      <c r="AQ65" s="61">
        <v>84</v>
      </c>
      <c r="AR65" s="122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</row>
    <row r="66" spans="9:59">
      <c r="I66" s="115">
        <f t="shared" si="0"/>
        <v>18</v>
      </c>
      <c r="J66" s="82"/>
      <c r="K66" s="82"/>
      <c r="L66" s="61">
        <v>55</v>
      </c>
      <c r="M66" s="61">
        <v>58</v>
      </c>
      <c r="N66" s="82"/>
      <c r="O66" s="82"/>
      <c r="P66" s="61">
        <v>57</v>
      </c>
      <c r="Q66" s="61">
        <v>58</v>
      </c>
      <c r="R66" s="80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I66" s="85">
        <f t="shared" si="1"/>
        <v>18</v>
      </c>
      <c r="AJ66" s="86"/>
      <c r="AK66" s="86"/>
      <c r="AL66" s="61">
        <v>70</v>
      </c>
      <c r="AM66" s="61">
        <v>79</v>
      </c>
      <c r="AN66" s="86"/>
      <c r="AO66" s="86"/>
      <c r="AP66" s="61">
        <v>76</v>
      </c>
      <c r="AQ66" s="61">
        <v>80</v>
      </c>
      <c r="AR66" s="122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</row>
    <row r="67" spans="9:59">
      <c r="I67" s="115">
        <f t="shared" si="0"/>
        <v>17</v>
      </c>
      <c r="J67" s="82"/>
      <c r="K67" s="82"/>
      <c r="L67" s="61">
        <v>53</v>
      </c>
      <c r="M67" s="61">
        <v>55</v>
      </c>
      <c r="N67" s="82"/>
      <c r="O67" s="82"/>
      <c r="P67" s="61">
        <v>54</v>
      </c>
      <c r="Q67" s="61">
        <v>55</v>
      </c>
      <c r="R67" s="80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I67" s="85">
        <f t="shared" si="1"/>
        <v>17</v>
      </c>
      <c r="AJ67" s="86"/>
      <c r="AK67" s="86"/>
      <c r="AL67" s="61">
        <v>63</v>
      </c>
      <c r="AM67" s="61">
        <v>74</v>
      </c>
      <c r="AN67" s="86"/>
      <c r="AO67" s="86"/>
      <c r="AP67" s="61">
        <v>70</v>
      </c>
      <c r="AQ67" s="61">
        <v>76</v>
      </c>
      <c r="AR67" s="122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</row>
    <row r="68" spans="9:59">
      <c r="I68" s="115">
        <f t="shared" si="0"/>
        <v>16</v>
      </c>
      <c r="J68" s="82"/>
      <c r="K68" s="82"/>
      <c r="L68" s="61">
        <v>50</v>
      </c>
      <c r="M68" s="61">
        <v>53</v>
      </c>
      <c r="N68" s="82"/>
      <c r="O68" s="82"/>
      <c r="P68" s="61">
        <v>52</v>
      </c>
      <c r="Q68" s="61">
        <v>53</v>
      </c>
      <c r="R68" s="80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I68" s="85">
        <f t="shared" si="1"/>
        <v>16</v>
      </c>
      <c r="AJ68" s="86"/>
      <c r="AK68" s="86"/>
      <c r="AL68" s="61">
        <v>59</v>
      </c>
      <c r="AM68" s="61">
        <v>72</v>
      </c>
      <c r="AN68" s="86"/>
      <c r="AO68" s="86"/>
      <c r="AP68" s="61">
        <v>60</v>
      </c>
      <c r="AQ68" s="61">
        <v>71</v>
      </c>
      <c r="AR68" s="122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</row>
    <row r="69" spans="9:59">
      <c r="I69" s="115">
        <f t="shared" si="0"/>
        <v>15</v>
      </c>
      <c r="J69" s="82"/>
      <c r="K69" s="82"/>
      <c r="L69" s="61">
        <v>48</v>
      </c>
      <c r="M69" s="61">
        <v>51</v>
      </c>
      <c r="N69" s="82"/>
      <c r="O69" s="82"/>
      <c r="P69" s="61">
        <v>49</v>
      </c>
      <c r="Q69" s="61">
        <v>50</v>
      </c>
      <c r="R69" s="80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I69" s="85">
        <f t="shared" si="1"/>
        <v>15</v>
      </c>
      <c r="AJ69" s="86"/>
      <c r="AK69" s="86"/>
      <c r="AL69" s="61">
        <v>53</v>
      </c>
      <c r="AM69" s="61">
        <v>65</v>
      </c>
      <c r="AN69" s="86"/>
      <c r="AO69" s="86"/>
      <c r="AP69" s="61">
        <v>51</v>
      </c>
      <c r="AQ69" s="61">
        <v>61</v>
      </c>
      <c r="AR69" s="122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</row>
    <row r="70" spans="9:59">
      <c r="I70" s="115">
        <f t="shared" si="0"/>
        <v>14</v>
      </c>
      <c r="J70" s="82"/>
      <c r="K70" s="82"/>
      <c r="L70" s="61">
        <v>46</v>
      </c>
      <c r="M70" s="61">
        <v>49</v>
      </c>
      <c r="N70" s="82"/>
      <c r="O70" s="82"/>
      <c r="P70" s="61">
        <v>47</v>
      </c>
      <c r="Q70" s="61">
        <v>48</v>
      </c>
      <c r="R70" s="80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I70" s="85">
        <f t="shared" si="1"/>
        <v>14</v>
      </c>
      <c r="AJ70" s="86"/>
      <c r="AK70" s="86"/>
      <c r="AL70" s="61">
        <v>45</v>
      </c>
      <c r="AM70" s="61">
        <v>56</v>
      </c>
      <c r="AN70" s="86"/>
      <c r="AO70" s="86"/>
      <c r="AP70" s="61">
        <v>45</v>
      </c>
      <c r="AQ70" s="61">
        <v>53</v>
      </c>
      <c r="AR70" s="122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</row>
    <row r="71" spans="9:59">
      <c r="I71" s="115">
        <f t="shared" si="0"/>
        <v>13</v>
      </c>
      <c r="J71" s="82"/>
      <c r="K71" s="82"/>
      <c r="L71" s="61">
        <v>44</v>
      </c>
      <c r="M71" s="61">
        <v>46</v>
      </c>
      <c r="N71" s="82"/>
      <c r="O71" s="82"/>
      <c r="P71" s="61">
        <v>44</v>
      </c>
      <c r="Q71" s="61">
        <v>45</v>
      </c>
      <c r="R71" s="80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I71" s="85">
        <f t="shared" si="1"/>
        <v>13</v>
      </c>
      <c r="AJ71" s="86"/>
      <c r="AK71" s="86"/>
      <c r="AL71" s="61">
        <v>38</v>
      </c>
      <c r="AM71" s="61">
        <v>51</v>
      </c>
      <c r="AN71" s="86"/>
      <c r="AO71" s="86"/>
      <c r="AP71" s="61">
        <v>39</v>
      </c>
      <c r="AQ71" s="61">
        <v>46</v>
      </c>
      <c r="AR71" s="122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</row>
    <row r="72" spans="9:59">
      <c r="I72" s="115">
        <f t="shared" si="0"/>
        <v>12</v>
      </c>
      <c r="J72" s="82"/>
      <c r="K72" s="82"/>
      <c r="L72" s="61">
        <v>41</v>
      </c>
      <c r="M72" s="61">
        <v>44</v>
      </c>
      <c r="N72" s="82"/>
      <c r="O72" s="82"/>
      <c r="P72" s="61">
        <v>41</v>
      </c>
      <c r="Q72" s="61">
        <v>43</v>
      </c>
      <c r="R72" s="80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I72" s="85">
        <f t="shared" si="1"/>
        <v>12</v>
      </c>
      <c r="AJ72" s="86"/>
      <c r="AK72" s="86"/>
      <c r="AL72" s="61">
        <v>29</v>
      </c>
      <c r="AM72" s="61">
        <v>43</v>
      </c>
      <c r="AN72" s="86"/>
      <c r="AO72" s="86"/>
      <c r="AP72" s="61">
        <v>30</v>
      </c>
      <c r="AQ72" s="61">
        <v>35</v>
      </c>
      <c r="AR72" s="122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</row>
    <row r="73" spans="9:59">
      <c r="I73" s="115">
        <v>11</v>
      </c>
      <c r="J73" s="82"/>
      <c r="K73" s="82"/>
      <c r="L73" s="61">
        <v>39</v>
      </c>
      <c r="M73" s="61">
        <v>42</v>
      </c>
      <c r="N73" s="82"/>
      <c r="O73" s="82"/>
      <c r="P73" s="61">
        <v>39</v>
      </c>
      <c r="Q73" s="61">
        <v>40</v>
      </c>
      <c r="R73" s="80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I73" s="85">
        <f t="shared" si="1"/>
        <v>11</v>
      </c>
      <c r="AJ73" s="86"/>
      <c r="AK73" s="86"/>
      <c r="AL73" s="61">
        <v>23</v>
      </c>
      <c r="AM73" s="61">
        <v>33</v>
      </c>
      <c r="AN73" s="86"/>
      <c r="AO73" s="86"/>
      <c r="AP73" s="61">
        <v>23</v>
      </c>
      <c r="AQ73" s="61">
        <v>21</v>
      </c>
      <c r="AR73" s="122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</row>
    <row r="74" spans="9:59" ht="15.75" thickBot="1">
      <c r="I74" s="123">
        <v>10</v>
      </c>
      <c r="J74" s="124"/>
      <c r="K74" s="124"/>
      <c r="L74" s="125">
        <v>37</v>
      </c>
      <c r="M74" s="125">
        <v>40</v>
      </c>
      <c r="N74" s="124"/>
      <c r="O74" s="124"/>
      <c r="P74" s="125">
        <v>36</v>
      </c>
      <c r="Q74" s="125">
        <v>38</v>
      </c>
      <c r="R74" s="80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I74" s="102">
        <f>AI73-1</f>
        <v>10</v>
      </c>
      <c r="AJ74" s="103"/>
      <c r="AK74" s="103"/>
      <c r="AL74" s="105">
        <v>11</v>
      </c>
      <c r="AM74" s="105">
        <v>21</v>
      </c>
      <c r="AN74" s="103"/>
      <c r="AO74" s="103"/>
      <c r="AP74" s="105">
        <v>11</v>
      </c>
      <c r="AQ74" s="105">
        <v>15</v>
      </c>
      <c r="AR74" s="122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</row>
    <row r="75" spans="9:59" ht="16.5" thickTop="1" thickBot="1">
      <c r="I75" s="126" t="s">
        <v>78</v>
      </c>
      <c r="J75" s="124"/>
      <c r="K75" s="124"/>
      <c r="L75" s="124">
        <v>6</v>
      </c>
      <c r="M75" s="124">
        <v>5</v>
      </c>
      <c r="N75" s="124"/>
      <c r="O75" s="124"/>
      <c r="P75" s="124">
        <v>6</v>
      </c>
      <c r="Q75" s="124">
        <v>6</v>
      </c>
      <c r="R75" s="127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</row>
    <row r="76" spans="9:59" ht="15.75" thickTop="1">
      <c r="I76" s="112"/>
      <c r="J76" s="273" t="s">
        <v>91</v>
      </c>
      <c r="K76" s="273"/>
      <c r="L76" s="273"/>
      <c r="M76" s="273"/>
      <c r="N76" s="273"/>
      <c r="O76" s="273"/>
      <c r="P76" s="273"/>
      <c r="Q76" s="274"/>
      <c r="R76" s="273" t="s">
        <v>92</v>
      </c>
      <c r="S76" s="273"/>
      <c r="T76" s="273"/>
      <c r="U76" s="273"/>
      <c r="V76" s="273"/>
      <c r="W76" s="273"/>
      <c r="X76" s="273"/>
      <c r="Y76" s="274"/>
      <c r="Z76" s="273" t="s">
        <v>93</v>
      </c>
      <c r="AA76" s="273"/>
      <c r="AB76" s="273"/>
      <c r="AC76" s="273"/>
      <c r="AD76" s="273"/>
      <c r="AE76" s="273"/>
      <c r="AF76" s="273"/>
      <c r="AG76" s="274"/>
      <c r="AI76" s="63"/>
      <c r="AJ76" s="271" t="s">
        <v>91</v>
      </c>
      <c r="AK76" s="267"/>
      <c r="AL76" s="267"/>
      <c r="AM76" s="267"/>
      <c r="AN76" s="267"/>
      <c r="AO76" s="267"/>
      <c r="AP76" s="267"/>
      <c r="AQ76" s="267"/>
      <c r="AR76" s="271" t="s">
        <v>92</v>
      </c>
      <c r="AS76" s="267"/>
      <c r="AT76" s="267"/>
      <c r="AU76" s="267"/>
      <c r="AV76" s="267"/>
      <c r="AW76" s="267"/>
      <c r="AX76" s="267"/>
      <c r="AY76" s="268"/>
      <c r="AZ76" s="267" t="s">
        <v>93</v>
      </c>
      <c r="BA76" s="267"/>
      <c r="BB76" s="267"/>
      <c r="BC76" s="267"/>
      <c r="BD76" s="267"/>
      <c r="BE76" s="267"/>
      <c r="BF76" s="267"/>
      <c r="BG76" s="268"/>
    </row>
    <row r="77" spans="9:59">
      <c r="I77" s="113"/>
      <c r="J77" s="269" t="s">
        <v>8</v>
      </c>
      <c r="K77" s="269"/>
      <c r="L77" s="269"/>
      <c r="M77" s="269"/>
      <c r="N77" s="269" t="s">
        <v>61</v>
      </c>
      <c r="O77" s="269"/>
      <c r="P77" s="269"/>
      <c r="Q77" s="275"/>
      <c r="R77" s="269" t="s">
        <v>8</v>
      </c>
      <c r="S77" s="269"/>
      <c r="T77" s="269"/>
      <c r="U77" s="269"/>
      <c r="V77" s="269" t="s">
        <v>61</v>
      </c>
      <c r="W77" s="269"/>
      <c r="X77" s="269"/>
      <c r="Y77" s="275"/>
      <c r="Z77" s="269" t="s">
        <v>8</v>
      </c>
      <c r="AA77" s="269"/>
      <c r="AB77" s="269"/>
      <c r="AC77" s="269"/>
      <c r="AD77" s="269" t="s">
        <v>61</v>
      </c>
      <c r="AE77" s="269"/>
      <c r="AF77" s="269"/>
      <c r="AG77" s="275"/>
      <c r="AI77" s="65"/>
      <c r="AJ77" s="272" t="s">
        <v>8</v>
      </c>
      <c r="AK77" s="269"/>
      <c r="AL77" s="269"/>
      <c r="AM77" s="269"/>
      <c r="AN77" s="269" t="s">
        <v>61</v>
      </c>
      <c r="AO77" s="269"/>
      <c r="AP77" s="269"/>
      <c r="AQ77" s="269"/>
      <c r="AR77" s="272" t="s">
        <v>8</v>
      </c>
      <c r="AS77" s="269"/>
      <c r="AT77" s="269"/>
      <c r="AU77" s="269"/>
      <c r="AV77" s="269" t="s">
        <v>61</v>
      </c>
      <c r="AW77" s="269"/>
      <c r="AX77" s="269"/>
      <c r="AY77" s="270"/>
      <c r="AZ77" s="269" t="s">
        <v>8</v>
      </c>
      <c r="BA77" s="269"/>
      <c r="BB77" s="269"/>
      <c r="BC77" s="269"/>
      <c r="BD77" s="269" t="s">
        <v>61</v>
      </c>
      <c r="BE77" s="269"/>
      <c r="BF77" s="269"/>
      <c r="BG77" s="270"/>
    </row>
    <row r="78" spans="9:59">
      <c r="I78" s="114" t="s">
        <v>66</v>
      </c>
      <c r="J78" s="70" t="s">
        <v>4</v>
      </c>
      <c r="K78" s="70" t="s">
        <v>67</v>
      </c>
      <c r="L78" s="70" t="s">
        <v>68</v>
      </c>
      <c r="M78" s="70" t="s">
        <v>51</v>
      </c>
      <c r="N78" s="70" t="s">
        <v>4</v>
      </c>
      <c r="O78" s="70" t="s">
        <v>67</v>
      </c>
      <c r="P78" s="70" t="s">
        <v>68</v>
      </c>
      <c r="Q78" s="71" t="s">
        <v>51</v>
      </c>
      <c r="R78" s="70" t="s">
        <v>4</v>
      </c>
      <c r="S78" s="70" t="s">
        <v>67</v>
      </c>
      <c r="T78" s="70" t="s">
        <v>68</v>
      </c>
      <c r="U78" s="70" t="s">
        <v>51</v>
      </c>
      <c r="V78" s="70" t="s">
        <v>4</v>
      </c>
      <c r="W78" s="70" t="s">
        <v>67</v>
      </c>
      <c r="X78" s="70" t="s">
        <v>68</v>
      </c>
      <c r="Y78" s="71" t="s">
        <v>51</v>
      </c>
      <c r="Z78" s="70" t="s">
        <v>4</v>
      </c>
      <c r="AA78" s="70" t="s">
        <v>67</v>
      </c>
      <c r="AB78" s="70" t="s">
        <v>68</v>
      </c>
      <c r="AC78" s="70" t="s">
        <v>51</v>
      </c>
      <c r="AD78" s="70" t="s">
        <v>4</v>
      </c>
      <c r="AE78" s="70" t="s">
        <v>67</v>
      </c>
      <c r="AF78" s="70" t="s">
        <v>68</v>
      </c>
      <c r="AG78" s="71" t="s">
        <v>51</v>
      </c>
      <c r="AI78" s="72" t="s">
        <v>66</v>
      </c>
      <c r="AJ78" s="73" t="s">
        <v>4</v>
      </c>
      <c r="AK78" s="70" t="s">
        <v>67</v>
      </c>
      <c r="AL78" s="70" t="s">
        <v>68</v>
      </c>
      <c r="AM78" s="70" t="s">
        <v>51</v>
      </c>
      <c r="AN78" s="70" t="s">
        <v>4</v>
      </c>
      <c r="AO78" s="70" t="s">
        <v>67</v>
      </c>
      <c r="AP78" s="70" t="s">
        <v>68</v>
      </c>
      <c r="AQ78" s="70" t="s">
        <v>51</v>
      </c>
      <c r="AR78" s="73" t="s">
        <v>4</v>
      </c>
      <c r="AS78" s="70" t="s">
        <v>67</v>
      </c>
      <c r="AT78" s="70" t="s">
        <v>68</v>
      </c>
      <c r="AU78" s="70" t="s">
        <v>51</v>
      </c>
      <c r="AV78" s="70" t="s">
        <v>4</v>
      </c>
      <c r="AW78" s="70" t="s">
        <v>67</v>
      </c>
      <c r="AX78" s="70" t="s">
        <v>68</v>
      </c>
      <c r="AY78" s="74" t="s">
        <v>51</v>
      </c>
      <c r="AZ78" s="70" t="s">
        <v>4</v>
      </c>
      <c r="BA78" s="70" t="s">
        <v>67</v>
      </c>
      <c r="BB78" s="70" t="s">
        <v>68</v>
      </c>
      <c r="BC78" s="70" t="s">
        <v>51</v>
      </c>
      <c r="BD78" s="70" t="s">
        <v>4</v>
      </c>
      <c r="BE78" s="70" t="s">
        <v>67</v>
      </c>
      <c r="BF78" s="70" t="s">
        <v>68</v>
      </c>
      <c r="BG78" s="74" t="s">
        <v>51</v>
      </c>
    </row>
    <row r="79" spans="9:59">
      <c r="I79" s="115">
        <v>75</v>
      </c>
      <c r="J79" s="82"/>
      <c r="K79" s="82"/>
      <c r="L79" s="82"/>
      <c r="M79" s="82"/>
      <c r="N79" s="82"/>
      <c r="O79" s="82"/>
      <c r="P79" s="82"/>
      <c r="Q79" s="84"/>
      <c r="R79" s="82"/>
      <c r="S79" s="82"/>
      <c r="T79" s="82"/>
      <c r="U79" s="82"/>
      <c r="V79" s="82"/>
      <c r="W79" s="82"/>
      <c r="X79" s="82"/>
      <c r="Y79" s="84"/>
      <c r="Z79" s="82"/>
      <c r="AA79" s="82"/>
      <c r="AB79" s="61">
        <v>84</v>
      </c>
      <c r="AC79" s="61">
        <v>89</v>
      </c>
      <c r="AD79" s="82"/>
      <c r="AE79" s="82"/>
      <c r="AF79" s="61" t="s">
        <v>69</v>
      </c>
      <c r="AG79" s="83" t="s">
        <v>69</v>
      </c>
      <c r="AI79" s="85">
        <v>75</v>
      </c>
      <c r="AJ79" s="87"/>
      <c r="AK79" s="86"/>
      <c r="AL79" s="86"/>
      <c r="AM79" s="86"/>
      <c r="AN79" s="86"/>
      <c r="AO79" s="86"/>
      <c r="AP79" s="86"/>
      <c r="AQ79" s="86"/>
      <c r="AR79" s="87"/>
      <c r="AS79" s="86"/>
      <c r="AT79" s="86"/>
      <c r="AU79" s="86"/>
      <c r="AV79" s="86"/>
      <c r="AW79" s="86"/>
      <c r="AX79" s="86"/>
      <c r="AY79" s="88"/>
      <c r="AZ79" s="86"/>
      <c r="BA79" s="86"/>
      <c r="BB79" s="61" t="s">
        <v>70</v>
      </c>
      <c r="BC79" s="61" t="s">
        <v>70</v>
      </c>
      <c r="BD79" s="86"/>
      <c r="BE79" s="86"/>
      <c r="BF79" s="61" t="s">
        <v>70</v>
      </c>
      <c r="BG79" s="89" t="s">
        <v>70</v>
      </c>
    </row>
    <row r="80" spans="9:59">
      <c r="I80" s="115">
        <f>I79-1</f>
        <v>74</v>
      </c>
      <c r="J80" s="82"/>
      <c r="K80" s="82"/>
      <c r="L80" s="82"/>
      <c r="M80" s="82"/>
      <c r="N80" s="82"/>
      <c r="O80" s="82"/>
      <c r="P80" s="82"/>
      <c r="Q80" s="84"/>
      <c r="R80" s="82"/>
      <c r="S80" s="82"/>
      <c r="T80" s="82"/>
      <c r="U80" s="82"/>
      <c r="V80" s="82"/>
      <c r="W80" s="82"/>
      <c r="X80" s="82"/>
      <c r="Y80" s="84"/>
      <c r="Z80" s="82"/>
      <c r="AA80" s="82"/>
      <c r="AB80" s="61">
        <v>83</v>
      </c>
      <c r="AC80" s="61">
        <v>88</v>
      </c>
      <c r="AD80" s="82"/>
      <c r="AE80" s="82"/>
      <c r="AF80" s="61">
        <v>90</v>
      </c>
      <c r="AG80" s="83" t="s">
        <v>69</v>
      </c>
      <c r="AI80" s="85">
        <f>AI79-1</f>
        <v>74</v>
      </c>
      <c r="AJ80" s="87"/>
      <c r="AK80" s="86"/>
      <c r="AL80" s="86"/>
      <c r="AM80" s="86"/>
      <c r="AN80" s="86"/>
      <c r="AO80" s="86"/>
      <c r="AP80" s="86"/>
      <c r="AQ80" s="86"/>
      <c r="AR80" s="87"/>
      <c r="AS80" s="86"/>
      <c r="AT80" s="86"/>
      <c r="AU80" s="86"/>
      <c r="AV80" s="86"/>
      <c r="AW80" s="86"/>
      <c r="AX80" s="86"/>
      <c r="AY80" s="88"/>
      <c r="AZ80" s="86"/>
      <c r="BA80" s="86"/>
      <c r="BB80" s="61" t="s">
        <v>70</v>
      </c>
      <c r="BC80" s="61" t="s">
        <v>70</v>
      </c>
      <c r="BD80" s="86"/>
      <c r="BE80" s="86"/>
      <c r="BF80" s="61" t="s">
        <v>70</v>
      </c>
      <c r="BG80" s="89" t="s">
        <v>70</v>
      </c>
    </row>
    <row r="81" spans="9:59">
      <c r="I81" s="115">
        <f t="shared" ref="I81:I140" si="2">I80-1</f>
        <v>73</v>
      </c>
      <c r="J81" s="82"/>
      <c r="K81" s="82"/>
      <c r="L81" s="82"/>
      <c r="M81" s="82"/>
      <c r="N81" s="82"/>
      <c r="O81" s="82"/>
      <c r="P81" s="82"/>
      <c r="Q81" s="84"/>
      <c r="R81" s="82"/>
      <c r="S81" s="82"/>
      <c r="T81" s="82"/>
      <c r="U81" s="82"/>
      <c r="V81" s="82"/>
      <c r="W81" s="82"/>
      <c r="X81" s="82"/>
      <c r="Y81" s="84"/>
      <c r="Z81" s="82"/>
      <c r="AA81" s="82"/>
      <c r="AB81" s="61">
        <v>82</v>
      </c>
      <c r="AC81" s="61">
        <v>87</v>
      </c>
      <c r="AD81" s="82"/>
      <c r="AE81" s="82"/>
      <c r="AF81" s="61">
        <v>89</v>
      </c>
      <c r="AG81" s="83" t="s">
        <v>69</v>
      </c>
      <c r="AI81" s="85">
        <f t="shared" ref="AI81:AI140" si="3">AI80-1</f>
        <v>73</v>
      </c>
      <c r="AJ81" s="87"/>
      <c r="AK81" s="86"/>
      <c r="AL81" s="86"/>
      <c r="AM81" s="86"/>
      <c r="AN81" s="86"/>
      <c r="AO81" s="86"/>
      <c r="AP81" s="86"/>
      <c r="AQ81" s="86"/>
      <c r="AR81" s="87"/>
      <c r="AS81" s="86"/>
      <c r="AT81" s="86"/>
      <c r="AU81" s="86"/>
      <c r="AV81" s="86"/>
      <c r="AW81" s="86"/>
      <c r="AX81" s="86"/>
      <c r="AY81" s="88"/>
      <c r="AZ81" s="86"/>
      <c r="BA81" s="86"/>
      <c r="BB81" s="61" t="s">
        <v>70</v>
      </c>
      <c r="BC81" s="61" t="s">
        <v>70</v>
      </c>
      <c r="BD81" s="86"/>
      <c r="BE81" s="86"/>
      <c r="BF81" s="61" t="s">
        <v>70</v>
      </c>
      <c r="BG81" s="89" t="s">
        <v>70</v>
      </c>
    </row>
    <row r="82" spans="9:59">
      <c r="I82" s="115">
        <f t="shared" si="2"/>
        <v>72</v>
      </c>
      <c r="J82" s="82"/>
      <c r="K82" s="82"/>
      <c r="L82" s="82"/>
      <c r="M82" s="82"/>
      <c r="N82" s="82"/>
      <c r="O82" s="82"/>
      <c r="P82" s="82"/>
      <c r="Q82" s="84"/>
      <c r="R82" s="82"/>
      <c r="S82" s="82"/>
      <c r="T82" s="82"/>
      <c r="U82" s="82"/>
      <c r="V82" s="82"/>
      <c r="W82" s="82"/>
      <c r="X82" s="82"/>
      <c r="Y82" s="84"/>
      <c r="Z82" s="82"/>
      <c r="AA82" s="82"/>
      <c r="AB82" s="61">
        <v>81</v>
      </c>
      <c r="AC82" s="61">
        <v>86</v>
      </c>
      <c r="AD82" s="82"/>
      <c r="AE82" s="82"/>
      <c r="AF82" s="61">
        <v>88</v>
      </c>
      <c r="AG82" s="83">
        <v>89</v>
      </c>
      <c r="AI82" s="85">
        <f t="shared" si="3"/>
        <v>72</v>
      </c>
      <c r="AJ82" s="87"/>
      <c r="AK82" s="86"/>
      <c r="AL82" s="86"/>
      <c r="AM82" s="86"/>
      <c r="AN82" s="86"/>
      <c r="AO82" s="86"/>
      <c r="AP82" s="86"/>
      <c r="AQ82" s="86"/>
      <c r="AR82" s="87"/>
      <c r="AS82" s="86"/>
      <c r="AT82" s="86"/>
      <c r="AU82" s="86"/>
      <c r="AV82" s="86"/>
      <c r="AW82" s="86"/>
      <c r="AX82" s="86"/>
      <c r="AY82" s="88"/>
      <c r="AZ82" s="86"/>
      <c r="BA82" s="86"/>
      <c r="BB82" s="61" t="s">
        <v>70</v>
      </c>
      <c r="BC82" s="61" t="s">
        <v>70</v>
      </c>
      <c r="BD82" s="86"/>
      <c r="BE82" s="86"/>
      <c r="BF82" s="61" t="s">
        <v>70</v>
      </c>
      <c r="BG82" s="89" t="s">
        <v>70</v>
      </c>
    </row>
    <row r="83" spans="9:59">
      <c r="I83" s="115">
        <f t="shared" si="2"/>
        <v>71</v>
      </c>
      <c r="J83" s="82"/>
      <c r="K83" s="82"/>
      <c r="L83" s="82"/>
      <c r="M83" s="82"/>
      <c r="N83" s="82"/>
      <c r="O83" s="82"/>
      <c r="P83" s="82"/>
      <c r="Q83" s="84"/>
      <c r="R83" s="82"/>
      <c r="S83" s="82"/>
      <c r="T83" s="82"/>
      <c r="U83" s="82"/>
      <c r="V83" s="82"/>
      <c r="W83" s="82"/>
      <c r="X83" s="82"/>
      <c r="Y83" s="84"/>
      <c r="Z83" s="82"/>
      <c r="AA83" s="82"/>
      <c r="AB83" s="61">
        <v>80</v>
      </c>
      <c r="AC83" s="61">
        <v>85</v>
      </c>
      <c r="AD83" s="82"/>
      <c r="AE83" s="82"/>
      <c r="AF83" s="61">
        <v>87</v>
      </c>
      <c r="AG83" s="83">
        <v>88</v>
      </c>
      <c r="AI83" s="85">
        <f t="shared" si="3"/>
        <v>71</v>
      </c>
      <c r="AJ83" s="87"/>
      <c r="AK83" s="86"/>
      <c r="AL83" s="86"/>
      <c r="AM83" s="86"/>
      <c r="AN83" s="86"/>
      <c r="AO83" s="86"/>
      <c r="AP83" s="86"/>
      <c r="AQ83" s="86"/>
      <c r="AR83" s="87"/>
      <c r="AS83" s="86"/>
      <c r="AT83" s="86"/>
      <c r="AU83" s="86"/>
      <c r="AV83" s="86"/>
      <c r="AW83" s="86"/>
      <c r="AX83" s="86"/>
      <c r="AY83" s="88"/>
      <c r="AZ83" s="86"/>
      <c r="BA83" s="86"/>
      <c r="BB83" s="61" t="s">
        <v>70</v>
      </c>
      <c r="BC83" s="61" t="s">
        <v>70</v>
      </c>
      <c r="BD83" s="86"/>
      <c r="BE83" s="86"/>
      <c r="BF83" s="61" t="s">
        <v>70</v>
      </c>
      <c r="BG83" s="89" t="s">
        <v>70</v>
      </c>
    </row>
    <row r="84" spans="9:59">
      <c r="I84" s="115">
        <f t="shared" si="2"/>
        <v>70</v>
      </c>
      <c r="J84" s="82"/>
      <c r="K84" s="82"/>
      <c r="L84" s="82"/>
      <c r="M84" s="82"/>
      <c r="N84" s="82"/>
      <c r="O84" s="82"/>
      <c r="P84" s="82"/>
      <c r="Q84" s="84"/>
      <c r="R84" s="82"/>
      <c r="S84" s="82"/>
      <c r="T84" s="82"/>
      <c r="U84" s="82"/>
      <c r="V84" s="82"/>
      <c r="W84" s="82"/>
      <c r="X84" s="82"/>
      <c r="Y84" s="84"/>
      <c r="Z84" s="82"/>
      <c r="AA84" s="82"/>
      <c r="AB84" s="61">
        <v>79</v>
      </c>
      <c r="AC84" s="61">
        <v>84</v>
      </c>
      <c r="AD84" s="82"/>
      <c r="AE84" s="82"/>
      <c r="AF84" s="61">
        <v>86</v>
      </c>
      <c r="AG84" s="83">
        <v>87</v>
      </c>
      <c r="AI84" s="85">
        <f t="shared" si="3"/>
        <v>70</v>
      </c>
      <c r="AJ84" s="87"/>
      <c r="AK84" s="86"/>
      <c r="AL84" s="86"/>
      <c r="AM84" s="86"/>
      <c r="AN84" s="86"/>
      <c r="AO84" s="86"/>
      <c r="AP84" s="86"/>
      <c r="AQ84" s="86"/>
      <c r="AR84" s="87"/>
      <c r="AS84" s="86"/>
      <c r="AT84" s="86"/>
      <c r="AU84" s="86"/>
      <c r="AV84" s="86"/>
      <c r="AW84" s="86"/>
      <c r="AX84" s="86"/>
      <c r="AY84" s="88"/>
      <c r="AZ84" s="86"/>
      <c r="BA84" s="86"/>
      <c r="BB84" s="61" t="s">
        <v>70</v>
      </c>
      <c r="BC84" s="61" t="s">
        <v>70</v>
      </c>
      <c r="BD84" s="86"/>
      <c r="BE84" s="86"/>
      <c r="BF84" s="61" t="s">
        <v>70</v>
      </c>
      <c r="BG84" s="89" t="s">
        <v>70</v>
      </c>
    </row>
    <row r="85" spans="9:59">
      <c r="I85" s="115">
        <f t="shared" si="2"/>
        <v>69</v>
      </c>
      <c r="J85" s="82"/>
      <c r="K85" s="82"/>
      <c r="L85" s="82"/>
      <c r="M85" s="82"/>
      <c r="N85" s="82"/>
      <c r="O85" s="82"/>
      <c r="P85" s="82"/>
      <c r="Q85" s="84"/>
      <c r="R85" s="82"/>
      <c r="S85" s="82"/>
      <c r="T85" s="82"/>
      <c r="U85" s="82"/>
      <c r="V85" s="82"/>
      <c r="W85" s="82"/>
      <c r="X85" s="82"/>
      <c r="Y85" s="84"/>
      <c r="Z85" s="82"/>
      <c r="AA85" s="82"/>
      <c r="AB85" s="61">
        <v>78</v>
      </c>
      <c r="AC85" s="61">
        <v>83</v>
      </c>
      <c r="AD85" s="82"/>
      <c r="AE85" s="82"/>
      <c r="AF85" s="61">
        <v>85</v>
      </c>
      <c r="AG85" s="83">
        <v>86</v>
      </c>
      <c r="AI85" s="85">
        <f t="shared" si="3"/>
        <v>69</v>
      </c>
      <c r="AJ85" s="87"/>
      <c r="AK85" s="86"/>
      <c r="AL85" s="86"/>
      <c r="AM85" s="86"/>
      <c r="AN85" s="86"/>
      <c r="AO85" s="86"/>
      <c r="AP85" s="86"/>
      <c r="AQ85" s="86"/>
      <c r="AR85" s="87"/>
      <c r="AS85" s="86"/>
      <c r="AT85" s="86"/>
      <c r="AU85" s="86"/>
      <c r="AV85" s="86"/>
      <c r="AW85" s="86"/>
      <c r="AX85" s="86"/>
      <c r="AY85" s="88"/>
      <c r="AZ85" s="86"/>
      <c r="BA85" s="86"/>
      <c r="BB85" s="61" t="s">
        <v>70</v>
      </c>
      <c r="BC85" s="61" t="s">
        <v>70</v>
      </c>
      <c r="BD85" s="86"/>
      <c r="BE85" s="86"/>
      <c r="BF85" s="61" t="s">
        <v>70</v>
      </c>
      <c r="BG85" s="89" t="s">
        <v>70</v>
      </c>
    </row>
    <row r="86" spans="9:59">
      <c r="I86" s="115">
        <f t="shared" si="2"/>
        <v>68</v>
      </c>
      <c r="J86" s="82"/>
      <c r="K86" s="82"/>
      <c r="L86" s="82"/>
      <c r="M86" s="82"/>
      <c r="N86" s="82"/>
      <c r="O86" s="82"/>
      <c r="P86" s="82"/>
      <c r="Q86" s="84"/>
      <c r="R86" s="82"/>
      <c r="S86" s="82"/>
      <c r="T86" s="82"/>
      <c r="U86" s="82"/>
      <c r="V86" s="82"/>
      <c r="W86" s="82"/>
      <c r="X86" s="82"/>
      <c r="Y86" s="84"/>
      <c r="Z86" s="82"/>
      <c r="AA86" s="82"/>
      <c r="AB86" s="61">
        <v>77</v>
      </c>
      <c r="AC86" s="61">
        <v>82</v>
      </c>
      <c r="AD86" s="82"/>
      <c r="AE86" s="82"/>
      <c r="AF86" s="61">
        <v>84</v>
      </c>
      <c r="AG86" s="83">
        <v>85</v>
      </c>
      <c r="AI86" s="85">
        <f t="shared" si="3"/>
        <v>68</v>
      </c>
      <c r="AJ86" s="87"/>
      <c r="AK86" s="86"/>
      <c r="AL86" s="86"/>
      <c r="AM86" s="86"/>
      <c r="AN86" s="86"/>
      <c r="AO86" s="86"/>
      <c r="AP86" s="86"/>
      <c r="AQ86" s="86"/>
      <c r="AR86" s="87"/>
      <c r="AS86" s="86"/>
      <c r="AT86" s="86"/>
      <c r="AU86" s="86"/>
      <c r="AV86" s="86"/>
      <c r="AW86" s="86"/>
      <c r="AX86" s="86"/>
      <c r="AY86" s="88"/>
      <c r="AZ86" s="86"/>
      <c r="BA86" s="86"/>
      <c r="BB86" s="61" t="s">
        <v>70</v>
      </c>
      <c r="BC86" s="61" t="s">
        <v>70</v>
      </c>
      <c r="BD86" s="86"/>
      <c r="BE86" s="86"/>
      <c r="BF86" s="61" t="s">
        <v>70</v>
      </c>
      <c r="BG86" s="89">
        <v>99</v>
      </c>
    </row>
    <row r="87" spans="9:59">
      <c r="I87" s="115">
        <f t="shared" si="2"/>
        <v>67</v>
      </c>
      <c r="J87" s="82"/>
      <c r="K87" s="82"/>
      <c r="L87" s="82"/>
      <c r="M87" s="82"/>
      <c r="N87" s="82"/>
      <c r="O87" s="82"/>
      <c r="P87" s="82"/>
      <c r="Q87" s="84"/>
      <c r="R87" s="82"/>
      <c r="S87" s="82"/>
      <c r="T87" s="82"/>
      <c r="U87" s="82"/>
      <c r="V87" s="82"/>
      <c r="W87" s="82"/>
      <c r="X87" s="82"/>
      <c r="Y87" s="84"/>
      <c r="Z87" s="82"/>
      <c r="AA87" s="82"/>
      <c r="AB87" s="61">
        <v>76</v>
      </c>
      <c r="AC87" s="61">
        <v>82</v>
      </c>
      <c r="AD87" s="82"/>
      <c r="AE87" s="82"/>
      <c r="AF87" s="61">
        <v>83</v>
      </c>
      <c r="AG87" s="83">
        <v>84</v>
      </c>
      <c r="AI87" s="85">
        <f t="shared" si="3"/>
        <v>67</v>
      </c>
      <c r="AJ87" s="87"/>
      <c r="AK87" s="86"/>
      <c r="AL87" s="86"/>
      <c r="AM87" s="86"/>
      <c r="AN87" s="86"/>
      <c r="AO87" s="86"/>
      <c r="AP87" s="86"/>
      <c r="AQ87" s="86"/>
      <c r="AR87" s="87"/>
      <c r="AS87" s="86"/>
      <c r="AT87" s="86"/>
      <c r="AU87" s="86"/>
      <c r="AV87" s="86"/>
      <c r="AW87" s="86"/>
      <c r="AX87" s="86"/>
      <c r="AY87" s="88"/>
      <c r="AZ87" s="86"/>
      <c r="BA87" s="86"/>
      <c r="BB87" s="61" t="s">
        <v>70</v>
      </c>
      <c r="BC87" s="61" t="s">
        <v>70</v>
      </c>
      <c r="BD87" s="86"/>
      <c r="BE87" s="86"/>
      <c r="BF87" s="61" t="s">
        <v>70</v>
      </c>
      <c r="BG87" s="89">
        <v>99</v>
      </c>
    </row>
    <row r="88" spans="9:59">
      <c r="I88" s="115">
        <f t="shared" si="2"/>
        <v>66</v>
      </c>
      <c r="J88" s="82"/>
      <c r="K88" s="82"/>
      <c r="L88" s="82"/>
      <c r="M88" s="82"/>
      <c r="N88" s="82"/>
      <c r="O88" s="82"/>
      <c r="P88" s="82"/>
      <c r="Q88" s="84"/>
      <c r="R88" s="82"/>
      <c r="S88" s="82"/>
      <c r="T88" s="82"/>
      <c r="U88" s="82"/>
      <c r="V88" s="82"/>
      <c r="W88" s="82"/>
      <c r="X88" s="82"/>
      <c r="Y88" s="84"/>
      <c r="Z88" s="82"/>
      <c r="AA88" s="82"/>
      <c r="AB88" s="61">
        <v>75</v>
      </c>
      <c r="AC88" s="61">
        <v>81</v>
      </c>
      <c r="AD88" s="82"/>
      <c r="AE88" s="82"/>
      <c r="AF88" s="61">
        <v>82</v>
      </c>
      <c r="AG88" s="83">
        <v>83</v>
      </c>
      <c r="AI88" s="85">
        <f t="shared" si="3"/>
        <v>66</v>
      </c>
      <c r="AJ88" s="87"/>
      <c r="AK88" s="86"/>
      <c r="AL88" s="86"/>
      <c r="AM88" s="86"/>
      <c r="AN88" s="86"/>
      <c r="AO88" s="86"/>
      <c r="AP88" s="86"/>
      <c r="AQ88" s="86"/>
      <c r="AR88" s="87"/>
      <c r="AS88" s="86"/>
      <c r="AT88" s="86"/>
      <c r="AU88" s="86"/>
      <c r="AV88" s="86"/>
      <c r="AW88" s="86"/>
      <c r="AX88" s="86"/>
      <c r="AY88" s="88"/>
      <c r="AZ88" s="86"/>
      <c r="BA88" s="86"/>
      <c r="BB88" s="61">
        <v>99</v>
      </c>
      <c r="BC88" s="61" t="s">
        <v>70</v>
      </c>
      <c r="BD88" s="86"/>
      <c r="BE88" s="86"/>
      <c r="BF88" s="61" t="s">
        <v>70</v>
      </c>
      <c r="BG88" s="89">
        <v>99</v>
      </c>
    </row>
    <row r="89" spans="9:59">
      <c r="I89" s="115">
        <f t="shared" si="2"/>
        <v>65</v>
      </c>
      <c r="J89" s="82"/>
      <c r="K89" s="82"/>
      <c r="L89" s="82"/>
      <c r="M89" s="82"/>
      <c r="N89" s="82"/>
      <c r="O89" s="82"/>
      <c r="P89" s="82"/>
      <c r="Q89" s="84"/>
      <c r="R89" s="82"/>
      <c r="S89" s="82"/>
      <c r="T89" s="82"/>
      <c r="U89" s="82"/>
      <c r="V89" s="82"/>
      <c r="W89" s="82"/>
      <c r="X89" s="82"/>
      <c r="Y89" s="84"/>
      <c r="Z89" s="82"/>
      <c r="AA89" s="82"/>
      <c r="AB89" s="61">
        <v>75</v>
      </c>
      <c r="AC89" s="61">
        <v>80</v>
      </c>
      <c r="AD89" s="82"/>
      <c r="AE89" s="82"/>
      <c r="AF89" s="61">
        <v>80</v>
      </c>
      <c r="AG89" s="83">
        <v>82</v>
      </c>
      <c r="AI89" s="85">
        <f t="shared" si="3"/>
        <v>65</v>
      </c>
      <c r="AJ89" s="87"/>
      <c r="AK89" s="86"/>
      <c r="AL89" s="86"/>
      <c r="AM89" s="86"/>
      <c r="AN89" s="86"/>
      <c r="AO89" s="86"/>
      <c r="AP89" s="86"/>
      <c r="AQ89" s="86"/>
      <c r="AR89" s="87"/>
      <c r="AS89" s="86"/>
      <c r="AT89" s="86"/>
      <c r="AU89" s="86"/>
      <c r="AV89" s="86"/>
      <c r="AW89" s="86"/>
      <c r="AX89" s="86"/>
      <c r="AY89" s="88"/>
      <c r="AZ89" s="86"/>
      <c r="BA89" s="86"/>
      <c r="BB89" s="61">
        <v>99</v>
      </c>
      <c r="BC89" s="61">
        <v>99</v>
      </c>
      <c r="BD89" s="86"/>
      <c r="BE89" s="86"/>
      <c r="BF89" s="61" t="s">
        <v>70</v>
      </c>
      <c r="BG89" s="89">
        <v>99</v>
      </c>
    </row>
    <row r="90" spans="9:59">
      <c r="I90" s="115">
        <f t="shared" si="2"/>
        <v>64</v>
      </c>
      <c r="J90" s="82"/>
      <c r="K90" s="82"/>
      <c r="L90" s="82"/>
      <c r="M90" s="82"/>
      <c r="N90" s="82"/>
      <c r="O90" s="82"/>
      <c r="P90" s="82"/>
      <c r="Q90" s="84"/>
      <c r="R90" s="82"/>
      <c r="S90" s="82"/>
      <c r="T90" s="82"/>
      <c r="U90" s="82"/>
      <c r="V90" s="82"/>
      <c r="W90" s="82"/>
      <c r="X90" s="82"/>
      <c r="Y90" s="84"/>
      <c r="Z90" s="82"/>
      <c r="AA90" s="82"/>
      <c r="AB90" s="61">
        <v>74</v>
      </c>
      <c r="AC90" s="61">
        <v>79</v>
      </c>
      <c r="AD90" s="82"/>
      <c r="AE90" s="82"/>
      <c r="AF90" s="61">
        <v>79</v>
      </c>
      <c r="AG90" s="83">
        <v>81</v>
      </c>
      <c r="AI90" s="85">
        <f t="shared" si="3"/>
        <v>64</v>
      </c>
      <c r="AJ90" s="87"/>
      <c r="AK90" s="86"/>
      <c r="AL90" s="86"/>
      <c r="AM90" s="86"/>
      <c r="AN90" s="86"/>
      <c r="AO90" s="86"/>
      <c r="AP90" s="86"/>
      <c r="AQ90" s="86"/>
      <c r="AR90" s="87"/>
      <c r="AS90" s="86"/>
      <c r="AT90" s="86"/>
      <c r="AU90" s="86"/>
      <c r="AV90" s="86"/>
      <c r="AW90" s="86"/>
      <c r="AX90" s="86"/>
      <c r="AY90" s="88"/>
      <c r="AZ90" s="86"/>
      <c r="BA90" s="86"/>
      <c r="BB90" s="61">
        <v>99</v>
      </c>
      <c r="BC90" s="61">
        <v>99</v>
      </c>
      <c r="BD90" s="86"/>
      <c r="BE90" s="86"/>
      <c r="BF90" s="61" t="s">
        <v>70</v>
      </c>
      <c r="BG90" s="89">
        <v>99</v>
      </c>
    </row>
    <row r="91" spans="9:59">
      <c r="I91" s="115">
        <f t="shared" si="2"/>
        <v>63</v>
      </c>
      <c r="J91" s="82"/>
      <c r="K91" s="82"/>
      <c r="L91" s="82"/>
      <c r="M91" s="82"/>
      <c r="N91" s="82"/>
      <c r="O91" s="82"/>
      <c r="P91" s="82"/>
      <c r="Q91" s="84"/>
      <c r="R91" s="82"/>
      <c r="S91" s="82"/>
      <c r="T91" s="82"/>
      <c r="U91" s="82"/>
      <c r="V91" s="82"/>
      <c r="W91" s="82"/>
      <c r="X91" s="82"/>
      <c r="Y91" s="84"/>
      <c r="Z91" s="82"/>
      <c r="AA91" s="82"/>
      <c r="AB91" s="61">
        <v>73</v>
      </c>
      <c r="AC91" s="61">
        <v>78</v>
      </c>
      <c r="AD91" s="82"/>
      <c r="AE91" s="82"/>
      <c r="AF91" s="61">
        <v>78</v>
      </c>
      <c r="AG91" s="83">
        <v>80</v>
      </c>
      <c r="AI91" s="85">
        <f t="shared" si="3"/>
        <v>63</v>
      </c>
      <c r="AJ91" s="87"/>
      <c r="AK91" s="86"/>
      <c r="AL91" s="86"/>
      <c r="AM91" s="86"/>
      <c r="AN91" s="86"/>
      <c r="AO91" s="86"/>
      <c r="AP91" s="86"/>
      <c r="AQ91" s="86"/>
      <c r="AR91" s="87"/>
      <c r="AS91" s="86"/>
      <c r="AT91" s="86"/>
      <c r="AU91" s="86"/>
      <c r="AV91" s="86"/>
      <c r="AW91" s="86"/>
      <c r="AX91" s="86"/>
      <c r="AY91" s="88"/>
      <c r="AZ91" s="86"/>
      <c r="BA91" s="86"/>
      <c r="BB91" s="61">
        <v>98</v>
      </c>
      <c r="BC91" s="61">
        <v>98</v>
      </c>
      <c r="BD91" s="86"/>
      <c r="BE91" s="86"/>
      <c r="BF91" s="61" t="s">
        <v>70</v>
      </c>
      <c r="BG91" s="89">
        <v>99</v>
      </c>
    </row>
    <row r="92" spans="9:59">
      <c r="I92" s="115">
        <f t="shared" si="2"/>
        <v>62</v>
      </c>
      <c r="J92" s="82"/>
      <c r="K92" s="82"/>
      <c r="L92" s="82"/>
      <c r="M92" s="82"/>
      <c r="N92" s="82"/>
      <c r="O92" s="82"/>
      <c r="P92" s="82"/>
      <c r="Q92" s="84"/>
      <c r="R92" s="82"/>
      <c r="S92" s="82"/>
      <c r="T92" s="82"/>
      <c r="U92" s="82"/>
      <c r="V92" s="82"/>
      <c r="W92" s="82"/>
      <c r="X92" s="82"/>
      <c r="Y92" s="84"/>
      <c r="Z92" s="82"/>
      <c r="AA92" s="82"/>
      <c r="AB92" s="61">
        <v>72</v>
      </c>
      <c r="AC92" s="61">
        <v>77</v>
      </c>
      <c r="AD92" s="82"/>
      <c r="AE92" s="82"/>
      <c r="AF92" s="61">
        <v>77</v>
      </c>
      <c r="AG92" s="83">
        <v>79</v>
      </c>
      <c r="AI92" s="85">
        <f t="shared" si="3"/>
        <v>62</v>
      </c>
      <c r="AJ92" s="87"/>
      <c r="AK92" s="86"/>
      <c r="AL92" s="86"/>
      <c r="AM92" s="86"/>
      <c r="AN92" s="86"/>
      <c r="AO92" s="86"/>
      <c r="AP92" s="86"/>
      <c r="AQ92" s="86"/>
      <c r="AR92" s="87"/>
      <c r="AS92" s="86"/>
      <c r="AT92" s="86"/>
      <c r="AU92" s="86"/>
      <c r="AV92" s="86"/>
      <c r="AW92" s="86"/>
      <c r="AX92" s="86"/>
      <c r="AY92" s="88"/>
      <c r="AZ92" s="86"/>
      <c r="BA92" s="86"/>
      <c r="BB92" s="61">
        <v>97</v>
      </c>
      <c r="BC92" s="61">
        <v>98</v>
      </c>
      <c r="BD92" s="86"/>
      <c r="BE92" s="86"/>
      <c r="BF92" s="61">
        <v>99</v>
      </c>
      <c r="BG92" s="89">
        <v>99</v>
      </c>
    </row>
    <row r="93" spans="9:59">
      <c r="I93" s="115">
        <f t="shared" si="2"/>
        <v>61</v>
      </c>
      <c r="J93" s="82"/>
      <c r="K93" s="82"/>
      <c r="L93" s="82"/>
      <c r="M93" s="82"/>
      <c r="N93" s="82"/>
      <c r="O93" s="82"/>
      <c r="P93" s="82"/>
      <c r="Q93" s="84"/>
      <c r="R93" s="82"/>
      <c r="S93" s="82"/>
      <c r="T93" s="82"/>
      <c r="U93" s="82"/>
      <c r="V93" s="82"/>
      <c r="W93" s="82"/>
      <c r="X93" s="82"/>
      <c r="Y93" s="84"/>
      <c r="Z93" s="82"/>
      <c r="AA93" s="82"/>
      <c r="AB93" s="61">
        <v>71</v>
      </c>
      <c r="AC93" s="61">
        <v>76</v>
      </c>
      <c r="AD93" s="82"/>
      <c r="AE93" s="82"/>
      <c r="AF93" s="61">
        <v>76</v>
      </c>
      <c r="AG93" s="83">
        <v>78</v>
      </c>
      <c r="AI93" s="85">
        <f t="shared" si="3"/>
        <v>61</v>
      </c>
      <c r="AJ93" s="87"/>
      <c r="AK93" s="86"/>
      <c r="AL93" s="86"/>
      <c r="AM93" s="86"/>
      <c r="AN93" s="86"/>
      <c r="AO93" s="86"/>
      <c r="AP93" s="86"/>
      <c r="AQ93" s="86"/>
      <c r="AR93" s="87"/>
      <c r="AS93" s="86"/>
      <c r="AT93" s="86"/>
      <c r="AU93" s="86"/>
      <c r="AV93" s="86"/>
      <c r="AW93" s="86"/>
      <c r="AX93" s="86"/>
      <c r="AY93" s="88"/>
      <c r="AZ93" s="86"/>
      <c r="BA93" s="86"/>
      <c r="BB93" s="61">
        <v>96</v>
      </c>
      <c r="BC93" s="61">
        <v>98</v>
      </c>
      <c r="BD93" s="86"/>
      <c r="BE93" s="86"/>
      <c r="BF93" s="61">
        <v>99</v>
      </c>
      <c r="BG93" s="89">
        <v>99</v>
      </c>
    </row>
    <row r="94" spans="9:59">
      <c r="I94" s="115">
        <f t="shared" si="2"/>
        <v>60</v>
      </c>
      <c r="J94" s="82"/>
      <c r="K94" s="82"/>
      <c r="L94" s="82"/>
      <c r="M94" s="82"/>
      <c r="N94" s="82"/>
      <c r="O94" s="82"/>
      <c r="P94" s="82"/>
      <c r="Q94" s="84"/>
      <c r="R94" s="82"/>
      <c r="S94" s="82"/>
      <c r="T94" s="82"/>
      <c r="U94" s="82"/>
      <c r="V94" s="82"/>
      <c r="W94" s="82"/>
      <c r="X94" s="82"/>
      <c r="Y94" s="84"/>
      <c r="Z94" s="82"/>
      <c r="AA94" s="82"/>
      <c r="AB94" s="61">
        <v>70</v>
      </c>
      <c r="AC94" s="61">
        <v>75</v>
      </c>
      <c r="AD94" s="82"/>
      <c r="AE94" s="82"/>
      <c r="AF94" s="61">
        <v>75</v>
      </c>
      <c r="AG94" s="83">
        <v>76</v>
      </c>
      <c r="AI94" s="85">
        <f t="shared" si="3"/>
        <v>60</v>
      </c>
      <c r="AJ94" s="87"/>
      <c r="AK94" s="86"/>
      <c r="AL94" s="86"/>
      <c r="AM94" s="86"/>
      <c r="AN94" s="86"/>
      <c r="AO94" s="86"/>
      <c r="AP94" s="86"/>
      <c r="AQ94" s="86"/>
      <c r="AR94" s="87"/>
      <c r="AS94" s="86"/>
      <c r="AT94" s="86"/>
      <c r="AU94" s="86"/>
      <c r="AV94" s="86"/>
      <c r="AW94" s="86"/>
      <c r="AX94" s="86"/>
      <c r="AY94" s="88"/>
      <c r="AZ94" s="86"/>
      <c r="BA94" s="86"/>
      <c r="BB94" s="61">
        <v>96</v>
      </c>
      <c r="BC94" s="61">
        <v>98</v>
      </c>
      <c r="BD94" s="86"/>
      <c r="BE94" s="86"/>
      <c r="BF94" s="61">
        <v>99</v>
      </c>
      <c r="BG94" s="89">
        <v>99</v>
      </c>
    </row>
    <row r="95" spans="9:59">
      <c r="I95" s="115">
        <f t="shared" si="2"/>
        <v>59</v>
      </c>
      <c r="J95" s="82"/>
      <c r="K95" s="82"/>
      <c r="L95" s="82"/>
      <c r="M95" s="82"/>
      <c r="N95" s="82"/>
      <c r="O95" s="82"/>
      <c r="P95" s="82"/>
      <c r="Q95" s="84"/>
      <c r="R95" s="82"/>
      <c r="S95" s="82"/>
      <c r="T95" s="82"/>
      <c r="U95" s="82"/>
      <c r="V95" s="82"/>
      <c r="W95" s="82"/>
      <c r="X95" s="82"/>
      <c r="Y95" s="84"/>
      <c r="Z95" s="82"/>
      <c r="AA95" s="82"/>
      <c r="AB95" s="61">
        <v>69</v>
      </c>
      <c r="AC95" s="61">
        <v>74</v>
      </c>
      <c r="AD95" s="82"/>
      <c r="AE95" s="82"/>
      <c r="AF95" s="61">
        <v>74</v>
      </c>
      <c r="AG95" s="83">
        <v>75</v>
      </c>
      <c r="AI95" s="85">
        <f t="shared" si="3"/>
        <v>59</v>
      </c>
      <c r="AJ95" s="87"/>
      <c r="AK95" s="86"/>
      <c r="AL95" s="86"/>
      <c r="AM95" s="86"/>
      <c r="AN95" s="86"/>
      <c r="AO95" s="86"/>
      <c r="AP95" s="86"/>
      <c r="AQ95" s="86"/>
      <c r="AR95" s="87"/>
      <c r="AS95" s="86"/>
      <c r="AT95" s="86"/>
      <c r="AU95" s="86"/>
      <c r="AV95" s="86"/>
      <c r="AW95" s="86"/>
      <c r="AX95" s="86"/>
      <c r="AY95" s="88"/>
      <c r="AZ95" s="86"/>
      <c r="BA95" s="86"/>
      <c r="BB95" s="61">
        <v>95</v>
      </c>
      <c r="BC95" s="61">
        <v>97</v>
      </c>
      <c r="BD95" s="86"/>
      <c r="BE95" s="86"/>
      <c r="BF95" s="61">
        <v>99</v>
      </c>
      <c r="BG95" s="89">
        <v>98</v>
      </c>
    </row>
    <row r="96" spans="9:59">
      <c r="I96" s="115">
        <f t="shared" si="2"/>
        <v>58</v>
      </c>
      <c r="J96" s="82"/>
      <c r="K96" s="82"/>
      <c r="L96" s="82"/>
      <c r="M96" s="82"/>
      <c r="N96" s="82"/>
      <c r="O96" s="82"/>
      <c r="P96" s="82"/>
      <c r="Q96" s="84"/>
      <c r="R96" s="82"/>
      <c r="S96" s="82"/>
      <c r="T96" s="82"/>
      <c r="U96" s="82"/>
      <c r="V96" s="82"/>
      <c r="W96" s="82"/>
      <c r="X96" s="82"/>
      <c r="Y96" s="84"/>
      <c r="Z96" s="82"/>
      <c r="AA96" s="82"/>
      <c r="AB96" s="61">
        <v>68</v>
      </c>
      <c r="AC96" s="61">
        <v>73</v>
      </c>
      <c r="AD96" s="82"/>
      <c r="AE96" s="82"/>
      <c r="AF96" s="61">
        <v>73</v>
      </c>
      <c r="AG96" s="83">
        <v>74</v>
      </c>
      <c r="AI96" s="85">
        <f t="shared" si="3"/>
        <v>58</v>
      </c>
      <c r="AJ96" s="87"/>
      <c r="AK96" s="86"/>
      <c r="AL96" s="86"/>
      <c r="AM96" s="86"/>
      <c r="AN96" s="86"/>
      <c r="AO96" s="86"/>
      <c r="AP96" s="86"/>
      <c r="AQ96" s="86"/>
      <c r="AR96" s="87"/>
      <c r="AS96" s="86"/>
      <c r="AT96" s="86"/>
      <c r="AU96" s="86"/>
      <c r="AV96" s="86"/>
      <c r="AW96" s="86"/>
      <c r="AX96" s="86"/>
      <c r="AY96" s="88"/>
      <c r="AZ96" s="86"/>
      <c r="BA96" s="86"/>
      <c r="BB96" s="61">
        <v>95</v>
      </c>
      <c r="BC96" s="61">
        <v>96</v>
      </c>
      <c r="BD96" s="86"/>
      <c r="BE96" s="86"/>
      <c r="BF96" s="61">
        <v>99</v>
      </c>
      <c r="BG96" s="89">
        <v>98</v>
      </c>
    </row>
    <row r="97" spans="9:59">
      <c r="I97" s="115">
        <f t="shared" si="2"/>
        <v>57</v>
      </c>
      <c r="J97" s="82"/>
      <c r="K97" s="82"/>
      <c r="L97" s="82"/>
      <c r="M97" s="82"/>
      <c r="N97" s="82"/>
      <c r="O97" s="82"/>
      <c r="P97" s="82"/>
      <c r="Q97" s="84"/>
      <c r="R97" s="82"/>
      <c r="S97" s="82"/>
      <c r="T97" s="82"/>
      <c r="U97" s="82"/>
      <c r="V97" s="82"/>
      <c r="W97" s="82"/>
      <c r="X97" s="82"/>
      <c r="Y97" s="84"/>
      <c r="Z97" s="82"/>
      <c r="AA97" s="82"/>
      <c r="AB97" s="61">
        <v>67</v>
      </c>
      <c r="AC97" s="61">
        <v>72</v>
      </c>
      <c r="AD97" s="82"/>
      <c r="AE97" s="82"/>
      <c r="AF97" s="61">
        <v>72</v>
      </c>
      <c r="AG97" s="83">
        <v>73</v>
      </c>
      <c r="AI97" s="85">
        <f t="shared" si="3"/>
        <v>57</v>
      </c>
      <c r="AJ97" s="87"/>
      <c r="AK97" s="86"/>
      <c r="AL97" s="86"/>
      <c r="AM97" s="86"/>
      <c r="AN97" s="86"/>
      <c r="AO97" s="86"/>
      <c r="AP97" s="86"/>
      <c r="AQ97" s="86"/>
      <c r="AR97" s="87"/>
      <c r="AS97" s="86"/>
      <c r="AT97" s="86"/>
      <c r="AU97" s="86"/>
      <c r="AV97" s="86"/>
      <c r="AW97" s="86"/>
      <c r="AX97" s="86"/>
      <c r="AY97" s="88"/>
      <c r="AZ97" s="86"/>
      <c r="BA97" s="86"/>
      <c r="BB97" s="61">
        <v>95</v>
      </c>
      <c r="BC97" s="61">
        <v>96</v>
      </c>
      <c r="BD97" s="86"/>
      <c r="BE97" s="86"/>
      <c r="BF97" s="61">
        <v>97</v>
      </c>
      <c r="BG97" s="89">
        <v>98</v>
      </c>
    </row>
    <row r="98" spans="9:59">
      <c r="I98" s="115">
        <f t="shared" si="2"/>
        <v>56</v>
      </c>
      <c r="J98" s="82"/>
      <c r="K98" s="82"/>
      <c r="L98" s="82"/>
      <c r="M98" s="82"/>
      <c r="N98" s="82"/>
      <c r="O98" s="82"/>
      <c r="P98" s="82"/>
      <c r="Q98" s="84"/>
      <c r="R98" s="82"/>
      <c r="S98" s="82"/>
      <c r="T98" s="82"/>
      <c r="U98" s="82"/>
      <c r="V98" s="82"/>
      <c r="W98" s="82"/>
      <c r="X98" s="82"/>
      <c r="Y98" s="84"/>
      <c r="Z98" s="82"/>
      <c r="AA98" s="82"/>
      <c r="AB98" s="61">
        <v>66</v>
      </c>
      <c r="AC98" s="61">
        <v>71</v>
      </c>
      <c r="AD98" s="82"/>
      <c r="AE98" s="82"/>
      <c r="AF98" s="61">
        <v>71</v>
      </c>
      <c r="AG98" s="83">
        <v>72</v>
      </c>
      <c r="AI98" s="85">
        <f t="shared" si="3"/>
        <v>56</v>
      </c>
      <c r="AJ98" s="87"/>
      <c r="AK98" s="86"/>
      <c r="AL98" s="86"/>
      <c r="AM98" s="86"/>
      <c r="AN98" s="86"/>
      <c r="AO98" s="86"/>
      <c r="AP98" s="86"/>
      <c r="AQ98" s="86"/>
      <c r="AR98" s="87"/>
      <c r="AS98" s="86"/>
      <c r="AT98" s="86"/>
      <c r="AU98" s="86"/>
      <c r="AV98" s="86"/>
      <c r="AW98" s="86"/>
      <c r="AX98" s="86"/>
      <c r="AY98" s="88"/>
      <c r="AZ98" s="86"/>
      <c r="BA98" s="86"/>
      <c r="BB98" s="61">
        <v>95</v>
      </c>
      <c r="BC98" s="61">
        <v>96</v>
      </c>
      <c r="BD98" s="86"/>
      <c r="BE98" s="86"/>
      <c r="BF98" s="61">
        <v>95</v>
      </c>
      <c r="BG98" s="89">
        <v>98</v>
      </c>
    </row>
    <row r="99" spans="9:59">
      <c r="I99" s="115">
        <f t="shared" si="2"/>
        <v>55</v>
      </c>
      <c r="J99" s="81"/>
      <c r="K99" s="82"/>
      <c r="L99" s="82"/>
      <c r="M99" s="82"/>
      <c r="N99" s="82"/>
      <c r="O99" s="82"/>
      <c r="P99" s="82"/>
      <c r="Q99" s="84"/>
      <c r="R99" s="81"/>
      <c r="S99" s="82"/>
      <c r="T99" s="82"/>
      <c r="U99" s="82"/>
      <c r="V99" s="82"/>
      <c r="W99" s="82"/>
      <c r="X99" s="82"/>
      <c r="Y99" s="84"/>
      <c r="Z99" s="81"/>
      <c r="AA99" s="82"/>
      <c r="AB99" s="61">
        <v>65</v>
      </c>
      <c r="AC99" s="61">
        <v>70</v>
      </c>
      <c r="AD99" s="82"/>
      <c r="AE99" s="82"/>
      <c r="AF99" s="61">
        <v>69</v>
      </c>
      <c r="AG99" s="83">
        <v>71</v>
      </c>
      <c r="AI99" s="85">
        <f t="shared" si="3"/>
        <v>55</v>
      </c>
      <c r="AJ99" s="87"/>
      <c r="AK99" s="86"/>
      <c r="AL99" s="86"/>
      <c r="AM99" s="86"/>
      <c r="AN99" s="86"/>
      <c r="AO99" s="86"/>
      <c r="AP99" s="86"/>
      <c r="AQ99" s="86"/>
      <c r="AR99" s="87"/>
      <c r="AS99" s="86"/>
      <c r="AT99" s="86"/>
      <c r="AU99" s="86"/>
      <c r="AV99" s="86"/>
      <c r="AW99" s="86"/>
      <c r="AX99" s="86"/>
      <c r="AY99" s="88"/>
      <c r="AZ99" s="86"/>
      <c r="BA99" s="86"/>
      <c r="BB99" s="61">
        <v>94</v>
      </c>
      <c r="BC99" s="61">
        <v>95</v>
      </c>
      <c r="BD99" s="86"/>
      <c r="BE99" s="86"/>
      <c r="BF99" s="61">
        <v>95</v>
      </c>
      <c r="BG99" s="89">
        <v>97</v>
      </c>
    </row>
    <row r="100" spans="9:59">
      <c r="I100" s="115">
        <f t="shared" si="2"/>
        <v>54</v>
      </c>
      <c r="J100" s="64"/>
      <c r="K100" s="128"/>
      <c r="L100" s="128"/>
      <c r="M100" s="128"/>
      <c r="N100" s="128"/>
      <c r="O100" s="128"/>
      <c r="P100" s="128"/>
      <c r="Q100" s="129"/>
      <c r="R100" s="64"/>
      <c r="S100" s="128"/>
      <c r="T100" s="128"/>
      <c r="U100" s="128"/>
      <c r="V100" s="128"/>
      <c r="W100" s="128"/>
      <c r="X100" s="128"/>
      <c r="Y100" s="129"/>
      <c r="Z100" s="81"/>
      <c r="AA100" s="82"/>
      <c r="AB100" s="61">
        <v>64</v>
      </c>
      <c r="AC100" s="61">
        <v>69</v>
      </c>
      <c r="AD100" s="82"/>
      <c r="AE100" s="82"/>
      <c r="AF100" s="61">
        <v>68</v>
      </c>
      <c r="AG100" s="83">
        <f>AG99-1</f>
        <v>70</v>
      </c>
      <c r="AI100" s="85">
        <f t="shared" si="3"/>
        <v>54</v>
      </c>
      <c r="AJ100" s="130"/>
      <c r="AK100" s="131"/>
      <c r="AL100" s="131"/>
      <c r="AM100" s="131"/>
      <c r="AN100" s="131"/>
      <c r="AO100" s="131"/>
      <c r="AP100" s="131"/>
      <c r="AQ100" s="131"/>
      <c r="AR100" s="130"/>
      <c r="AS100" s="131"/>
      <c r="AT100" s="131"/>
      <c r="AU100" s="131"/>
      <c r="AV100" s="131"/>
      <c r="AW100" s="131"/>
      <c r="AX100" s="131"/>
      <c r="AY100" s="132"/>
      <c r="AZ100" s="86"/>
      <c r="BA100" s="86"/>
      <c r="BB100" s="61">
        <v>93</v>
      </c>
      <c r="BC100" s="61">
        <v>95</v>
      </c>
      <c r="BD100" s="86"/>
      <c r="BE100" s="86"/>
      <c r="BF100" s="61">
        <v>95</v>
      </c>
      <c r="BG100" s="89">
        <v>97</v>
      </c>
    </row>
    <row r="101" spans="9:59">
      <c r="I101" s="115">
        <f t="shared" si="2"/>
        <v>53</v>
      </c>
      <c r="J101" s="128"/>
      <c r="K101" s="128"/>
      <c r="L101" s="128"/>
      <c r="M101" s="128"/>
      <c r="N101" s="128"/>
      <c r="O101" s="128"/>
      <c r="P101" s="128"/>
      <c r="Q101" s="129"/>
      <c r="R101" s="128"/>
      <c r="S101" s="128"/>
      <c r="T101" s="128"/>
      <c r="U101" s="128"/>
      <c r="V101" s="128"/>
      <c r="W101" s="128"/>
      <c r="X101" s="128"/>
      <c r="Y101" s="129"/>
      <c r="Z101" s="81"/>
      <c r="AA101" s="82"/>
      <c r="AB101" s="61">
        <v>64</v>
      </c>
      <c r="AC101" s="61">
        <v>68</v>
      </c>
      <c r="AD101" s="82"/>
      <c r="AE101" s="82"/>
      <c r="AF101" s="61">
        <v>67</v>
      </c>
      <c r="AG101" s="83">
        <f t="shared" ref="AG101:AG129" si="4">AG100-1</f>
        <v>69</v>
      </c>
      <c r="AI101" s="85">
        <f t="shared" si="3"/>
        <v>53</v>
      </c>
      <c r="AJ101" s="130"/>
      <c r="AK101" s="131"/>
      <c r="AL101" s="131"/>
      <c r="AM101" s="131"/>
      <c r="AN101" s="131"/>
      <c r="AO101" s="131"/>
      <c r="AP101" s="131"/>
      <c r="AQ101" s="131"/>
      <c r="AR101" s="130"/>
      <c r="AS101" s="131"/>
      <c r="AT101" s="131"/>
      <c r="AU101" s="131"/>
      <c r="AV101" s="131"/>
      <c r="AW101" s="131"/>
      <c r="AX101" s="131"/>
      <c r="AY101" s="132"/>
      <c r="AZ101" s="86"/>
      <c r="BA101" s="86"/>
      <c r="BB101" s="61">
        <v>91</v>
      </c>
      <c r="BC101" s="61">
        <v>94</v>
      </c>
      <c r="BD101" s="86"/>
      <c r="BE101" s="86"/>
      <c r="BF101" s="61">
        <v>95</v>
      </c>
      <c r="BG101" s="89">
        <v>96</v>
      </c>
    </row>
    <row r="102" spans="9:59">
      <c r="I102" s="115">
        <f t="shared" si="2"/>
        <v>52</v>
      </c>
      <c r="J102" s="128"/>
      <c r="K102" s="128"/>
      <c r="L102" s="128"/>
      <c r="M102" s="128"/>
      <c r="N102" s="128"/>
      <c r="O102" s="128"/>
      <c r="P102" s="128"/>
      <c r="Q102" s="129"/>
      <c r="R102" s="128"/>
      <c r="S102" s="128"/>
      <c r="T102" s="128"/>
      <c r="U102" s="128"/>
      <c r="V102" s="128"/>
      <c r="W102" s="128"/>
      <c r="X102" s="128"/>
      <c r="Y102" s="129"/>
      <c r="Z102" s="81"/>
      <c r="AA102" s="82"/>
      <c r="AB102" s="61">
        <v>63</v>
      </c>
      <c r="AC102" s="61">
        <v>67</v>
      </c>
      <c r="AD102" s="82"/>
      <c r="AE102" s="82"/>
      <c r="AF102" s="61">
        <v>66</v>
      </c>
      <c r="AG102" s="83">
        <f t="shared" si="4"/>
        <v>68</v>
      </c>
      <c r="AI102" s="85">
        <f t="shared" si="3"/>
        <v>52</v>
      </c>
      <c r="AJ102" s="130"/>
      <c r="AK102" s="131"/>
      <c r="AL102" s="131"/>
      <c r="AM102" s="131"/>
      <c r="AN102" s="131"/>
      <c r="AO102" s="131"/>
      <c r="AP102" s="131"/>
      <c r="AQ102" s="131"/>
      <c r="AR102" s="130"/>
      <c r="AS102" s="131"/>
      <c r="AT102" s="131"/>
      <c r="AU102" s="131"/>
      <c r="AV102" s="131"/>
      <c r="AW102" s="131"/>
      <c r="AX102" s="131"/>
      <c r="AY102" s="132"/>
      <c r="AZ102" s="86"/>
      <c r="BA102" s="86"/>
      <c r="BB102" s="61">
        <v>90</v>
      </c>
      <c r="BC102" s="61">
        <v>93</v>
      </c>
      <c r="BD102" s="86"/>
      <c r="BE102" s="86"/>
      <c r="BF102" s="61">
        <v>94</v>
      </c>
      <c r="BG102" s="89">
        <v>96</v>
      </c>
    </row>
    <row r="103" spans="9:59">
      <c r="I103" s="115">
        <f t="shared" si="2"/>
        <v>51</v>
      </c>
      <c r="J103" s="128"/>
      <c r="K103" s="128"/>
      <c r="L103" s="128"/>
      <c r="M103" s="128"/>
      <c r="N103" s="128"/>
      <c r="O103" s="128"/>
      <c r="P103" s="128"/>
      <c r="Q103" s="129"/>
      <c r="R103" s="128"/>
      <c r="S103" s="128"/>
      <c r="T103" s="128"/>
      <c r="U103" s="128"/>
      <c r="V103" s="128"/>
      <c r="W103" s="128"/>
      <c r="X103" s="128"/>
      <c r="Y103" s="129"/>
      <c r="Z103" s="81"/>
      <c r="AA103" s="82"/>
      <c r="AB103" s="61">
        <v>62</v>
      </c>
      <c r="AC103" s="61">
        <v>66</v>
      </c>
      <c r="AD103" s="82"/>
      <c r="AE103" s="82"/>
      <c r="AF103" s="61">
        <v>65</v>
      </c>
      <c r="AG103" s="83">
        <f t="shared" si="4"/>
        <v>67</v>
      </c>
      <c r="AI103" s="85">
        <f t="shared" si="3"/>
        <v>51</v>
      </c>
      <c r="AJ103" s="130"/>
      <c r="AK103" s="131"/>
      <c r="AL103" s="131"/>
      <c r="AM103" s="131"/>
      <c r="AN103" s="131"/>
      <c r="AO103" s="131"/>
      <c r="AP103" s="131"/>
      <c r="AQ103" s="131"/>
      <c r="AR103" s="130"/>
      <c r="AS103" s="131"/>
      <c r="AT103" s="131"/>
      <c r="AU103" s="131"/>
      <c r="AV103" s="131"/>
      <c r="AW103" s="131"/>
      <c r="AX103" s="131"/>
      <c r="AY103" s="132"/>
      <c r="AZ103" s="86"/>
      <c r="BA103" s="86"/>
      <c r="BB103" s="61">
        <v>87</v>
      </c>
      <c r="BC103" s="61">
        <v>93</v>
      </c>
      <c r="BD103" s="86"/>
      <c r="BE103" s="86"/>
      <c r="BF103" s="61">
        <v>92</v>
      </c>
      <c r="BG103" s="89">
        <v>94</v>
      </c>
    </row>
    <row r="104" spans="9:59">
      <c r="I104" s="115">
        <f t="shared" si="2"/>
        <v>50</v>
      </c>
      <c r="J104" s="128"/>
      <c r="K104" s="128"/>
      <c r="L104" s="128"/>
      <c r="M104" s="128"/>
      <c r="N104" s="128"/>
      <c r="O104" s="128"/>
      <c r="P104" s="128"/>
      <c r="Q104" s="129"/>
      <c r="R104" s="128"/>
      <c r="S104" s="128"/>
      <c r="T104" s="128"/>
      <c r="U104" s="128"/>
      <c r="V104" s="128"/>
      <c r="W104" s="128"/>
      <c r="X104" s="128"/>
      <c r="Y104" s="129"/>
      <c r="Z104" s="81"/>
      <c r="AA104" s="82"/>
      <c r="AB104" s="61">
        <v>61</v>
      </c>
      <c r="AC104" s="61">
        <v>65</v>
      </c>
      <c r="AD104" s="82"/>
      <c r="AE104" s="82"/>
      <c r="AF104" s="61">
        <v>64</v>
      </c>
      <c r="AG104" s="83">
        <f t="shared" si="4"/>
        <v>66</v>
      </c>
      <c r="AI104" s="85">
        <f t="shared" si="3"/>
        <v>50</v>
      </c>
      <c r="AJ104" s="130"/>
      <c r="AK104" s="131"/>
      <c r="AL104" s="131"/>
      <c r="AM104" s="131"/>
      <c r="AN104" s="131"/>
      <c r="AO104" s="131"/>
      <c r="AP104" s="131"/>
      <c r="AQ104" s="131"/>
      <c r="AR104" s="130"/>
      <c r="AS104" s="131"/>
      <c r="AT104" s="131"/>
      <c r="AU104" s="131"/>
      <c r="AV104" s="131"/>
      <c r="AW104" s="131"/>
      <c r="AX104" s="131"/>
      <c r="AY104" s="132"/>
      <c r="AZ104" s="86"/>
      <c r="BA104" s="86"/>
      <c r="BB104" s="61">
        <v>87</v>
      </c>
      <c r="BC104" s="61">
        <v>90</v>
      </c>
      <c r="BD104" s="86"/>
      <c r="BE104" s="86"/>
      <c r="BF104" s="61">
        <v>92</v>
      </c>
      <c r="BG104" s="89">
        <v>93</v>
      </c>
    </row>
    <row r="105" spans="9:59">
      <c r="I105" s="115">
        <f t="shared" si="2"/>
        <v>49</v>
      </c>
      <c r="J105" s="128"/>
      <c r="K105" s="128"/>
      <c r="L105" s="128"/>
      <c r="M105" s="128"/>
      <c r="N105" s="128"/>
      <c r="O105" s="128"/>
      <c r="P105" s="128"/>
      <c r="Q105" s="129"/>
      <c r="R105" s="128"/>
      <c r="S105" s="128"/>
      <c r="T105" s="128"/>
      <c r="U105" s="128"/>
      <c r="V105" s="128"/>
      <c r="W105" s="128"/>
      <c r="X105" s="128"/>
      <c r="Y105" s="129"/>
      <c r="Z105" s="81"/>
      <c r="AA105" s="82"/>
      <c r="AB105" s="61">
        <v>60</v>
      </c>
      <c r="AC105" s="61">
        <v>64</v>
      </c>
      <c r="AD105" s="82"/>
      <c r="AE105" s="82"/>
      <c r="AF105" s="61">
        <v>63</v>
      </c>
      <c r="AG105" s="83">
        <v>64</v>
      </c>
      <c r="AI105" s="85">
        <f t="shared" si="3"/>
        <v>49</v>
      </c>
      <c r="AJ105" s="130"/>
      <c r="AK105" s="131"/>
      <c r="AL105" s="131"/>
      <c r="AM105" s="131"/>
      <c r="AN105" s="131"/>
      <c r="AO105" s="131"/>
      <c r="AP105" s="131"/>
      <c r="AQ105" s="131"/>
      <c r="AR105" s="130"/>
      <c r="AS105" s="131"/>
      <c r="AT105" s="131"/>
      <c r="AU105" s="131"/>
      <c r="AV105" s="131"/>
      <c r="AW105" s="131"/>
      <c r="AX105" s="131"/>
      <c r="AY105" s="132"/>
      <c r="AZ105" s="86"/>
      <c r="BA105" s="86"/>
      <c r="BB105" s="61">
        <v>81</v>
      </c>
      <c r="BC105" s="61">
        <v>89</v>
      </c>
      <c r="BD105" s="86"/>
      <c r="BE105" s="86"/>
      <c r="BF105" s="61">
        <v>91</v>
      </c>
      <c r="BG105" s="89">
        <v>90</v>
      </c>
    </row>
    <row r="106" spans="9:59">
      <c r="I106" s="115">
        <f t="shared" si="2"/>
        <v>48</v>
      </c>
      <c r="J106" s="128"/>
      <c r="K106" s="128"/>
      <c r="L106" s="128"/>
      <c r="M106" s="128"/>
      <c r="N106" s="128"/>
      <c r="O106" s="128"/>
      <c r="P106" s="128"/>
      <c r="Q106" s="129"/>
      <c r="R106" s="128"/>
      <c r="S106" s="128"/>
      <c r="T106" s="128"/>
      <c r="U106" s="128"/>
      <c r="V106" s="128"/>
      <c r="W106" s="128"/>
      <c r="X106" s="128"/>
      <c r="Y106" s="129"/>
      <c r="Z106" s="81"/>
      <c r="AA106" s="82"/>
      <c r="AB106" s="61">
        <v>59</v>
      </c>
      <c r="AC106" s="61">
        <v>63</v>
      </c>
      <c r="AD106" s="82"/>
      <c r="AE106" s="82"/>
      <c r="AF106" s="61">
        <v>62</v>
      </c>
      <c r="AG106" s="83">
        <f t="shared" si="4"/>
        <v>63</v>
      </c>
      <c r="AI106" s="85">
        <f t="shared" si="3"/>
        <v>48</v>
      </c>
      <c r="AJ106" s="130"/>
      <c r="AK106" s="131"/>
      <c r="AL106" s="131"/>
      <c r="AM106" s="131"/>
      <c r="AN106" s="131"/>
      <c r="AO106" s="131"/>
      <c r="AP106" s="131"/>
      <c r="AQ106" s="131"/>
      <c r="AR106" s="130"/>
      <c r="AS106" s="131"/>
      <c r="AT106" s="131"/>
      <c r="AU106" s="131"/>
      <c r="AV106" s="131"/>
      <c r="AW106" s="131"/>
      <c r="AX106" s="131"/>
      <c r="AY106" s="132"/>
      <c r="AZ106" s="86"/>
      <c r="BA106" s="86"/>
      <c r="BB106" s="61">
        <v>78</v>
      </c>
      <c r="BC106" s="61">
        <v>88</v>
      </c>
      <c r="BD106" s="86"/>
      <c r="BE106" s="86"/>
      <c r="BF106" s="61">
        <v>90</v>
      </c>
      <c r="BG106" s="89">
        <v>89</v>
      </c>
    </row>
    <row r="107" spans="9:59">
      <c r="I107" s="115">
        <f t="shared" si="2"/>
        <v>47</v>
      </c>
      <c r="J107" s="128"/>
      <c r="K107" s="128"/>
      <c r="L107" s="128"/>
      <c r="M107" s="128"/>
      <c r="N107" s="128"/>
      <c r="O107" s="128"/>
      <c r="P107" s="128"/>
      <c r="Q107" s="129"/>
      <c r="R107" s="128"/>
      <c r="S107" s="128"/>
      <c r="T107" s="128"/>
      <c r="U107" s="128"/>
      <c r="V107" s="128"/>
      <c r="W107" s="128"/>
      <c r="X107" s="128"/>
      <c r="Y107" s="129"/>
      <c r="Z107" s="81"/>
      <c r="AA107" s="82"/>
      <c r="AB107" s="61">
        <v>58</v>
      </c>
      <c r="AC107" s="61">
        <v>62</v>
      </c>
      <c r="AD107" s="82"/>
      <c r="AE107" s="82"/>
      <c r="AF107" s="61">
        <v>61</v>
      </c>
      <c r="AG107" s="83">
        <f t="shared" si="4"/>
        <v>62</v>
      </c>
      <c r="AI107" s="85">
        <f t="shared" si="3"/>
        <v>47</v>
      </c>
      <c r="AJ107" s="130"/>
      <c r="AK107" s="131"/>
      <c r="AL107" s="131"/>
      <c r="AM107" s="131"/>
      <c r="AN107" s="131"/>
      <c r="AO107" s="131"/>
      <c r="AP107" s="131"/>
      <c r="AQ107" s="131"/>
      <c r="AR107" s="130"/>
      <c r="AS107" s="131"/>
      <c r="AT107" s="131"/>
      <c r="AU107" s="131"/>
      <c r="AV107" s="131"/>
      <c r="AW107" s="131"/>
      <c r="AX107" s="131"/>
      <c r="AY107" s="132"/>
      <c r="AZ107" s="86"/>
      <c r="BA107" s="86"/>
      <c r="BB107" s="61">
        <v>76</v>
      </c>
      <c r="BC107" s="61">
        <v>87</v>
      </c>
      <c r="BD107" s="86"/>
      <c r="BE107" s="86"/>
      <c r="BF107" s="61">
        <v>88</v>
      </c>
      <c r="BG107" s="89">
        <v>87</v>
      </c>
    </row>
    <row r="108" spans="9:59">
      <c r="I108" s="115">
        <f t="shared" si="2"/>
        <v>46</v>
      </c>
      <c r="J108" s="128"/>
      <c r="K108" s="128"/>
      <c r="L108" s="128"/>
      <c r="M108" s="128"/>
      <c r="N108" s="128"/>
      <c r="O108" s="128"/>
      <c r="P108" s="128"/>
      <c r="Q108" s="129"/>
      <c r="R108" s="128"/>
      <c r="S108" s="128"/>
      <c r="T108" s="128"/>
      <c r="U108" s="128"/>
      <c r="V108" s="128"/>
      <c r="W108" s="128"/>
      <c r="X108" s="128"/>
      <c r="Y108" s="129"/>
      <c r="Z108" s="81"/>
      <c r="AA108" s="82"/>
      <c r="AB108" s="61">
        <v>57</v>
      </c>
      <c r="AC108" s="61">
        <v>61</v>
      </c>
      <c r="AD108" s="82"/>
      <c r="AE108" s="82"/>
      <c r="AF108" s="61">
        <v>60</v>
      </c>
      <c r="AG108" s="83">
        <f t="shared" si="4"/>
        <v>61</v>
      </c>
      <c r="AI108" s="85">
        <f t="shared" si="3"/>
        <v>46</v>
      </c>
      <c r="AJ108" s="130"/>
      <c r="AK108" s="131"/>
      <c r="AL108" s="131"/>
      <c r="AM108" s="131"/>
      <c r="AN108" s="131"/>
      <c r="AO108" s="131"/>
      <c r="AP108" s="131"/>
      <c r="AQ108" s="131"/>
      <c r="AR108" s="130"/>
      <c r="AS108" s="131"/>
      <c r="AT108" s="131"/>
      <c r="AU108" s="131"/>
      <c r="AV108" s="131"/>
      <c r="AW108" s="131"/>
      <c r="AX108" s="131"/>
      <c r="AY108" s="132"/>
      <c r="AZ108" s="86"/>
      <c r="BA108" s="86"/>
      <c r="BB108" s="61">
        <v>74</v>
      </c>
      <c r="BC108" s="61">
        <v>84</v>
      </c>
      <c r="BD108" s="86"/>
      <c r="BE108" s="86"/>
      <c r="BF108" s="61">
        <v>85</v>
      </c>
      <c r="BG108" s="89">
        <v>87</v>
      </c>
    </row>
    <row r="109" spans="9:59">
      <c r="I109" s="115">
        <f t="shared" si="2"/>
        <v>45</v>
      </c>
      <c r="J109" s="128"/>
      <c r="K109" s="128"/>
      <c r="L109" s="128"/>
      <c r="M109" s="128"/>
      <c r="N109" s="128"/>
      <c r="O109" s="128"/>
      <c r="P109" s="128"/>
      <c r="Q109" s="129"/>
      <c r="R109" s="128"/>
      <c r="S109" s="128"/>
      <c r="T109" s="128"/>
      <c r="U109" s="128"/>
      <c r="V109" s="128"/>
      <c r="W109" s="128"/>
      <c r="X109" s="128"/>
      <c r="Y109" s="129"/>
      <c r="Z109" s="81"/>
      <c r="AA109" s="82"/>
      <c r="AB109" s="61">
        <v>56</v>
      </c>
      <c r="AC109" s="61">
        <v>60</v>
      </c>
      <c r="AD109" s="82"/>
      <c r="AE109" s="82"/>
      <c r="AF109" s="61">
        <v>59</v>
      </c>
      <c r="AG109" s="83">
        <f t="shared" si="4"/>
        <v>60</v>
      </c>
      <c r="AI109" s="85">
        <f t="shared" si="3"/>
        <v>45</v>
      </c>
      <c r="AJ109" s="130"/>
      <c r="AK109" s="131"/>
      <c r="AL109" s="131"/>
      <c r="AM109" s="131"/>
      <c r="AN109" s="131"/>
      <c r="AO109" s="131"/>
      <c r="AP109" s="131"/>
      <c r="AQ109" s="131"/>
      <c r="AR109" s="130"/>
      <c r="AS109" s="131"/>
      <c r="AT109" s="131"/>
      <c r="AU109" s="131"/>
      <c r="AV109" s="131"/>
      <c r="AW109" s="131"/>
      <c r="AX109" s="131"/>
      <c r="AY109" s="132"/>
      <c r="AZ109" s="86"/>
      <c r="BA109" s="86"/>
      <c r="BB109" s="61">
        <v>72</v>
      </c>
      <c r="BC109" s="61">
        <v>82</v>
      </c>
      <c r="BD109" s="86"/>
      <c r="BE109" s="86"/>
      <c r="BF109" s="61">
        <v>78</v>
      </c>
      <c r="BG109" s="89">
        <v>84</v>
      </c>
    </row>
    <row r="110" spans="9:59">
      <c r="I110" s="115">
        <f t="shared" si="2"/>
        <v>44</v>
      </c>
      <c r="J110" s="128"/>
      <c r="K110" s="128"/>
      <c r="L110" s="128"/>
      <c r="M110" s="128"/>
      <c r="N110" s="128"/>
      <c r="O110" s="128"/>
      <c r="P110" s="128"/>
      <c r="Q110" s="129"/>
      <c r="R110" s="128"/>
      <c r="S110" s="128"/>
      <c r="T110" s="128"/>
      <c r="U110" s="128"/>
      <c r="V110" s="128"/>
      <c r="W110" s="128"/>
      <c r="X110" s="128"/>
      <c r="Y110" s="129"/>
      <c r="Z110" s="81"/>
      <c r="AA110" s="82"/>
      <c r="AB110" s="61">
        <v>55</v>
      </c>
      <c r="AC110" s="61">
        <v>59</v>
      </c>
      <c r="AD110" s="82"/>
      <c r="AE110" s="82"/>
      <c r="AF110" s="61">
        <v>57</v>
      </c>
      <c r="AG110" s="83">
        <f t="shared" si="4"/>
        <v>59</v>
      </c>
      <c r="AI110" s="85">
        <f t="shared" si="3"/>
        <v>44</v>
      </c>
      <c r="AJ110" s="130"/>
      <c r="AK110" s="131"/>
      <c r="AL110" s="131"/>
      <c r="AM110" s="131"/>
      <c r="AN110" s="131"/>
      <c r="AO110" s="131"/>
      <c r="AP110" s="131"/>
      <c r="AQ110" s="131"/>
      <c r="AR110" s="130"/>
      <c r="AS110" s="131"/>
      <c r="AT110" s="131"/>
      <c r="AU110" s="131"/>
      <c r="AV110" s="131"/>
      <c r="AW110" s="131"/>
      <c r="AX110" s="131"/>
      <c r="AY110" s="132"/>
      <c r="AZ110" s="86"/>
      <c r="BA110" s="86"/>
      <c r="BB110" s="61">
        <v>67</v>
      </c>
      <c r="BC110" s="61">
        <v>81</v>
      </c>
      <c r="BD110" s="86"/>
      <c r="BE110" s="86"/>
      <c r="BF110" s="61">
        <v>77</v>
      </c>
      <c r="BG110" s="89">
        <v>83</v>
      </c>
    </row>
    <row r="111" spans="9:59">
      <c r="I111" s="115">
        <f t="shared" si="2"/>
        <v>43</v>
      </c>
      <c r="J111" s="128"/>
      <c r="K111" s="128"/>
      <c r="L111" s="128"/>
      <c r="M111" s="128"/>
      <c r="N111" s="128"/>
      <c r="O111" s="128"/>
      <c r="P111" s="128"/>
      <c r="Q111" s="129"/>
      <c r="R111" s="128"/>
      <c r="S111" s="128"/>
      <c r="T111" s="128"/>
      <c r="U111" s="128"/>
      <c r="V111" s="128"/>
      <c r="W111" s="128"/>
      <c r="X111" s="128"/>
      <c r="Y111" s="129"/>
      <c r="Z111" s="81"/>
      <c r="AA111" s="82"/>
      <c r="AB111" s="61">
        <v>54</v>
      </c>
      <c r="AC111" s="61">
        <v>58</v>
      </c>
      <c r="AD111" s="82"/>
      <c r="AE111" s="82"/>
      <c r="AF111" s="61">
        <v>56</v>
      </c>
      <c r="AG111" s="83">
        <f t="shared" si="4"/>
        <v>58</v>
      </c>
      <c r="AI111" s="85">
        <f t="shared" si="3"/>
        <v>43</v>
      </c>
      <c r="AJ111" s="130"/>
      <c r="AK111" s="131"/>
      <c r="AL111" s="131"/>
      <c r="AM111" s="131"/>
      <c r="AN111" s="131"/>
      <c r="AO111" s="131"/>
      <c r="AP111" s="131"/>
      <c r="AQ111" s="131"/>
      <c r="AR111" s="130"/>
      <c r="AS111" s="131"/>
      <c r="AT111" s="131"/>
      <c r="AU111" s="131"/>
      <c r="AV111" s="131"/>
      <c r="AW111" s="131"/>
      <c r="AX111" s="131"/>
      <c r="AY111" s="132"/>
      <c r="AZ111" s="86"/>
      <c r="BA111" s="86"/>
      <c r="BB111" s="61">
        <v>66</v>
      </c>
      <c r="BC111" s="61">
        <v>80</v>
      </c>
      <c r="BD111" s="86"/>
      <c r="BE111" s="86"/>
      <c r="BF111" s="61">
        <v>73</v>
      </c>
      <c r="BG111" s="89">
        <v>80</v>
      </c>
    </row>
    <row r="112" spans="9:59">
      <c r="I112" s="115">
        <f t="shared" si="2"/>
        <v>42</v>
      </c>
      <c r="J112" s="128"/>
      <c r="K112" s="128"/>
      <c r="L112" s="128"/>
      <c r="M112" s="128"/>
      <c r="N112" s="128"/>
      <c r="O112" s="128"/>
      <c r="P112" s="128"/>
      <c r="Q112" s="129"/>
      <c r="R112" s="128"/>
      <c r="S112" s="128"/>
      <c r="T112" s="61">
        <v>90</v>
      </c>
      <c r="U112" s="61" t="s">
        <v>69</v>
      </c>
      <c r="V112" s="128"/>
      <c r="W112" s="128"/>
      <c r="X112" s="61">
        <v>89</v>
      </c>
      <c r="Y112" s="83">
        <v>89</v>
      </c>
      <c r="Z112" s="81"/>
      <c r="AA112" s="82"/>
      <c r="AB112" s="61">
        <v>53</v>
      </c>
      <c r="AC112" s="61">
        <v>57</v>
      </c>
      <c r="AD112" s="82"/>
      <c r="AE112" s="82"/>
      <c r="AF112" s="61">
        <v>55</v>
      </c>
      <c r="AG112" s="83">
        <f t="shared" si="4"/>
        <v>57</v>
      </c>
      <c r="AI112" s="85">
        <f t="shared" si="3"/>
        <v>42</v>
      </c>
      <c r="AJ112" s="130"/>
      <c r="AK112" s="131"/>
      <c r="AL112" s="131"/>
      <c r="AM112" s="131"/>
      <c r="AN112" s="131"/>
      <c r="AO112" s="131"/>
      <c r="AP112" s="131"/>
      <c r="AQ112" s="131"/>
      <c r="AR112" s="130"/>
      <c r="AS112" s="131"/>
      <c r="AT112" s="61" t="s">
        <v>70</v>
      </c>
      <c r="AU112" s="61" t="s">
        <v>70</v>
      </c>
      <c r="AV112" s="131"/>
      <c r="AW112" s="131"/>
      <c r="AX112" s="61" t="s">
        <v>70</v>
      </c>
      <c r="AY112" s="89" t="s">
        <v>70</v>
      </c>
      <c r="AZ112" s="86"/>
      <c r="BA112" s="86"/>
      <c r="BB112" s="61">
        <v>64</v>
      </c>
      <c r="BC112" s="61">
        <v>78</v>
      </c>
      <c r="BD112" s="86"/>
      <c r="BE112" s="86"/>
      <c r="BF112" s="61">
        <v>71</v>
      </c>
      <c r="BG112" s="89">
        <v>78</v>
      </c>
    </row>
    <row r="113" spans="9:59">
      <c r="I113" s="115">
        <f t="shared" si="2"/>
        <v>41</v>
      </c>
      <c r="J113" s="128"/>
      <c r="K113" s="128"/>
      <c r="L113" s="128"/>
      <c r="M113" s="128"/>
      <c r="N113" s="128"/>
      <c r="O113" s="128"/>
      <c r="P113" s="128"/>
      <c r="Q113" s="129"/>
      <c r="R113" s="128"/>
      <c r="S113" s="128"/>
      <c r="T113" s="61">
        <v>89</v>
      </c>
      <c r="U113" s="61" t="s">
        <v>69</v>
      </c>
      <c r="V113" s="128"/>
      <c r="W113" s="128"/>
      <c r="X113" s="61">
        <v>89</v>
      </c>
      <c r="Y113" s="83">
        <v>89</v>
      </c>
      <c r="Z113" s="81"/>
      <c r="AA113" s="82"/>
      <c r="AB113" s="61">
        <v>52</v>
      </c>
      <c r="AC113" s="61">
        <v>56</v>
      </c>
      <c r="AD113" s="82"/>
      <c r="AE113" s="82"/>
      <c r="AF113" s="61">
        <v>54</v>
      </c>
      <c r="AG113" s="83">
        <f t="shared" si="4"/>
        <v>56</v>
      </c>
      <c r="AI113" s="85">
        <f t="shared" si="3"/>
        <v>41</v>
      </c>
      <c r="AJ113" s="130"/>
      <c r="AK113" s="131"/>
      <c r="AL113" s="131"/>
      <c r="AM113" s="131"/>
      <c r="AN113" s="131"/>
      <c r="AO113" s="131"/>
      <c r="AP113" s="131"/>
      <c r="AQ113" s="131"/>
      <c r="AR113" s="130"/>
      <c r="AS113" s="131"/>
      <c r="AT113" s="61" t="s">
        <v>70</v>
      </c>
      <c r="AU113" s="61" t="s">
        <v>70</v>
      </c>
      <c r="AV113" s="131"/>
      <c r="AW113" s="131"/>
      <c r="AX113" s="61" t="s">
        <v>70</v>
      </c>
      <c r="AY113" s="89" t="s">
        <v>70</v>
      </c>
      <c r="AZ113" s="86"/>
      <c r="BA113" s="86"/>
      <c r="BB113" s="61">
        <v>62</v>
      </c>
      <c r="BC113" s="61">
        <v>75</v>
      </c>
      <c r="BD113" s="86"/>
      <c r="BE113" s="86"/>
      <c r="BF113" s="61">
        <v>68</v>
      </c>
      <c r="BG113" s="89">
        <v>74</v>
      </c>
    </row>
    <row r="114" spans="9:59">
      <c r="I114" s="115">
        <f t="shared" si="2"/>
        <v>40</v>
      </c>
      <c r="J114" s="128"/>
      <c r="K114" s="128"/>
      <c r="L114" s="128"/>
      <c r="M114" s="128"/>
      <c r="N114" s="128"/>
      <c r="O114" s="128"/>
      <c r="P114" s="128"/>
      <c r="Q114" s="129"/>
      <c r="R114" s="128"/>
      <c r="S114" s="128"/>
      <c r="T114" s="61">
        <v>87</v>
      </c>
      <c r="U114" s="61" t="s">
        <v>69</v>
      </c>
      <c r="V114" s="128"/>
      <c r="W114" s="128"/>
      <c r="X114" s="61">
        <v>86</v>
      </c>
      <c r="Y114" s="83">
        <v>86</v>
      </c>
      <c r="Z114" s="81"/>
      <c r="AA114" s="82"/>
      <c r="AB114" s="61">
        <v>52</v>
      </c>
      <c r="AC114" s="61">
        <v>55</v>
      </c>
      <c r="AD114" s="82"/>
      <c r="AE114" s="82"/>
      <c r="AF114" s="61">
        <v>53</v>
      </c>
      <c r="AG114" s="83">
        <f t="shared" si="4"/>
        <v>55</v>
      </c>
      <c r="AI114" s="85">
        <f t="shared" si="3"/>
        <v>40</v>
      </c>
      <c r="AJ114" s="130"/>
      <c r="AK114" s="131"/>
      <c r="AL114" s="131"/>
      <c r="AM114" s="131"/>
      <c r="AN114" s="131"/>
      <c r="AO114" s="131"/>
      <c r="AP114" s="131"/>
      <c r="AQ114" s="131"/>
      <c r="AR114" s="130"/>
      <c r="AS114" s="131"/>
      <c r="AT114" s="61" t="s">
        <v>70</v>
      </c>
      <c r="AU114" s="61" t="s">
        <v>70</v>
      </c>
      <c r="AV114" s="131"/>
      <c r="AW114" s="131"/>
      <c r="AX114" s="61" t="s">
        <v>70</v>
      </c>
      <c r="AY114" s="89" t="s">
        <v>70</v>
      </c>
      <c r="AZ114" s="86"/>
      <c r="BA114" s="86"/>
      <c r="BB114" s="61">
        <v>59</v>
      </c>
      <c r="BC114" s="61">
        <v>72</v>
      </c>
      <c r="BD114" s="86"/>
      <c r="BE114" s="86"/>
      <c r="BF114" s="61">
        <v>65</v>
      </c>
      <c r="BG114" s="89">
        <v>73</v>
      </c>
    </row>
    <row r="115" spans="9:59">
      <c r="I115" s="115">
        <f t="shared" si="2"/>
        <v>39</v>
      </c>
      <c r="J115" s="128"/>
      <c r="K115" s="128"/>
      <c r="L115" s="61">
        <v>87</v>
      </c>
      <c r="M115" s="61" t="s">
        <v>69</v>
      </c>
      <c r="N115" s="82"/>
      <c r="O115" s="82"/>
      <c r="P115" s="61">
        <v>89</v>
      </c>
      <c r="Q115" s="83" t="s">
        <v>69</v>
      </c>
      <c r="R115" s="128"/>
      <c r="S115" s="128"/>
      <c r="T115" s="61">
        <v>85</v>
      </c>
      <c r="U115" s="61" t="s">
        <v>69</v>
      </c>
      <c r="V115" s="128"/>
      <c r="W115" s="128"/>
      <c r="X115" s="61">
        <v>85</v>
      </c>
      <c r="Y115" s="83">
        <v>85</v>
      </c>
      <c r="Z115" s="81"/>
      <c r="AA115" s="82"/>
      <c r="AB115" s="61">
        <v>51</v>
      </c>
      <c r="AC115" s="61">
        <v>54</v>
      </c>
      <c r="AD115" s="82"/>
      <c r="AE115" s="82"/>
      <c r="AF115" s="61">
        <v>52</v>
      </c>
      <c r="AG115" s="83">
        <f t="shared" si="4"/>
        <v>54</v>
      </c>
      <c r="AI115" s="85">
        <f t="shared" si="3"/>
        <v>39</v>
      </c>
      <c r="AJ115" s="130"/>
      <c r="AK115" s="131"/>
      <c r="AL115" s="61" t="s">
        <v>70</v>
      </c>
      <c r="AM115" s="61" t="s">
        <v>70</v>
      </c>
      <c r="AN115" s="86"/>
      <c r="AO115" s="86"/>
      <c r="AP115" s="61" t="s">
        <v>70</v>
      </c>
      <c r="AQ115" s="61" t="s">
        <v>70</v>
      </c>
      <c r="AR115" s="130"/>
      <c r="AS115" s="131"/>
      <c r="AT115" s="61" t="s">
        <v>70</v>
      </c>
      <c r="AU115" s="61" t="s">
        <v>70</v>
      </c>
      <c r="AV115" s="131"/>
      <c r="AW115" s="131"/>
      <c r="AX115" s="61" t="s">
        <v>70</v>
      </c>
      <c r="AY115" s="89" t="s">
        <v>70</v>
      </c>
      <c r="AZ115" s="86"/>
      <c r="BA115" s="86"/>
      <c r="BB115" s="61">
        <v>58</v>
      </c>
      <c r="BC115" s="61">
        <v>69</v>
      </c>
      <c r="BD115" s="86"/>
      <c r="BE115" s="86"/>
      <c r="BF115" s="61">
        <v>60</v>
      </c>
      <c r="BG115" s="89">
        <v>70</v>
      </c>
    </row>
    <row r="116" spans="9:59">
      <c r="I116" s="115">
        <f t="shared" si="2"/>
        <v>38</v>
      </c>
      <c r="J116" s="128"/>
      <c r="K116" s="128"/>
      <c r="L116" s="61">
        <v>85</v>
      </c>
      <c r="M116" s="61" t="s">
        <v>69</v>
      </c>
      <c r="N116" s="82"/>
      <c r="O116" s="82"/>
      <c r="P116" s="61">
        <v>87</v>
      </c>
      <c r="Q116" s="83">
        <v>90</v>
      </c>
      <c r="R116" s="128"/>
      <c r="S116" s="128"/>
      <c r="T116" s="61">
        <v>83</v>
      </c>
      <c r="U116" s="61" t="s">
        <v>69</v>
      </c>
      <c r="V116" s="128"/>
      <c r="W116" s="128"/>
      <c r="X116" s="61">
        <v>82</v>
      </c>
      <c r="Y116" s="83">
        <v>82</v>
      </c>
      <c r="Z116" s="81"/>
      <c r="AA116" s="82"/>
      <c r="AB116" s="61">
        <v>50</v>
      </c>
      <c r="AC116" s="61">
        <v>53</v>
      </c>
      <c r="AD116" s="82"/>
      <c r="AE116" s="82"/>
      <c r="AF116" s="61">
        <v>51</v>
      </c>
      <c r="AG116" s="83">
        <f t="shared" si="4"/>
        <v>53</v>
      </c>
      <c r="AI116" s="85">
        <f t="shared" si="3"/>
        <v>38</v>
      </c>
      <c r="AJ116" s="130"/>
      <c r="AK116" s="131"/>
      <c r="AL116" s="61" t="s">
        <v>70</v>
      </c>
      <c r="AM116" s="61" t="s">
        <v>70</v>
      </c>
      <c r="AN116" s="86"/>
      <c r="AO116" s="86"/>
      <c r="AP116" s="61" t="s">
        <v>70</v>
      </c>
      <c r="AQ116" s="61" t="s">
        <v>70</v>
      </c>
      <c r="AR116" s="130"/>
      <c r="AS116" s="131"/>
      <c r="AT116" s="61" t="s">
        <v>70</v>
      </c>
      <c r="AU116" s="61" t="s">
        <v>70</v>
      </c>
      <c r="AV116" s="131"/>
      <c r="AW116" s="131"/>
      <c r="AX116" s="61" t="s">
        <v>70</v>
      </c>
      <c r="AY116" s="89" t="s">
        <v>70</v>
      </c>
      <c r="AZ116" s="86"/>
      <c r="BA116" s="86"/>
      <c r="BB116" s="61">
        <v>55</v>
      </c>
      <c r="BC116" s="61">
        <v>67</v>
      </c>
      <c r="BD116" s="86"/>
      <c r="BE116" s="86"/>
      <c r="BF116" s="61">
        <v>58</v>
      </c>
      <c r="BG116" s="89">
        <v>69</v>
      </c>
    </row>
    <row r="117" spans="9:59">
      <c r="I117" s="115">
        <f t="shared" si="2"/>
        <v>37</v>
      </c>
      <c r="J117" s="128"/>
      <c r="K117" s="128"/>
      <c r="L117" s="61">
        <v>83</v>
      </c>
      <c r="M117" s="61">
        <v>90</v>
      </c>
      <c r="N117" s="82"/>
      <c r="O117" s="82"/>
      <c r="P117" s="61">
        <v>85</v>
      </c>
      <c r="Q117" s="83">
        <v>88</v>
      </c>
      <c r="R117" s="128"/>
      <c r="S117" s="128"/>
      <c r="T117" s="61">
        <v>81</v>
      </c>
      <c r="U117" s="61">
        <v>89</v>
      </c>
      <c r="V117" s="128"/>
      <c r="W117" s="128"/>
      <c r="X117" s="61">
        <v>81</v>
      </c>
      <c r="Y117" s="83">
        <v>81</v>
      </c>
      <c r="Z117" s="81"/>
      <c r="AA117" s="82"/>
      <c r="AB117" s="61">
        <v>49</v>
      </c>
      <c r="AC117" s="61">
        <v>52</v>
      </c>
      <c r="AD117" s="82"/>
      <c r="AE117" s="82"/>
      <c r="AF117" s="61">
        <v>50</v>
      </c>
      <c r="AG117" s="83">
        <v>51</v>
      </c>
      <c r="AI117" s="85">
        <f t="shared" si="3"/>
        <v>37</v>
      </c>
      <c r="AJ117" s="130"/>
      <c r="AK117" s="131"/>
      <c r="AL117" s="61" t="s">
        <v>70</v>
      </c>
      <c r="AM117" s="61" t="s">
        <v>70</v>
      </c>
      <c r="AN117" s="86"/>
      <c r="AO117" s="86"/>
      <c r="AP117" s="61" t="s">
        <v>70</v>
      </c>
      <c r="AQ117" s="61" t="s">
        <v>70</v>
      </c>
      <c r="AR117" s="130"/>
      <c r="AS117" s="131"/>
      <c r="AT117" s="61" t="s">
        <v>70</v>
      </c>
      <c r="AU117" s="61" t="s">
        <v>70</v>
      </c>
      <c r="AV117" s="131"/>
      <c r="AW117" s="131"/>
      <c r="AX117" s="61" t="s">
        <v>70</v>
      </c>
      <c r="AY117" s="89" t="s">
        <v>70</v>
      </c>
      <c r="AZ117" s="86"/>
      <c r="BA117" s="86"/>
      <c r="BB117" s="61">
        <v>54</v>
      </c>
      <c r="BC117" s="61">
        <v>66</v>
      </c>
      <c r="BD117" s="86"/>
      <c r="BE117" s="86"/>
      <c r="BF117" s="61">
        <v>55</v>
      </c>
      <c r="BG117" s="89">
        <v>66</v>
      </c>
    </row>
    <row r="118" spans="9:59">
      <c r="I118" s="115">
        <f t="shared" si="2"/>
        <v>36</v>
      </c>
      <c r="J118" s="128"/>
      <c r="K118" s="128"/>
      <c r="L118" s="61">
        <v>81</v>
      </c>
      <c r="M118" s="61">
        <v>88</v>
      </c>
      <c r="N118" s="82"/>
      <c r="O118" s="82"/>
      <c r="P118" s="61">
        <v>83</v>
      </c>
      <c r="Q118" s="83">
        <v>86</v>
      </c>
      <c r="R118" s="128"/>
      <c r="S118" s="128"/>
      <c r="T118" s="61">
        <v>79</v>
      </c>
      <c r="U118" s="61">
        <v>87</v>
      </c>
      <c r="V118" s="128"/>
      <c r="W118" s="128"/>
      <c r="X118" s="61">
        <v>78</v>
      </c>
      <c r="Y118" s="83">
        <v>78</v>
      </c>
      <c r="Z118" s="81"/>
      <c r="AA118" s="82"/>
      <c r="AB118" s="61">
        <v>48</v>
      </c>
      <c r="AC118" s="61">
        <v>51</v>
      </c>
      <c r="AD118" s="82"/>
      <c r="AE118" s="82"/>
      <c r="AF118" s="61">
        <v>49</v>
      </c>
      <c r="AG118" s="83">
        <f t="shared" si="4"/>
        <v>50</v>
      </c>
      <c r="AI118" s="85">
        <f t="shared" si="3"/>
        <v>36</v>
      </c>
      <c r="AJ118" s="130"/>
      <c r="AK118" s="131"/>
      <c r="AL118" s="61">
        <v>99</v>
      </c>
      <c r="AM118" s="61" t="s">
        <v>70</v>
      </c>
      <c r="AN118" s="86"/>
      <c r="AO118" s="86"/>
      <c r="AP118" s="61" t="s">
        <v>70</v>
      </c>
      <c r="AQ118" s="61" t="s">
        <v>70</v>
      </c>
      <c r="AR118" s="130"/>
      <c r="AS118" s="131"/>
      <c r="AT118" s="61" t="s">
        <v>70</v>
      </c>
      <c r="AU118" s="61" t="s">
        <v>70</v>
      </c>
      <c r="AV118" s="131"/>
      <c r="AW118" s="131"/>
      <c r="AX118" s="61" t="s">
        <v>70</v>
      </c>
      <c r="AY118" s="89" t="s">
        <v>70</v>
      </c>
      <c r="AZ118" s="86"/>
      <c r="BA118" s="86"/>
      <c r="BB118" s="61">
        <v>52</v>
      </c>
      <c r="BC118" s="61">
        <v>63</v>
      </c>
      <c r="BD118" s="86"/>
      <c r="BE118" s="86"/>
      <c r="BF118" s="61">
        <v>52</v>
      </c>
      <c r="BG118" s="89">
        <v>59</v>
      </c>
    </row>
    <row r="119" spans="9:59">
      <c r="I119" s="115">
        <f t="shared" si="2"/>
        <v>35</v>
      </c>
      <c r="J119" s="128"/>
      <c r="K119" s="128"/>
      <c r="L119" s="61">
        <v>79</v>
      </c>
      <c r="M119" s="61">
        <v>85</v>
      </c>
      <c r="N119" s="82"/>
      <c r="O119" s="82"/>
      <c r="P119" s="61">
        <v>81</v>
      </c>
      <c r="Q119" s="83">
        <v>84</v>
      </c>
      <c r="R119" s="128"/>
      <c r="S119" s="128"/>
      <c r="T119" s="61">
        <v>78</v>
      </c>
      <c r="U119" s="61">
        <v>85</v>
      </c>
      <c r="V119" s="128"/>
      <c r="W119" s="128"/>
      <c r="X119" s="61">
        <v>77</v>
      </c>
      <c r="Y119" s="83">
        <v>77</v>
      </c>
      <c r="Z119" s="81"/>
      <c r="AA119" s="82"/>
      <c r="AB119" s="61">
        <v>47</v>
      </c>
      <c r="AC119" s="61">
        <v>50</v>
      </c>
      <c r="AD119" s="82"/>
      <c r="AE119" s="82"/>
      <c r="AF119" s="61">
        <v>48</v>
      </c>
      <c r="AG119" s="83">
        <f t="shared" si="4"/>
        <v>49</v>
      </c>
      <c r="AI119" s="85">
        <f t="shared" si="3"/>
        <v>35</v>
      </c>
      <c r="AJ119" s="130"/>
      <c r="AK119" s="131"/>
      <c r="AL119" s="61">
        <v>99</v>
      </c>
      <c r="AM119" s="61" t="s">
        <v>70</v>
      </c>
      <c r="AN119" s="86"/>
      <c r="AO119" s="86"/>
      <c r="AP119" s="61" t="s">
        <v>70</v>
      </c>
      <c r="AQ119" s="61">
        <v>99</v>
      </c>
      <c r="AR119" s="130"/>
      <c r="AS119" s="131"/>
      <c r="AT119" s="61" t="s">
        <v>70</v>
      </c>
      <c r="AU119" s="61" t="s">
        <v>70</v>
      </c>
      <c r="AV119" s="131"/>
      <c r="AW119" s="131"/>
      <c r="AX119" s="61" t="s">
        <v>70</v>
      </c>
      <c r="AY119" s="89">
        <v>99</v>
      </c>
      <c r="AZ119" s="86"/>
      <c r="BA119" s="86"/>
      <c r="BB119" s="61">
        <v>50</v>
      </c>
      <c r="BC119" s="61">
        <v>61</v>
      </c>
      <c r="BD119" s="86"/>
      <c r="BE119" s="86"/>
      <c r="BF119" s="61">
        <v>48</v>
      </c>
      <c r="BG119" s="89">
        <v>56</v>
      </c>
    </row>
    <row r="120" spans="9:59">
      <c r="I120" s="115">
        <f t="shared" si="2"/>
        <v>34</v>
      </c>
      <c r="J120" s="128"/>
      <c r="K120" s="128"/>
      <c r="L120" s="61">
        <v>78</v>
      </c>
      <c r="M120" s="61">
        <v>83</v>
      </c>
      <c r="N120" s="82"/>
      <c r="O120" s="82"/>
      <c r="P120" s="61">
        <v>79</v>
      </c>
      <c r="Q120" s="83">
        <v>82</v>
      </c>
      <c r="R120" s="128"/>
      <c r="S120" s="128"/>
      <c r="T120" s="61">
        <v>76</v>
      </c>
      <c r="U120" s="61">
        <v>83</v>
      </c>
      <c r="V120" s="128"/>
      <c r="W120" s="128"/>
      <c r="X120" s="61">
        <v>75</v>
      </c>
      <c r="Y120" s="83">
        <v>75</v>
      </c>
      <c r="Z120" s="81"/>
      <c r="AA120" s="82"/>
      <c r="AB120" s="61">
        <v>46</v>
      </c>
      <c r="AC120" s="61">
        <v>49</v>
      </c>
      <c r="AD120" s="82"/>
      <c r="AE120" s="82"/>
      <c r="AF120" s="61">
        <v>46</v>
      </c>
      <c r="AG120" s="83">
        <f t="shared" si="4"/>
        <v>48</v>
      </c>
      <c r="AI120" s="85">
        <f t="shared" si="3"/>
        <v>34</v>
      </c>
      <c r="AJ120" s="130"/>
      <c r="AK120" s="131"/>
      <c r="AL120" s="61">
        <v>99</v>
      </c>
      <c r="AM120" s="61" t="s">
        <v>70</v>
      </c>
      <c r="AN120" s="86"/>
      <c r="AO120" s="86"/>
      <c r="AP120" s="61" t="s">
        <v>70</v>
      </c>
      <c r="AQ120" s="61">
        <v>99</v>
      </c>
      <c r="AR120" s="130"/>
      <c r="AS120" s="131"/>
      <c r="AT120" s="61" t="s">
        <v>70</v>
      </c>
      <c r="AU120" s="61" t="s">
        <v>70</v>
      </c>
      <c r="AV120" s="131"/>
      <c r="AW120" s="131"/>
      <c r="AX120" s="61" t="s">
        <v>70</v>
      </c>
      <c r="AY120" s="89">
        <v>99</v>
      </c>
      <c r="AZ120" s="86"/>
      <c r="BA120" s="86"/>
      <c r="BB120" s="61">
        <v>47</v>
      </c>
      <c r="BC120" s="61">
        <v>59</v>
      </c>
      <c r="BD120" s="86"/>
      <c r="BE120" s="86"/>
      <c r="BF120" s="61">
        <v>43</v>
      </c>
      <c r="BG120" s="89">
        <v>52</v>
      </c>
    </row>
    <row r="121" spans="9:59">
      <c r="I121" s="115">
        <f t="shared" si="2"/>
        <v>33</v>
      </c>
      <c r="J121" s="128"/>
      <c r="K121" s="128"/>
      <c r="L121" s="61">
        <v>76</v>
      </c>
      <c r="M121" s="61">
        <v>81</v>
      </c>
      <c r="N121" s="82"/>
      <c r="O121" s="82"/>
      <c r="P121" s="61">
        <v>77</v>
      </c>
      <c r="Q121" s="83">
        <f>Q120-2</f>
        <v>80</v>
      </c>
      <c r="R121" s="128"/>
      <c r="S121" s="128"/>
      <c r="T121" s="61">
        <v>74</v>
      </c>
      <c r="U121" s="61">
        <v>81</v>
      </c>
      <c r="V121" s="128"/>
      <c r="W121" s="128"/>
      <c r="X121" s="61">
        <v>73</v>
      </c>
      <c r="Y121" s="83">
        <v>73</v>
      </c>
      <c r="Z121" s="81"/>
      <c r="AA121" s="82"/>
      <c r="AB121" s="61">
        <v>45</v>
      </c>
      <c r="AC121" s="61">
        <v>48</v>
      </c>
      <c r="AD121" s="82"/>
      <c r="AE121" s="82"/>
      <c r="AF121" s="61">
        <v>45</v>
      </c>
      <c r="AG121" s="83">
        <f t="shared" si="4"/>
        <v>47</v>
      </c>
      <c r="AI121" s="85">
        <f t="shared" si="3"/>
        <v>33</v>
      </c>
      <c r="AJ121" s="130"/>
      <c r="AK121" s="131"/>
      <c r="AL121" s="61">
        <v>99</v>
      </c>
      <c r="AM121" s="61" t="s">
        <v>70</v>
      </c>
      <c r="AN121" s="86"/>
      <c r="AO121" s="86"/>
      <c r="AP121" s="61">
        <v>99</v>
      </c>
      <c r="AQ121" s="61">
        <v>99</v>
      </c>
      <c r="AR121" s="130"/>
      <c r="AS121" s="131"/>
      <c r="AT121" s="61">
        <v>99</v>
      </c>
      <c r="AU121" s="61" t="s">
        <v>70</v>
      </c>
      <c r="AV121" s="131"/>
      <c r="AW121" s="131"/>
      <c r="AX121" s="61">
        <v>99</v>
      </c>
      <c r="AY121" s="89">
        <v>97</v>
      </c>
      <c r="AZ121" s="86"/>
      <c r="BA121" s="86"/>
      <c r="BB121" s="61">
        <v>44</v>
      </c>
      <c r="BC121" s="61">
        <v>56</v>
      </c>
      <c r="BD121" s="86"/>
      <c r="BE121" s="86"/>
      <c r="BF121" s="61">
        <v>40</v>
      </c>
      <c r="BG121" s="89">
        <v>50</v>
      </c>
    </row>
    <row r="122" spans="9:59">
      <c r="I122" s="115">
        <f t="shared" si="2"/>
        <v>32</v>
      </c>
      <c r="J122" s="128"/>
      <c r="K122" s="128"/>
      <c r="L122" s="61">
        <v>74</v>
      </c>
      <c r="M122" s="61">
        <v>79</v>
      </c>
      <c r="N122" s="82"/>
      <c r="O122" s="82"/>
      <c r="P122" s="61">
        <v>75</v>
      </c>
      <c r="Q122" s="83">
        <f t="shared" ref="Q122:Q141" si="5">Q121-2</f>
        <v>78</v>
      </c>
      <c r="R122" s="128"/>
      <c r="S122" s="128"/>
      <c r="T122" s="61">
        <v>72</v>
      </c>
      <c r="U122" s="61">
        <v>79</v>
      </c>
      <c r="V122" s="128"/>
      <c r="W122" s="128"/>
      <c r="X122" s="61">
        <v>71</v>
      </c>
      <c r="Y122" s="83">
        <v>71</v>
      </c>
      <c r="Z122" s="81"/>
      <c r="AA122" s="82"/>
      <c r="AB122" s="61">
        <v>44</v>
      </c>
      <c r="AC122" s="61">
        <v>47</v>
      </c>
      <c r="AD122" s="82"/>
      <c r="AE122" s="82"/>
      <c r="AF122" s="61">
        <v>44</v>
      </c>
      <c r="AG122" s="83">
        <f t="shared" si="4"/>
        <v>46</v>
      </c>
      <c r="AI122" s="85">
        <f t="shared" si="3"/>
        <v>32</v>
      </c>
      <c r="AJ122" s="130"/>
      <c r="AK122" s="131"/>
      <c r="AL122" s="61">
        <v>98</v>
      </c>
      <c r="AM122" s="61" t="s">
        <v>70</v>
      </c>
      <c r="AN122" s="86"/>
      <c r="AO122" s="86"/>
      <c r="AP122" s="61">
        <v>99</v>
      </c>
      <c r="AQ122" s="61">
        <v>98</v>
      </c>
      <c r="AR122" s="130"/>
      <c r="AS122" s="131"/>
      <c r="AT122" s="61">
        <v>97</v>
      </c>
      <c r="AU122" s="61" t="s">
        <v>70</v>
      </c>
      <c r="AV122" s="131"/>
      <c r="AW122" s="131"/>
      <c r="AX122" s="61">
        <v>99</v>
      </c>
      <c r="AY122" s="89">
        <v>97</v>
      </c>
      <c r="AZ122" s="86"/>
      <c r="BA122" s="86"/>
      <c r="BB122" s="61">
        <v>41</v>
      </c>
      <c r="BC122" s="61">
        <v>52</v>
      </c>
      <c r="BD122" s="86"/>
      <c r="BE122" s="86"/>
      <c r="BF122" s="61">
        <v>34</v>
      </c>
      <c r="BG122" s="89">
        <v>46</v>
      </c>
    </row>
    <row r="123" spans="9:59">
      <c r="I123" s="115">
        <f t="shared" si="2"/>
        <v>31</v>
      </c>
      <c r="J123" s="128"/>
      <c r="K123" s="128"/>
      <c r="L123" s="61">
        <v>72</v>
      </c>
      <c r="M123" s="61">
        <v>77</v>
      </c>
      <c r="N123" s="82"/>
      <c r="O123" s="82"/>
      <c r="P123" s="61">
        <v>73</v>
      </c>
      <c r="Q123" s="83">
        <f t="shared" si="5"/>
        <v>76</v>
      </c>
      <c r="R123" s="128"/>
      <c r="S123" s="128"/>
      <c r="T123" s="61">
        <v>70</v>
      </c>
      <c r="U123" s="61">
        <v>77</v>
      </c>
      <c r="V123" s="128"/>
      <c r="W123" s="128"/>
      <c r="X123" s="61">
        <v>69</v>
      </c>
      <c r="Y123" s="83">
        <v>69</v>
      </c>
      <c r="Z123" s="81"/>
      <c r="AA123" s="82"/>
      <c r="AB123" s="61">
        <v>43</v>
      </c>
      <c r="AC123" s="61">
        <v>46</v>
      </c>
      <c r="AD123" s="82"/>
      <c r="AE123" s="82"/>
      <c r="AF123" s="61">
        <v>43</v>
      </c>
      <c r="AG123" s="83">
        <f t="shared" si="4"/>
        <v>45</v>
      </c>
      <c r="AI123" s="85">
        <f t="shared" si="3"/>
        <v>31</v>
      </c>
      <c r="AJ123" s="130"/>
      <c r="AK123" s="131"/>
      <c r="AL123" s="61">
        <v>97</v>
      </c>
      <c r="AM123" s="61">
        <v>99</v>
      </c>
      <c r="AN123" s="86"/>
      <c r="AO123" s="86"/>
      <c r="AP123" s="61">
        <v>98</v>
      </c>
      <c r="AQ123" s="61">
        <v>98</v>
      </c>
      <c r="AR123" s="130"/>
      <c r="AS123" s="131"/>
      <c r="AT123" s="61">
        <v>95</v>
      </c>
      <c r="AU123" s="61">
        <v>99</v>
      </c>
      <c r="AV123" s="131"/>
      <c r="AW123" s="131"/>
      <c r="AX123" s="61">
        <v>98</v>
      </c>
      <c r="AY123" s="89">
        <v>95</v>
      </c>
      <c r="AZ123" s="86"/>
      <c r="BA123" s="86"/>
      <c r="BB123" s="61">
        <v>35</v>
      </c>
      <c r="BC123" s="61">
        <v>49</v>
      </c>
      <c r="BD123" s="86"/>
      <c r="BE123" s="86"/>
      <c r="BF123" s="61">
        <v>33</v>
      </c>
      <c r="BG123" s="89">
        <v>41</v>
      </c>
    </row>
    <row r="124" spans="9:59">
      <c r="I124" s="115">
        <f t="shared" si="2"/>
        <v>30</v>
      </c>
      <c r="J124" s="128"/>
      <c r="K124" s="128"/>
      <c r="L124" s="61">
        <v>70</v>
      </c>
      <c r="M124" s="61">
        <v>75</v>
      </c>
      <c r="N124" s="82"/>
      <c r="O124" s="82"/>
      <c r="P124" s="61">
        <v>71</v>
      </c>
      <c r="Q124" s="83">
        <f t="shared" si="5"/>
        <v>74</v>
      </c>
      <c r="R124" s="128"/>
      <c r="S124" s="128"/>
      <c r="T124" s="61">
        <v>68</v>
      </c>
      <c r="U124" s="61">
        <v>75</v>
      </c>
      <c r="V124" s="128"/>
      <c r="W124" s="128"/>
      <c r="X124" s="61">
        <v>67</v>
      </c>
      <c r="Y124" s="83">
        <v>67</v>
      </c>
      <c r="Z124" s="81"/>
      <c r="AA124" s="82"/>
      <c r="AB124" s="61">
        <v>42</v>
      </c>
      <c r="AC124" s="61">
        <v>45</v>
      </c>
      <c r="AD124" s="82"/>
      <c r="AE124" s="82"/>
      <c r="AF124" s="61">
        <v>42</v>
      </c>
      <c r="AG124" s="83">
        <f t="shared" si="4"/>
        <v>44</v>
      </c>
      <c r="AI124" s="85">
        <f t="shared" si="3"/>
        <v>30</v>
      </c>
      <c r="AJ124" s="130"/>
      <c r="AK124" s="131"/>
      <c r="AL124" s="61">
        <v>96</v>
      </c>
      <c r="AM124" s="61">
        <v>99</v>
      </c>
      <c r="AN124" s="86"/>
      <c r="AO124" s="86"/>
      <c r="AP124" s="61">
        <v>97</v>
      </c>
      <c r="AQ124" s="61">
        <v>97</v>
      </c>
      <c r="AR124" s="130"/>
      <c r="AS124" s="131"/>
      <c r="AT124" s="61">
        <v>95</v>
      </c>
      <c r="AU124" s="61">
        <v>99</v>
      </c>
      <c r="AV124" s="131"/>
      <c r="AW124" s="131"/>
      <c r="AX124" s="61">
        <v>97</v>
      </c>
      <c r="AY124" s="89">
        <v>94</v>
      </c>
      <c r="AZ124" s="86"/>
      <c r="BA124" s="86"/>
      <c r="BB124" s="61">
        <v>30</v>
      </c>
      <c r="BC124" s="61">
        <v>44</v>
      </c>
      <c r="BD124" s="86"/>
      <c r="BE124" s="86"/>
      <c r="BF124" s="61">
        <v>30</v>
      </c>
      <c r="BG124" s="89">
        <v>38</v>
      </c>
    </row>
    <row r="125" spans="9:59">
      <c r="I125" s="115">
        <f t="shared" si="2"/>
        <v>29</v>
      </c>
      <c r="J125" s="128"/>
      <c r="K125" s="128"/>
      <c r="L125" s="61">
        <v>68</v>
      </c>
      <c r="M125" s="61">
        <v>73</v>
      </c>
      <c r="N125" s="82"/>
      <c r="O125" s="82"/>
      <c r="P125" s="61">
        <v>69</v>
      </c>
      <c r="Q125" s="83">
        <f t="shared" si="5"/>
        <v>72</v>
      </c>
      <c r="R125" s="128"/>
      <c r="S125" s="128"/>
      <c r="T125" s="61">
        <v>66</v>
      </c>
      <c r="U125" s="61">
        <v>72</v>
      </c>
      <c r="V125" s="128"/>
      <c r="W125" s="128"/>
      <c r="X125" s="61">
        <v>66</v>
      </c>
      <c r="Y125" s="83">
        <v>66</v>
      </c>
      <c r="Z125" s="81"/>
      <c r="AA125" s="82"/>
      <c r="AB125" s="61">
        <v>41</v>
      </c>
      <c r="AC125" s="61">
        <v>44</v>
      </c>
      <c r="AD125" s="82"/>
      <c r="AE125" s="82"/>
      <c r="AF125" s="61">
        <v>41</v>
      </c>
      <c r="AG125" s="83">
        <f t="shared" si="4"/>
        <v>43</v>
      </c>
      <c r="AI125" s="85">
        <f t="shared" si="3"/>
        <v>29</v>
      </c>
      <c r="AJ125" s="130"/>
      <c r="AK125" s="131"/>
      <c r="AL125" s="61">
        <v>95</v>
      </c>
      <c r="AM125" s="61">
        <v>98</v>
      </c>
      <c r="AN125" s="86"/>
      <c r="AO125" s="86"/>
      <c r="AP125" s="61">
        <v>95</v>
      </c>
      <c r="AQ125" s="61">
        <v>97</v>
      </c>
      <c r="AR125" s="130"/>
      <c r="AS125" s="131"/>
      <c r="AT125" s="61">
        <v>94</v>
      </c>
      <c r="AU125" s="61">
        <v>99</v>
      </c>
      <c r="AV125" s="131"/>
      <c r="AW125" s="131"/>
      <c r="AX125" s="61">
        <v>97</v>
      </c>
      <c r="AY125" s="89">
        <v>92</v>
      </c>
      <c r="AZ125" s="86"/>
      <c r="BA125" s="86"/>
      <c r="BB125" s="61">
        <v>28</v>
      </c>
      <c r="BC125" s="61">
        <v>40</v>
      </c>
      <c r="BD125" s="86"/>
      <c r="BE125" s="86"/>
      <c r="BF125" s="61">
        <v>27</v>
      </c>
      <c r="BG125" s="89">
        <v>32</v>
      </c>
    </row>
    <row r="126" spans="9:59">
      <c r="I126" s="115">
        <f t="shared" si="2"/>
        <v>28</v>
      </c>
      <c r="J126" s="128"/>
      <c r="K126" s="128"/>
      <c r="L126" s="61">
        <v>66</v>
      </c>
      <c r="M126" s="61">
        <v>71</v>
      </c>
      <c r="N126" s="82"/>
      <c r="O126" s="82"/>
      <c r="P126" s="61">
        <v>67</v>
      </c>
      <c r="Q126" s="83">
        <f t="shared" si="5"/>
        <v>70</v>
      </c>
      <c r="R126" s="82"/>
      <c r="S126" s="82"/>
      <c r="T126" s="61">
        <v>65</v>
      </c>
      <c r="U126" s="61">
        <v>70</v>
      </c>
      <c r="V126" s="82"/>
      <c r="W126" s="82"/>
      <c r="X126" s="61">
        <v>64</v>
      </c>
      <c r="Y126" s="83">
        <v>64</v>
      </c>
      <c r="Z126" s="81"/>
      <c r="AA126" s="82"/>
      <c r="AB126" s="61">
        <v>41</v>
      </c>
      <c r="AC126" s="61">
        <v>43</v>
      </c>
      <c r="AD126" s="82"/>
      <c r="AE126" s="82"/>
      <c r="AF126" s="61">
        <v>40</v>
      </c>
      <c r="AG126" s="83">
        <f t="shared" si="4"/>
        <v>42</v>
      </c>
      <c r="AI126" s="85">
        <f t="shared" si="3"/>
        <v>28</v>
      </c>
      <c r="AJ126" s="130"/>
      <c r="AK126" s="131"/>
      <c r="AL126" s="61">
        <v>94</v>
      </c>
      <c r="AM126" s="61">
        <v>97</v>
      </c>
      <c r="AN126" s="86"/>
      <c r="AO126" s="86"/>
      <c r="AP126" s="61">
        <v>94</v>
      </c>
      <c r="AQ126" s="61">
        <v>96</v>
      </c>
      <c r="AR126" s="130"/>
      <c r="AS126" s="131"/>
      <c r="AT126" s="61">
        <v>91</v>
      </c>
      <c r="AU126" s="61">
        <v>96</v>
      </c>
      <c r="AV126" s="131"/>
      <c r="AW126" s="131"/>
      <c r="AX126" s="61">
        <v>91</v>
      </c>
      <c r="AY126" s="89">
        <v>91</v>
      </c>
      <c r="AZ126" s="86"/>
      <c r="BA126" s="86"/>
      <c r="BB126" s="61">
        <v>25</v>
      </c>
      <c r="BC126" s="61">
        <v>37</v>
      </c>
      <c r="BD126" s="86"/>
      <c r="BE126" s="86"/>
      <c r="BF126" s="61">
        <v>22</v>
      </c>
      <c r="BG126" s="89">
        <v>26</v>
      </c>
    </row>
    <row r="127" spans="9:59">
      <c r="I127" s="115">
        <f t="shared" si="2"/>
        <v>27</v>
      </c>
      <c r="J127" s="128"/>
      <c r="K127" s="128"/>
      <c r="L127" s="61">
        <v>64</v>
      </c>
      <c r="M127" s="61">
        <v>69</v>
      </c>
      <c r="N127" s="82"/>
      <c r="O127" s="82"/>
      <c r="P127" s="61">
        <v>65</v>
      </c>
      <c r="Q127" s="83">
        <f t="shared" si="5"/>
        <v>68</v>
      </c>
      <c r="R127" s="82"/>
      <c r="S127" s="82"/>
      <c r="T127" s="61">
        <v>63</v>
      </c>
      <c r="U127" s="61">
        <v>68</v>
      </c>
      <c r="V127" s="82"/>
      <c r="W127" s="82"/>
      <c r="X127" s="61">
        <v>62</v>
      </c>
      <c r="Y127" s="83">
        <v>62</v>
      </c>
      <c r="Z127" s="81"/>
      <c r="AA127" s="82"/>
      <c r="AB127" s="61">
        <v>40</v>
      </c>
      <c r="AC127" s="61">
        <v>42</v>
      </c>
      <c r="AD127" s="82"/>
      <c r="AE127" s="82"/>
      <c r="AF127" s="61">
        <v>39</v>
      </c>
      <c r="AG127" s="83">
        <f t="shared" si="4"/>
        <v>41</v>
      </c>
      <c r="AI127" s="85">
        <f t="shared" si="3"/>
        <v>27</v>
      </c>
      <c r="AJ127" s="130"/>
      <c r="AK127" s="131"/>
      <c r="AL127" s="61">
        <v>91</v>
      </c>
      <c r="AM127" s="61">
        <v>96</v>
      </c>
      <c r="AN127" s="86"/>
      <c r="AO127" s="86"/>
      <c r="AP127" s="61">
        <v>93</v>
      </c>
      <c r="AQ127" s="61">
        <v>96</v>
      </c>
      <c r="AR127" s="87"/>
      <c r="AS127" s="86"/>
      <c r="AT127" s="61">
        <v>87</v>
      </c>
      <c r="AU127" s="61">
        <v>94</v>
      </c>
      <c r="AV127" s="86"/>
      <c r="AW127" s="86"/>
      <c r="AX127" s="61">
        <v>88</v>
      </c>
      <c r="AY127" s="89">
        <v>89</v>
      </c>
      <c r="AZ127" s="86"/>
      <c r="BA127" s="86"/>
      <c r="BB127" s="61">
        <v>23</v>
      </c>
      <c r="BC127" s="61">
        <v>30</v>
      </c>
      <c r="BD127" s="86"/>
      <c r="BE127" s="86"/>
      <c r="BF127" s="61">
        <v>17</v>
      </c>
      <c r="BG127" s="89">
        <v>22</v>
      </c>
    </row>
    <row r="128" spans="9:59">
      <c r="I128" s="115">
        <f t="shared" si="2"/>
        <v>26</v>
      </c>
      <c r="J128" s="128"/>
      <c r="K128" s="128"/>
      <c r="L128" s="61">
        <v>62</v>
      </c>
      <c r="M128" s="61">
        <v>67</v>
      </c>
      <c r="N128" s="82"/>
      <c r="O128" s="82"/>
      <c r="P128" s="61">
        <v>63</v>
      </c>
      <c r="Q128" s="83">
        <f t="shared" si="5"/>
        <v>66</v>
      </c>
      <c r="R128" s="82"/>
      <c r="S128" s="82"/>
      <c r="T128" s="61">
        <v>61</v>
      </c>
      <c r="U128" s="61">
        <v>66</v>
      </c>
      <c r="V128" s="82"/>
      <c r="W128" s="82"/>
      <c r="X128" s="61">
        <v>60</v>
      </c>
      <c r="Y128" s="83">
        <v>60</v>
      </c>
      <c r="Z128" s="81"/>
      <c r="AA128" s="82"/>
      <c r="AB128" s="61">
        <v>39</v>
      </c>
      <c r="AC128" s="61">
        <v>41</v>
      </c>
      <c r="AD128" s="82"/>
      <c r="AE128" s="82"/>
      <c r="AF128" s="61">
        <v>38</v>
      </c>
      <c r="AG128" s="83">
        <v>39</v>
      </c>
      <c r="AI128" s="85">
        <f t="shared" si="3"/>
        <v>26</v>
      </c>
      <c r="AJ128" s="130"/>
      <c r="AK128" s="131"/>
      <c r="AL128" s="61">
        <v>90</v>
      </c>
      <c r="AM128" s="61">
        <v>93</v>
      </c>
      <c r="AN128" s="86"/>
      <c r="AO128" s="86"/>
      <c r="AP128" s="61">
        <v>92</v>
      </c>
      <c r="AQ128" s="61">
        <v>95</v>
      </c>
      <c r="AR128" s="87"/>
      <c r="AS128" s="86"/>
      <c r="AT128" s="61">
        <v>85</v>
      </c>
      <c r="AU128" s="61">
        <v>91</v>
      </c>
      <c r="AV128" s="86"/>
      <c r="AW128" s="86"/>
      <c r="AX128" s="61">
        <v>82</v>
      </c>
      <c r="AY128" s="89">
        <v>86</v>
      </c>
      <c r="AZ128" s="86"/>
      <c r="BA128" s="86"/>
      <c r="BB128" s="61">
        <v>13</v>
      </c>
      <c r="BC128" s="61">
        <v>25</v>
      </c>
      <c r="BD128" s="86"/>
      <c r="BE128" s="86"/>
      <c r="BF128" s="61">
        <v>13</v>
      </c>
      <c r="BG128" s="89">
        <v>16</v>
      </c>
    </row>
    <row r="129" spans="9:59">
      <c r="I129" s="115">
        <f t="shared" si="2"/>
        <v>25</v>
      </c>
      <c r="J129" s="128"/>
      <c r="K129" s="128"/>
      <c r="L129" s="61">
        <v>60</v>
      </c>
      <c r="M129" s="61">
        <v>65</v>
      </c>
      <c r="N129" s="82"/>
      <c r="O129" s="82"/>
      <c r="P129" s="61">
        <v>61</v>
      </c>
      <c r="Q129" s="83">
        <f t="shared" si="5"/>
        <v>64</v>
      </c>
      <c r="R129" s="82"/>
      <c r="S129" s="82"/>
      <c r="T129" s="61">
        <v>59</v>
      </c>
      <c r="U129" s="61">
        <v>64</v>
      </c>
      <c r="V129" s="82"/>
      <c r="W129" s="82"/>
      <c r="X129" s="61">
        <v>58</v>
      </c>
      <c r="Y129" s="83">
        <v>58</v>
      </c>
      <c r="Z129" s="81"/>
      <c r="AA129" s="82"/>
      <c r="AB129" s="61">
        <v>38</v>
      </c>
      <c r="AC129" s="61">
        <v>40</v>
      </c>
      <c r="AD129" s="82"/>
      <c r="AE129" s="82"/>
      <c r="AF129" s="61">
        <v>37</v>
      </c>
      <c r="AG129" s="83">
        <f t="shared" si="4"/>
        <v>38</v>
      </c>
      <c r="AI129" s="85">
        <f t="shared" si="3"/>
        <v>25</v>
      </c>
      <c r="AJ129" s="130"/>
      <c r="AK129" s="131"/>
      <c r="AL129" s="61">
        <v>87</v>
      </c>
      <c r="AM129" s="61">
        <v>89</v>
      </c>
      <c r="AN129" s="86"/>
      <c r="AO129" s="86"/>
      <c r="AP129" s="61">
        <v>86</v>
      </c>
      <c r="AQ129" s="61">
        <v>91</v>
      </c>
      <c r="AR129" s="87"/>
      <c r="AS129" s="86"/>
      <c r="AT129" s="61">
        <v>82</v>
      </c>
      <c r="AU129" s="61">
        <v>88</v>
      </c>
      <c r="AV129" s="86"/>
      <c r="AW129" s="86"/>
      <c r="AX129" s="61">
        <v>76</v>
      </c>
      <c r="AY129" s="89">
        <v>82</v>
      </c>
      <c r="AZ129" s="86"/>
      <c r="BA129" s="86"/>
      <c r="BB129" s="61">
        <v>10</v>
      </c>
      <c r="BC129" s="61">
        <v>17</v>
      </c>
      <c r="BD129" s="86"/>
      <c r="BE129" s="86"/>
      <c r="BF129" s="61">
        <v>8</v>
      </c>
      <c r="BG129" s="89">
        <v>12</v>
      </c>
    </row>
    <row r="130" spans="9:59">
      <c r="I130" s="115">
        <f t="shared" si="2"/>
        <v>24</v>
      </c>
      <c r="J130" s="128"/>
      <c r="K130" s="128"/>
      <c r="L130" s="61">
        <v>59</v>
      </c>
      <c r="M130" s="61">
        <v>63</v>
      </c>
      <c r="N130" s="82"/>
      <c r="O130" s="82"/>
      <c r="P130" s="61">
        <v>59</v>
      </c>
      <c r="Q130" s="83">
        <f t="shared" si="5"/>
        <v>62</v>
      </c>
      <c r="R130" s="82"/>
      <c r="S130" s="82"/>
      <c r="T130" s="61">
        <v>57</v>
      </c>
      <c r="U130" s="61">
        <v>62</v>
      </c>
      <c r="V130" s="82"/>
      <c r="W130" s="82"/>
      <c r="X130" s="61">
        <v>56</v>
      </c>
      <c r="Y130" s="83">
        <v>57</v>
      </c>
      <c r="Z130" s="81"/>
      <c r="AA130" s="82"/>
      <c r="AB130" s="82"/>
      <c r="AC130" s="82"/>
      <c r="AD130" s="82"/>
      <c r="AE130" s="82"/>
      <c r="AF130" s="82"/>
      <c r="AG130" s="84"/>
      <c r="AI130" s="85">
        <f t="shared" si="3"/>
        <v>24</v>
      </c>
      <c r="AJ130" s="130"/>
      <c r="AK130" s="131"/>
      <c r="AL130" s="61">
        <v>82</v>
      </c>
      <c r="AM130" s="61">
        <v>85</v>
      </c>
      <c r="AN130" s="86"/>
      <c r="AO130" s="86"/>
      <c r="AP130" s="61">
        <v>81</v>
      </c>
      <c r="AQ130" s="61">
        <v>89</v>
      </c>
      <c r="AR130" s="87"/>
      <c r="AS130" s="86"/>
      <c r="AT130" s="61">
        <v>78</v>
      </c>
      <c r="AU130" s="61">
        <v>87</v>
      </c>
      <c r="AV130" s="86"/>
      <c r="AW130" s="86"/>
      <c r="AX130" s="61">
        <v>71</v>
      </c>
      <c r="AY130" s="89">
        <v>78</v>
      </c>
      <c r="AZ130" s="86"/>
      <c r="BA130" s="86"/>
      <c r="BB130" s="86"/>
      <c r="BC130" s="86"/>
      <c r="BD130" s="86"/>
      <c r="BE130" s="86"/>
      <c r="BF130" s="86"/>
      <c r="BG130" s="88"/>
    </row>
    <row r="131" spans="9:59">
      <c r="I131" s="115">
        <f t="shared" si="2"/>
        <v>23</v>
      </c>
      <c r="J131" s="128"/>
      <c r="K131" s="128"/>
      <c r="L131" s="61">
        <v>57</v>
      </c>
      <c r="M131" s="61">
        <v>61</v>
      </c>
      <c r="N131" s="82"/>
      <c r="O131" s="82"/>
      <c r="P131" s="61">
        <v>57</v>
      </c>
      <c r="Q131" s="83">
        <v>59</v>
      </c>
      <c r="R131" s="82"/>
      <c r="S131" s="82"/>
      <c r="T131" s="61">
        <v>55</v>
      </c>
      <c r="U131" s="61">
        <v>60</v>
      </c>
      <c r="V131" s="82"/>
      <c r="W131" s="82"/>
      <c r="X131" s="61">
        <v>54</v>
      </c>
      <c r="Y131" s="83">
        <v>55</v>
      </c>
      <c r="Z131" s="81"/>
      <c r="AA131" s="82"/>
      <c r="AB131" s="82"/>
      <c r="AC131" s="82"/>
      <c r="AD131" s="82"/>
      <c r="AE131" s="82"/>
      <c r="AF131" s="82"/>
      <c r="AG131" s="84"/>
      <c r="AI131" s="85">
        <f t="shared" si="3"/>
        <v>23</v>
      </c>
      <c r="AJ131" s="130"/>
      <c r="AK131" s="131"/>
      <c r="AL131" s="61">
        <v>78</v>
      </c>
      <c r="AM131" s="61">
        <v>83</v>
      </c>
      <c r="AN131" s="86"/>
      <c r="AO131" s="86"/>
      <c r="AP131" s="61">
        <v>76</v>
      </c>
      <c r="AQ131" s="61">
        <v>86</v>
      </c>
      <c r="AR131" s="87"/>
      <c r="AS131" s="86"/>
      <c r="AT131" s="61">
        <v>74</v>
      </c>
      <c r="AU131" s="61">
        <v>84</v>
      </c>
      <c r="AV131" s="86"/>
      <c r="AW131" s="86"/>
      <c r="AX131" s="61">
        <v>69</v>
      </c>
      <c r="AY131" s="89">
        <v>72</v>
      </c>
      <c r="AZ131" s="86"/>
      <c r="BA131" s="86"/>
      <c r="BB131" s="86"/>
      <c r="BC131" s="86"/>
      <c r="BD131" s="86"/>
      <c r="BE131" s="86"/>
      <c r="BF131" s="86"/>
      <c r="BG131" s="88"/>
    </row>
    <row r="132" spans="9:59">
      <c r="I132" s="115">
        <f t="shared" si="2"/>
        <v>22</v>
      </c>
      <c r="J132" s="128"/>
      <c r="K132" s="128"/>
      <c r="L132" s="61">
        <v>55</v>
      </c>
      <c r="M132" s="61">
        <v>59</v>
      </c>
      <c r="N132" s="82"/>
      <c r="O132" s="82"/>
      <c r="P132" s="61">
        <v>55</v>
      </c>
      <c r="Q132" s="83">
        <f t="shared" si="5"/>
        <v>57</v>
      </c>
      <c r="R132" s="82"/>
      <c r="S132" s="82"/>
      <c r="T132" s="61">
        <v>54</v>
      </c>
      <c r="U132" s="61">
        <v>57</v>
      </c>
      <c r="V132" s="82"/>
      <c r="W132" s="82"/>
      <c r="X132" s="61">
        <v>52</v>
      </c>
      <c r="Y132" s="83">
        <v>53</v>
      </c>
      <c r="Z132" s="81"/>
      <c r="AA132" s="82"/>
      <c r="AB132" s="82"/>
      <c r="AC132" s="82"/>
      <c r="AD132" s="82"/>
      <c r="AE132" s="82"/>
      <c r="AF132" s="82"/>
      <c r="AG132" s="84"/>
      <c r="AI132" s="85">
        <f t="shared" si="3"/>
        <v>22</v>
      </c>
      <c r="AJ132" s="130"/>
      <c r="AK132" s="131"/>
      <c r="AL132" s="61">
        <v>72</v>
      </c>
      <c r="AM132" s="61">
        <v>81</v>
      </c>
      <c r="AN132" s="86"/>
      <c r="AO132" s="86"/>
      <c r="AP132" s="61">
        <v>72</v>
      </c>
      <c r="AQ132" s="61">
        <v>80</v>
      </c>
      <c r="AR132" s="87"/>
      <c r="AS132" s="86"/>
      <c r="AT132" s="61">
        <v>71</v>
      </c>
      <c r="AU132" s="61">
        <v>78</v>
      </c>
      <c r="AV132" s="86"/>
      <c r="AW132" s="86"/>
      <c r="AX132" s="61">
        <v>62</v>
      </c>
      <c r="AY132" s="89">
        <v>69</v>
      </c>
      <c r="AZ132" s="86"/>
      <c r="BA132" s="86"/>
      <c r="BB132" s="86"/>
      <c r="BC132" s="86"/>
      <c r="BD132" s="86"/>
      <c r="BE132" s="86"/>
      <c r="BF132" s="86"/>
      <c r="BG132" s="88"/>
    </row>
    <row r="133" spans="9:59">
      <c r="I133" s="115">
        <f t="shared" si="2"/>
        <v>21</v>
      </c>
      <c r="J133" s="128"/>
      <c r="K133" s="128"/>
      <c r="L133" s="61">
        <v>53</v>
      </c>
      <c r="M133" s="61">
        <v>56</v>
      </c>
      <c r="N133" s="82"/>
      <c r="O133" s="82"/>
      <c r="P133" s="61">
        <v>53</v>
      </c>
      <c r="Q133" s="83">
        <f t="shared" si="5"/>
        <v>55</v>
      </c>
      <c r="R133" s="82"/>
      <c r="S133" s="82"/>
      <c r="T133" s="61">
        <v>52</v>
      </c>
      <c r="U133" s="61">
        <v>55</v>
      </c>
      <c r="V133" s="82"/>
      <c r="W133" s="82"/>
      <c r="X133" s="61">
        <v>50</v>
      </c>
      <c r="Y133" s="83">
        <v>51</v>
      </c>
      <c r="Z133" s="81"/>
      <c r="AA133" s="82"/>
      <c r="AB133" s="82"/>
      <c r="AC133" s="82"/>
      <c r="AD133" s="82"/>
      <c r="AE133" s="82"/>
      <c r="AF133" s="82"/>
      <c r="AG133" s="84"/>
      <c r="AI133" s="85">
        <f t="shared" si="3"/>
        <v>21</v>
      </c>
      <c r="AJ133" s="130"/>
      <c r="AK133" s="131"/>
      <c r="AL133" s="61">
        <v>68</v>
      </c>
      <c r="AM133" s="61">
        <v>78</v>
      </c>
      <c r="AN133" s="86"/>
      <c r="AO133" s="86"/>
      <c r="AP133" s="61">
        <v>68</v>
      </c>
      <c r="AQ133" s="61">
        <v>75</v>
      </c>
      <c r="AR133" s="87"/>
      <c r="AS133" s="86"/>
      <c r="AT133" s="61">
        <v>68</v>
      </c>
      <c r="AU133" s="61">
        <v>74</v>
      </c>
      <c r="AV133" s="86"/>
      <c r="AW133" s="86"/>
      <c r="AX133" s="61">
        <v>53</v>
      </c>
      <c r="AY133" s="89">
        <v>63</v>
      </c>
      <c r="AZ133" s="86"/>
      <c r="BA133" s="86"/>
      <c r="BB133" s="86"/>
      <c r="BC133" s="86"/>
      <c r="BD133" s="86"/>
      <c r="BE133" s="86"/>
      <c r="BF133" s="86"/>
      <c r="BG133" s="88"/>
    </row>
    <row r="134" spans="9:59">
      <c r="I134" s="115">
        <f t="shared" si="2"/>
        <v>20</v>
      </c>
      <c r="J134" s="128"/>
      <c r="K134" s="128"/>
      <c r="L134" s="61">
        <v>51</v>
      </c>
      <c r="M134" s="61">
        <v>54</v>
      </c>
      <c r="N134" s="82"/>
      <c r="O134" s="82"/>
      <c r="P134" s="61">
        <v>51</v>
      </c>
      <c r="Q134" s="83">
        <f t="shared" si="5"/>
        <v>53</v>
      </c>
      <c r="R134" s="82"/>
      <c r="S134" s="82"/>
      <c r="T134" s="61">
        <v>50</v>
      </c>
      <c r="U134" s="61">
        <v>53</v>
      </c>
      <c r="V134" s="82"/>
      <c r="W134" s="82"/>
      <c r="X134" s="61">
        <v>48</v>
      </c>
      <c r="Y134" s="83">
        <v>49</v>
      </c>
      <c r="Z134" s="81"/>
      <c r="AA134" s="82"/>
      <c r="AB134" s="82"/>
      <c r="AC134" s="82"/>
      <c r="AD134" s="82"/>
      <c r="AE134" s="82"/>
      <c r="AF134" s="82"/>
      <c r="AG134" s="84"/>
      <c r="AI134" s="85">
        <f t="shared" si="3"/>
        <v>20</v>
      </c>
      <c r="AJ134" s="130"/>
      <c r="AK134" s="131"/>
      <c r="AL134" s="61">
        <v>60</v>
      </c>
      <c r="AM134" s="61">
        <v>73</v>
      </c>
      <c r="AN134" s="86"/>
      <c r="AO134" s="86"/>
      <c r="AP134" s="61">
        <v>63</v>
      </c>
      <c r="AQ134" s="61">
        <v>68</v>
      </c>
      <c r="AR134" s="87"/>
      <c r="AS134" s="86"/>
      <c r="AT134" s="61">
        <v>59</v>
      </c>
      <c r="AU134" s="61">
        <v>68</v>
      </c>
      <c r="AV134" s="86"/>
      <c r="AW134" s="86"/>
      <c r="AX134" s="61">
        <v>48</v>
      </c>
      <c r="AY134" s="89">
        <v>57</v>
      </c>
      <c r="AZ134" s="86"/>
      <c r="BA134" s="86"/>
      <c r="BB134" s="86"/>
      <c r="BC134" s="86"/>
      <c r="BD134" s="86"/>
      <c r="BE134" s="86"/>
      <c r="BF134" s="86"/>
      <c r="BG134" s="88"/>
    </row>
    <row r="135" spans="9:59">
      <c r="I135" s="115">
        <f t="shared" si="2"/>
        <v>19</v>
      </c>
      <c r="J135" s="128"/>
      <c r="K135" s="128"/>
      <c r="L135" s="61">
        <v>49</v>
      </c>
      <c r="M135" s="61">
        <v>52</v>
      </c>
      <c r="N135" s="82"/>
      <c r="O135" s="82"/>
      <c r="P135" s="61">
        <v>49</v>
      </c>
      <c r="Q135" s="83">
        <f t="shared" si="5"/>
        <v>51</v>
      </c>
      <c r="R135" s="82"/>
      <c r="S135" s="82"/>
      <c r="T135" s="61">
        <v>48</v>
      </c>
      <c r="U135" s="61">
        <v>51</v>
      </c>
      <c r="V135" s="82"/>
      <c r="W135" s="82"/>
      <c r="X135" s="61">
        <v>46</v>
      </c>
      <c r="Y135" s="83">
        <v>47</v>
      </c>
      <c r="Z135" s="81"/>
      <c r="AA135" s="82"/>
      <c r="AB135" s="82"/>
      <c r="AC135" s="82"/>
      <c r="AD135" s="82"/>
      <c r="AE135" s="82"/>
      <c r="AF135" s="82"/>
      <c r="AG135" s="84"/>
      <c r="AI135" s="85">
        <f t="shared" si="3"/>
        <v>19</v>
      </c>
      <c r="AJ135" s="130"/>
      <c r="AK135" s="131"/>
      <c r="AL135" s="61">
        <v>55</v>
      </c>
      <c r="AM135" s="61">
        <v>71</v>
      </c>
      <c r="AN135" s="86"/>
      <c r="AO135" s="86"/>
      <c r="AP135" s="61">
        <v>57</v>
      </c>
      <c r="AQ135" s="61">
        <v>63</v>
      </c>
      <c r="AR135" s="87"/>
      <c r="AS135" s="86"/>
      <c r="AT135" s="61">
        <v>54</v>
      </c>
      <c r="AU135" s="61">
        <v>64</v>
      </c>
      <c r="AV135" s="86"/>
      <c r="AW135" s="86"/>
      <c r="AX135" s="61">
        <v>44</v>
      </c>
      <c r="AY135" s="89">
        <v>51</v>
      </c>
      <c r="AZ135" s="86"/>
      <c r="BA135" s="86"/>
      <c r="BB135" s="86"/>
      <c r="BC135" s="86"/>
      <c r="BD135" s="86"/>
      <c r="BE135" s="86"/>
      <c r="BF135" s="86"/>
      <c r="BG135" s="88"/>
    </row>
    <row r="136" spans="9:59">
      <c r="I136" s="115">
        <f t="shared" si="2"/>
        <v>18</v>
      </c>
      <c r="J136" s="128"/>
      <c r="K136" s="128"/>
      <c r="L136" s="61">
        <v>47</v>
      </c>
      <c r="M136" s="61">
        <v>50</v>
      </c>
      <c r="N136" s="82"/>
      <c r="O136" s="82"/>
      <c r="P136" s="61">
        <v>47</v>
      </c>
      <c r="Q136" s="83">
        <f t="shared" si="5"/>
        <v>49</v>
      </c>
      <c r="R136" s="82"/>
      <c r="S136" s="82"/>
      <c r="T136" s="61">
        <v>46</v>
      </c>
      <c r="U136" s="61">
        <v>49</v>
      </c>
      <c r="V136" s="82"/>
      <c r="W136" s="82"/>
      <c r="X136" s="61">
        <v>44</v>
      </c>
      <c r="Y136" s="83">
        <v>46</v>
      </c>
      <c r="Z136" s="81"/>
      <c r="AA136" s="82"/>
      <c r="AB136" s="82"/>
      <c r="AC136" s="82"/>
      <c r="AD136" s="82"/>
      <c r="AE136" s="82"/>
      <c r="AF136" s="82"/>
      <c r="AG136" s="84"/>
      <c r="AI136" s="85">
        <f t="shared" si="3"/>
        <v>18</v>
      </c>
      <c r="AJ136" s="130"/>
      <c r="AK136" s="131"/>
      <c r="AL136" s="61">
        <v>47</v>
      </c>
      <c r="AM136" s="61">
        <v>67</v>
      </c>
      <c r="AN136" s="86"/>
      <c r="AO136" s="86"/>
      <c r="AP136" s="61">
        <v>49</v>
      </c>
      <c r="AQ136" s="61">
        <v>57</v>
      </c>
      <c r="AR136" s="87"/>
      <c r="AS136" s="86"/>
      <c r="AT136" s="61">
        <v>49</v>
      </c>
      <c r="AU136" s="61">
        <v>59</v>
      </c>
      <c r="AV136" s="86"/>
      <c r="AW136" s="86"/>
      <c r="AX136" s="61">
        <v>37</v>
      </c>
      <c r="AY136" s="89">
        <v>41</v>
      </c>
      <c r="AZ136" s="86"/>
      <c r="BA136" s="86"/>
      <c r="BB136" s="86"/>
      <c r="BC136" s="86"/>
      <c r="BD136" s="86"/>
      <c r="BE136" s="86"/>
      <c r="BF136" s="86"/>
      <c r="BG136" s="88"/>
    </row>
    <row r="137" spans="9:59">
      <c r="I137" s="115">
        <f t="shared" si="2"/>
        <v>17</v>
      </c>
      <c r="J137" s="128"/>
      <c r="K137" s="128"/>
      <c r="L137" s="61">
        <v>45</v>
      </c>
      <c r="M137" s="61">
        <v>48</v>
      </c>
      <c r="N137" s="82"/>
      <c r="O137" s="82"/>
      <c r="P137" s="61">
        <v>45</v>
      </c>
      <c r="Q137" s="83">
        <f t="shared" si="5"/>
        <v>47</v>
      </c>
      <c r="R137" s="82"/>
      <c r="S137" s="82"/>
      <c r="T137" s="61">
        <v>44</v>
      </c>
      <c r="U137" s="61">
        <v>47</v>
      </c>
      <c r="V137" s="82"/>
      <c r="W137" s="82"/>
      <c r="X137" s="61">
        <v>42</v>
      </c>
      <c r="Y137" s="83">
        <v>44</v>
      </c>
      <c r="Z137" s="81"/>
      <c r="AA137" s="82"/>
      <c r="AB137" s="82"/>
      <c r="AC137" s="82"/>
      <c r="AD137" s="82"/>
      <c r="AE137" s="82"/>
      <c r="AF137" s="82"/>
      <c r="AG137" s="84"/>
      <c r="AI137" s="85">
        <f t="shared" si="3"/>
        <v>17</v>
      </c>
      <c r="AJ137" s="130"/>
      <c r="AK137" s="131"/>
      <c r="AL137" s="61">
        <v>43</v>
      </c>
      <c r="AM137" s="61">
        <v>61</v>
      </c>
      <c r="AN137" s="86"/>
      <c r="AO137" s="86"/>
      <c r="AP137" s="61">
        <v>43</v>
      </c>
      <c r="AQ137" s="61">
        <v>52</v>
      </c>
      <c r="AR137" s="87"/>
      <c r="AS137" s="86"/>
      <c r="AT137" s="61">
        <v>41</v>
      </c>
      <c r="AU137" s="61">
        <v>54</v>
      </c>
      <c r="AV137" s="86"/>
      <c r="AW137" s="86"/>
      <c r="AX137" s="61">
        <v>31</v>
      </c>
      <c r="AY137" s="89">
        <v>39</v>
      </c>
      <c r="AZ137" s="86"/>
      <c r="BA137" s="86"/>
      <c r="BB137" s="86"/>
      <c r="BC137" s="86"/>
      <c r="BD137" s="86"/>
      <c r="BE137" s="86"/>
      <c r="BF137" s="86"/>
      <c r="BG137" s="88"/>
    </row>
    <row r="138" spans="9:59">
      <c r="I138" s="115">
        <f t="shared" si="2"/>
        <v>16</v>
      </c>
      <c r="J138" s="128"/>
      <c r="K138" s="128"/>
      <c r="L138" s="61">
        <v>43</v>
      </c>
      <c r="M138" s="61">
        <v>46</v>
      </c>
      <c r="N138" s="82"/>
      <c r="O138" s="82"/>
      <c r="P138" s="61">
        <v>43</v>
      </c>
      <c r="Q138" s="83">
        <f t="shared" si="5"/>
        <v>45</v>
      </c>
      <c r="R138" s="82"/>
      <c r="S138" s="82"/>
      <c r="T138" s="61">
        <v>43</v>
      </c>
      <c r="U138" s="61">
        <v>45</v>
      </c>
      <c r="V138" s="82"/>
      <c r="W138" s="82"/>
      <c r="X138" s="61">
        <v>40</v>
      </c>
      <c r="Y138" s="83">
        <v>42</v>
      </c>
      <c r="Z138" s="81"/>
      <c r="AA138" s="82"/>
      <c r="AB138" s="82"/>
      <c r="AC138" s="82"/>
      <c r="AD138" s="82"/>
      <c r="AE138" s="82"/>
      <c r="AF138" s="82"/>
      <c r="AG138" s="84"/>
      <c r="AI138" s="85">
        <f t="shared" si="3"/>
        <v>16</v>
      </c>
      <c r="AJ138" s="130"/>
      <c r="AK138" s="131"/>
      <c r="AL138" s="61">
        <v>35</v>
      </c>
      <c r="AM138" s="61">
        <v>52</v>
      </c>
      <c r="AN138" s="86"/>
      <c r="AO138" s="86"/>
      <c r="AP138" s="61">
        <v>33</v>
      </c>
      <c r="AQ138" s="61">
        <v>46</v>
      </c>
      <c r="AR138" s="87"/>
      <c r="AS138" s="86"/>
      <c r="AT138" s="61">
        <v>37</v>
      </c>
      <c r="AU138" s="61">
        <v>49</v>
      </c>
      <c r="AV138" s="86"/>
      <c r="AW138" s="86"/>
      <c r="AX138" s="61">
        <v>27</v>
      </c>
      <c r="AY138" s="89">
        <v>33</v>
      </c>
      <c r="AZ138" s="86"/>
      <c r="BA138" s="86"/>
      <c r="BB138" s="86"/>
      <c r="BC138" s="86"/>
      <c r="BD138" s="86"/>
      <c r="BE138" s="86"/>
      <c r="BF138" s="86"/>
      <c r="BG138" s="88"/>
    </row>
    <row r="139" spans="9:59">
      <c r="I139" s="115">
        <f t="shared" si="2"/>
        <v>15</v>
      </c>
      <c r="J139" s="82"/>
      <c r="K139" s="82"/>
      <c r="L139" s="61">
        <v>41</v>
      </c>
      <c r="M139" s="61">
        <v>44</v>
      </c>
      <c r="N139" s="82"/>
      <c r="O139" s="82"/>
      <c r="P139" s="61">
        <v>41</v>
      </c>
      <c r="Q139" s="83">
        <f t="shared" si="5"/>
        <v>43</v>
      </c>
      <c r="R139" s="82"/>
      <c r="S139" s="82"/>
      <c r="T139" s="61">
        <v>41</v>
      </c>
      <c r="U139" s="61">
        <v>43</v>
      </c>
      <c r="V139" s="82"/>
      <c r="W139" s="82"/>
      <c r="X139" s="61">
        <v>38</v>
      </c>
      <c r="Y139" s="83">
        <v>40</v>
      </c>
      <c r="Z139" s="81"/>
      <c r="AA139" s="82"/>
      <c r="AB139" s="82"/>
      <c r="AC139" s="82"/>
      <c r="AD139" s="82"/>
      <c r="AE139" s="82"/>
      <c r="AF139" s="82"/>
      <c r="AG139" s="84"/>
      <c r="AI139" s="85">
        <f t="shared" si="3"/>
        <v>15</v>
      </c>
      <c r="AJ139" s="87"/>
      <c r="AK139" s="86"/>
      <c r="AL139" s="61">
        <v>30</v>
      </c>
      <c r="AM139" s="61">
        <v>44</v>
      </c>
      <c r="AN139" s="86"/>
      <c r="AO139" s="86"/>
      <c r="AP139" s="61">
        <v>28</v>
      </c>
      <c r="AQ139" s="61">
        <v>37</v>
      </c>
      <c r="AR139" s="87"/>
      <c r="AS139" s="86"/>
      <c r="AT139" s="61">
        <v>28</v>
      </c>
      <c r="AU139" s="61">
        <v>41</v>
      </c>
      <c r="AV139" s="86"/>
      <c r="AW139" s="86"/>
      <c r="AX139" s="61">
        <v>24</v>
      </c>
      <c r="AY139" s="89">
        <v>24</v>
      </c>
      <c r="AZ139" s="86"/>
      <c r="BA139" s="86"/>
      <c r="BB139" s="86"/>
      <c r="BC139" s="86"/>
      <c r="BD139" s="86"/>
      <c r="BE139" s="86"/>
      <c r="BF139" s="86"/>
      <c r="BG139" s="88"/>
    </row>
    <row r="140" spans="9:59">
      <c r="I140" s="115">
        <f t="shared" si="2"/>
        <v>14</v>
      </c>
      <c r="J140" s="82"/>
      <c r="K140" s="82"/>
      <c r="L140" s="61">
        <v>40</v>
      </c>
      <c r="M140" s="61">
        <v>42</v>
      </c>
      <c r="N140" s="82"/>
      <c r="O140" s="82"/>
      <c r="P140" s="61">
        <v>39</v>
      </c>
      <c r="Q140" s="83">
        <f t="shared" si="5"/>
        <v>41</v>
      </c>
      <c r="R140" s="82"/>
      <c r="S140" s="82"/>
      <c r="T140" s="61">
        <v>39</v>
      </c>
      <c r="U140" s="61">
        <v>40</v>
      </c>
      <c r="V140" s="82"/>
      <c r="W140" s="82"/>
      <c r="X140" s="61">
        <v>36</v>
      </c>
      <c r="Y140" s="83">
        <v>38</v>
      </c>
      <c r="Z140" s="81"/>
      <c r="AA140" s="82"/>
      <c r="AB140" s="82"/>
      <c r="AC140" s="82"/>
      <c r="AD140" s="82"/>
      <c r="AE140" s="82"/>
      <c r="AF140" s="82"/>
      <c r="AG140" s="84"/>
      <c r="AI140" s="85">
        <f t="shared" si="3"/>
        <v>14</v>
      </c>
      <c r="AJ140" s="87"/>
      <c r="AK140" s="86"/>
      <c r="AL140" s="61">
        <v>22</v>
      </c>
      <c r="AM140" s="61">
        <v>31</v>
      </c>
      <c r="AN140" s="86"/>
      <c r="AO140" s="86"/>
      <c r="AP140" s="61">
        <v>16</v>
      </c>
      <c r="AQ140" s="61">
        <v>26</v>
      </c>
      <c r="AR140" s="87"/>
      <c r="AS140" s="86"/>
      <c r="AT140" s="61">
        <v>16</v>
      </c>
      <c r="AU140" s="61">
        <v>27</v>
      </c>
      <c r="AV140" s="86"/>
      <c r="AW140" s="86"/>
      <c r="AX140" s="61">
        <v>11</v>
      </c>
      <c r="AY140" s="89">
        <v>16</v>
      </c>
      <c r="AZ140" s="86"/>
      <c r="BA140" s="86"/>
      <c r="BB140" s="86"/>
      <c r="BC140" s="86"/>
      <c r="BD140" s="86"/>
      <c r="BE140" s="86"/>
      <c r="BF140" s="86"/>
      <c r="BG140" s="88"/>
    </row>
    <row r="141" spans="9:59" ht="15.75" thickBot="1">
      <c r="I141" s="123">
        <f>I140-1</f>
        <v>13</v>
      </c>
      <c r="J141" s="124"/>
      <c r="K141" s="124"/>
      <c r="L141" s="125">
        <v>38</v>
      </c>
      <c r="M141" s="125">
        <v>40</v>
      </c>
      <c r="N141" s="124"/>
      <c r="O141" s="124"/>
      <c r="P141" s="125">
        <v>37</v>
      </c>
      <c r="Q141" s="83">
        <f t="shared" si="5"/>
        <v>39</v>
      </c>
      <c r="R141" s="124"/>
      <c r="S141" s="124"/>
      <c r="T141" s="124"/>
      <c r="U141" s="124"/>
      <c r="V141" s="124"/>
      <c r="W141" s="124"/>
      <c r="X141" s="124"/>
      <c r="Y141" s="133"/>
      <c r="Z141" s="134"/>
      <c r="AA141" s="134"/>
      <c r="AB141" s="134"/>
      <c r="AC141" s="134"/>
      <c r="AD141" s="134"/>
      <c r="AE141" s="134"/>
      <c r="AF141" s="134"/>
      <c r="AG141" s="135"/>
      <c r="AI141" s="102">
        <f>AI140-1</f>
        <v>13</v>
      </c>
      <c r="AJ141" s="104"/>
      <c r="AK141" s="103"/>
      <c r="AL141" s="105">
        <v>10</v>
      </c>
      <c r="AM141" s="105">
        <v>18</v>
      </c>
      <c r="AN141" s="103"/>
      <c r="AO141" s="103"/>
      <c r="AP141" s="105">
        <v>8</v>
      </c>
      <c r="AQ141" s="105">
        <v>14</v>
      </c>
      <c r="AR141" s="136"/>
      <c r="AS141" s="137"/>
      <c r="AT141" s="137"/>
      <c r="AU141" s="137"/>
      <c r="AV141" s="137"/>
      <c r="AW141" s="137"/>
      <c r="AX141" s="137"/>
      <c r="AY141" s="138"/>
      <c r="AZ141" s="137"/>
      <c r="BA141" s="137"/>
      <c r="BB141" s="137"/>
      <c r="BC141" s="137"/>
      <c r="BD141" s="137"/>
      <c r="BE141" s="137"/>
      <c r="BF141" s="137"/>
      <c r="BG141" s="138"/>
    </row>
    <row r="142" spans="9:59" ht="16.5" thickTop="1" thickBot="1">
      <c r="I142" s="109" t="s">
        <v>78</v>
      </c>
      <c r="J142" s="110"/>
      <c r="K142" s="110"/>
      <c r="L142" s="110">
        <v>5</v>
      </c>
      <c r="M142" s="110">
        <v>5</v>
      </c>
      <c r="N142" s="110"/>
      <c r="O142" s="110"/>
      <c r="P142" s="110">
        <v>6</v>
      </c>
      <c r="Q142" s="110">
        <v>6</v>
      </c>
      <c r="R142" s="110"/>
      <c r="S142" s="110"/>
      <c r="T142" s="110">
        <v>5</v>
      </c>
      <c r="U142" s="110">
        <v>5</v>
      </c>
      <c r="V142" s="110"/>
      <c r="W142" s="110"/>
      <c r="X142" s="110">
        <v>6</v>
      </c>
      <c r="Y142" s="110">
        <v>5</v>
      </c>
      <c r="Z142" s="139"/>
      <c r="AA142" s="139"/>
      <c r="AB142" s="139">
        <v>4</v>
      </c>
      <c r="AC142" s="139">
        <v>3</v>
      </c>
      <c r="AD142" s="139"/>
      <c r="AE142" s="139"/>
      <c r="AF142" s="139">
        <v>4</v>
      </c>
      <c r="AG142" s="140">
        <v>4</v>
      </c>
      <c r="AI142" s="61"/>
    </row>
    <row r="143" spans="9:59" ht="15.75" thickTop="1">
      <c r="I143" s="113"/>
      <c r="J143" s="276" t="s">
        <v>94</v>
      </c>
      <c r="K143" s="276"/>
      <c r="L143" s="276"/>
      <c r="M143" s="276"/>
      <c r="N143" s="276"/>
      <c r="O143" s="276"/>
      <c r="P143" s="276"/>
      <c r="Q143" s="277"/>
      <c r="AI143" s="63"/>
      <c r="AJ143" s="267" t="s">
        <v>94</v>
      </c>
      <c r="AK143" s="267"/>
      <c r="AL143" s="267"/>
      <c r="AM143" s="267"/>
      <c r="AN143" s="267"/>
      <c r="AO143" s="267"/>
      <c r="AP143" s="267"/>
      <c r="AQ143" s="268"/>
    </row>
    <row r="144" spans="9:59">
      <c r="I144" s="113"/>
      <c r="J144" s="269" t="s">
        <v>8</v>
      </c>
      <c r="K144" s="269"/>
      <c r="L144" s="269"/>
      <c r="M144" s="269"/>
      <c r="N144" s="269" t="s">
        <v>61</v>
      </c>
      <c r="O144" s="269"/>
      <c r="P144" s="269"/>
      <c r="Q144" s="275"/>
      <c r="AI144" s="65"/>
      <c r="AJ144" s="269" t="s">
        <v>8</v>
      </c>
      <c r="AK144" s="269"/>
      <c r="AL144" s="269"/>
      <c r="AM144" s="269"/>
      <c r="AN144" s="269" t="s">
        <v>61</v>
      </c>
      <c r="AO144" s="269"/>
      <c r="AP144" s="269"/>
      <c r="AQ144" s="270"/>
    </row>
    <row r="145" spans="9:43">
      <c r="I145" s="114" t="s">
        <v>66</v>
      </c>
      <c r="J145" s="70" t="s">
        <v>4</v>
      </c>
      <c r="K145" s="70" t="s">
        <v>67</v>
      </c>
      <c r="L145" s="70" t="s">
        <v>68</v>
      </c>
      <c r="M145" s="70" t="s">
        <v>51</v>
      </c>
      <c r="N145" s="70" t="s">
        <v>4</v>
      </c>
      <c r="O145" s="70" t="s">
        <v>67</v>
      </c>
      <c r="P145" s="70" t="s">
        <v>68</v>
      </c>
      <c r="Q145" s="71" t="s">
        <v>51</v>
      </c>
      <c r="AI145" s="72" t="s">
        <v>66</v>
      </c>
      <c r="AJ145" s="70" t="s">
        <v>4</v>
      </c>
      <c r="AK145" s="70" t="s">
        <v>67</v>
      </c>
      <c r="AL145" s="70" t="s">
        <v>68</v>
      </c>
      <c r="AM145" s="70" t="s">
        <v>51</v>
      </c>
      <c r="AN145" s="70" t="s">
        <v>4</v>
      </c>
      <c r="AO145" s="70" t="s">
        <v>67</v>
      </c>
      <c r="AP145" s="70" t="s">
        <v>68</v>
      </c>
      <c r="AQ145" s="74" t="s">
        <v>51</v>
      </c>
    </row>
    <row r="146" spans="9:43">
      <c r="I146" s="115">
        <v>156</v>
      </c>
      <c r="J146" s="82"/>
      <c r="K146" s="82"/>
      <c r="L146" s="61">
        <v>88</v>
      </c>
      <c r="M146" s="61" t="s">
        <v>69</v>
      </c>
      <c r="N146" s="82"/>
      <c r="O146" s="82"/>
      <c r="P146" s="61" t="s">
        <v>69</v>
      </c>
      <c r="Q146" s="83" t="s">
        <v>69</v>
      </c>
      <c r="AI146" s="85">
        <v>156</v>
      </c>
      <c r="AJ146" s="86"/>
      <c r="AK146" s="86"/>
      <c r="AL146" s="61" t="s">
        <v>70</v>
      </c>
      <c r="AM146" s="61" t="s">
        <v>70</v>
      </c>
      <c r="AN146" s="86"/>
      <c r="AO146" s="86"/>
      <c r="AP146" s="61" t="s">
        <v>70</v>
      </c>
      <c r="AQ146" s="89" t="s">
        <v>70</v>
      </c>
    </row>
    <row r="147" spans="9:43">
      <c r="I147" s="115">
        <f>I146-1</f>
        <v>155</v>
      </c>
      <c r="J147" s="82"/>
      <c r="K147" s="82"/>
      <c r="L147" s="61">
        <v>88</v>
      </c>
      <c r="M147" s="61" t="s">
        <v>69</v>
      </c>
      <c r="N147" s="82"/>
      <c r="O147" s="82"/>
      <c r="P147" s="61" t="s">
        <v>69</v>
      </c>
      <c r="Q147" s="83" t="s">
        <v>69</v>
      </c>
      <c r="AI147" s="85">
        <f>AI146-1</f>
        <v>155</v>
      </c>
      <c r="AJ147" s="86"/>
      <c r="AK147" s="86"/>
      <c r="AL147" s="61" t="s">
        <v>70</v>
      </c>
      <c r="AM147" s="61" t="s">
        <v>70</v>
      </c>
      <c r="AN147" s="86"/>
      <c r="AO147" s="86"/>
      <c r="AP147" s="61" t="s">
        <v>70</v>
      </c>
      <c r="AQ147" s="89" t="s">
        <v>70</v>
      </c>
    </row>
    <row r="148" spans="9:43">
      <c r="I148" s="115">
        <f t="shared" ref="I148:I211" si="6">I147-1</f>
        <v>154</v>
      </c>
      <c r="J148" s="82"/>
      <c r="K148" s="82"/>
      <c r="L148" s="61">
        <f>L146-1</f>
        <v>87</v>
      </c>
      <c r="M148" s="61" t="s">
        <v>69</v>
      </c>
      <c r="N148" s="82"/>
      <c r="O148" s="82"/>
      <c r="P148" s="61" t="s">
        <v>69</v>
      </c>
      <c r="Q148" s="83" t="s">
        <v>69</v>
      </c>
      <c r="AI148" s="85">
        <f t="shared" ref="AI148:AI211" si="7">AI147-1</f>
        <v>154</v>
      </c>
      <c r="AJ148" s="86"/>
      <c r="AK148" s="86"/>
      <c r="AL148" s="61" t="s">
        <v>70</v>
      </c>
      <c r="AM148" s="61" t="s">
        <v>70</v>
      </c>
      <c r="AN148" s="86"/>
      <c r="AO148" s="86"/>
      <c r="AP148" s="61" t="s">
        <v>70</v>
      </c>
      <c r="AQ148" s="89" t="s">
        <v>70</v>
      </c>
    </row>
    <row r="149" spans="9:43">
      <c r="I149" s="115">
        <f t="shared" si="6"/>
        <v>153</v>
      </c>
      <c r="J149" s="82"/>
      <c r="K149" s="82"/>
      <c r="L149" s="61">
        <f t="shared" ref="L149:M212" si="8">L147-1</f>
        <v>87</v>
      </c>
      <c r="M149" s="61" t="s">
        <v>69</v>
      </c>
      <c r="N149" s="82"/>
      <c r="O149" s="82"/>
      <c r="P149" s="61" t="s">
        <v>69</v>
      </c>
      <c r="Q149" s="83" t="s">
        <v>69</v>
      </c>
      <c r="AI149" s="85">
        <f t="shared" si="7"/>
        <v>153</v>
      </c>
      <c r="AJ149" s="86"/>
      <c r="AK149" s="86"/>
      <c r="AL149" s="61" t="s">
        <v>70</v>
      </c>
      <c r="AM149" s="61" t="s">
        <v>70</v>
      </c>
      <c r="AN149" s="86"/>
      <c r="AO149" s="86"/>
      <c r="AP149" s="61" t="s">
        <v>70</v>
      </c>
      <c r="AQ149" s="89" t="s">
        <v>70</v>
      </c>
    </row>
    <row r="150" spans="9:43">
      <c r="I150" s="115">
        <f t="shared" si="6"/>
        <v>152</v>
      </c>
      <c r="J150" s="82"/>
      <c r="K150" s="82"/>
      <c r="L150" s="61">
        <f t="shared" si="8"/>
        <v>86</v>
      </c>
      <c r="M150" s="61" t="s">
        <v>69</v>
      </c>
      <c r="N150" s="82"/>
      <c r="O150" s="82"/>
      <c r="P150" s="61" t="s">
        <v>69</v>
      </c>
      <c r="Q150" s="83" t="s">
        <v>69</v>
      </c>
      <c r="AI150" s="85">
        <f t="shared" si="7"/>
        <v>152</v>
      </c>
      <c r="AJ150" s="86"/>
      <c r="AK150" s="86"/>
      <c r="AL150" s="61" t="s">
        <v>70</v>
      </c>
      <c r="AM150" s="61" t="s">
        <v>70</v>
      </c>
      <c r="AN150" s="86"/>
      <c r="AO150" s="86"/>
      <c r="AP150" s="61" t="s">
        <v>70</v>
      </c>
      <c r="AQ150" s="89" t="s">
        <v>70</v>
      </c>
    </row>
    <row r="151" spans="9:43">
      <c r="I151" s="115">
        <f t="shared" si="6"/>
        <v>151</v>
      </c>
      <c r="J151" s="82"/>
      <c r="K151" s="82"/>
      <c r="L151" s="61">
        <f t="shared" si="8"/>
        <v>86</v>
      </c>
      <c r="M151" s="61" t="s">
        <v>69</v>
      </c>
      <c r="N151" s="82"/>
      <c r="O151" s="82"/>
      <c r="P151" s="61" t="s">
        <v>69</v>
      </c>
      <c r="Q151" s="83" t="s">
        <v>69</v>
      </c>
      <c r="AI151" s="85">
        <f t="shared" si="7"/>
        <v>151</v>
      </c>
      <c r="AJ151" s="86"/>
      <c r="AK151" s="86"/>
      <c r="AL151" s="61" t="s">
        <v>70</v>
      </c>
      <c r="AM151" s="61" t="s">
        <v>70</v>
      </c>
      <c r="AN151" s="86"/>
      <c r="AO151" s="86"/>
      <c r="AP151" s="61" t="s">
        <v>70</v>
      </c>
      <c r="AQ151" s="89" t="s">
        <v>70</v>
      </c>
    </row>
    <row r="152" spans="9:43">
      <c r="I152" s="115">
        <f t="shared" si="6"/>
        <v>150</v>
      </c>
      <c r="J152" s="82"/>
      <c r="K152" s="82"/>
      <c r="L152" s="61">
        <f t="shared" si="8"/>
        <v>85</v>
      </c>
      <c r="M152" s="61" t="s">
        <v>69</v>
      </c>
      <c r="N152" s="82"/>
      <c r="O152" s="82"/>
      <c r="P152" s="61">
        <v>90</v>
      </c>
      <c r="Q152" s="83" t="s">
        <v>69</v>
      </c>
      <c r="AI152" s="85">
        <f t="shared" si="7"/>
        <v>150</v>
      </c>
      <c r="AJ152" s="86"/>
      <c r="AK152" s="86"/>
      <c r="AL152" s="61" t="s">
        <v>70</v>
      </c>
      <c r="AM152" s="61" t="s">
        <v>70</v>
      </c>
      <c r="AN152" s="86"/>
      <c r="AO152" s="86"/>
      <c r="AP152" s="61" t="s">
        <v>70</v>
      </c>
      <c r="AQ152" s="89" t="s">
        <v>70</v>
      </c>
    </row>
    <row r="153" spans="9:43">
      <c r="I153" s="115">
        <f t="shared" si="6"/>
        <v>149</v>
      </c>
      <c r="J153" s="82"/>
      <c r="K153" s="82"/>
      <c r="L153" s="61">
        <f t="shared" si="8"/>
        <v>85</v>
      </c>
      <c r="M153" s="61" t="s">
        <v>69</v>
      </c>
      <c r="N153" s="82"/>
      <c r="O153" s="82"/>
      <c r="P153" s="61">
        <v>90</v>
      </c>
      <c r="Q153" s="83" t="s">
        <v>69</v>
      </c>
      <c r="AI153" s="85">
        <f t="shared" si="7"/>
        <v>149</v>
      </c>
      <c r="AJ153" s="86"/>
      <c r="AK153" s="86"/>
      <c r="AL153" s="61" t="s">
        <v>70</v>
      </c>
      <c r="AM153" s="61" t="s">
        <v>70</v>
      </c>
      <c r="AN153" s="86"/>
      <c r="AO153" s="86"/>
      <c r="AP153" s="61" t="s">
        <v>70</v>
      </c>
      <c r="AQ153" s="89" t="s">
        <v>70</v>
      </c>
    </row>
    <row r="154" spans="9:43">
      <c r="I154" s="115">
        <f t="shared" si="6"/>
        <v>148</v>
      </c>
      <c r="J154" s="82"/>
      <c r="K154" s="82"/>
      <c r="L154" s="61">
        <f t="shared" si="8"/>
        <v>84</v>
      </c>
      <c r="M154" s="61" t="s">
        <v>69</v>
      </c>
      <c r="N154" s="82"/>
      <c r="O154" s="82"/>
      <c r="P154" s="61">
        <f t="shared" ref="P154:P217" si="9">P153-1</f>
        <v>89</v>
      </c>
      <c r="Q154" s="83" t="s">
        <v>69</v>
      </c>
      <c r="AI154" s="85">
        <f t="shared" si="7"/>
        <v>148</v>
      </c>
      <c r="AJ154" s="86"/>
      <c r="AK154" s="86"/>
      <c r="AL154" s="61" t="s">
        <v>70</v>
      </c>
      <c r="AM154" s="61" t="s">
        <v>70</v>
      </c>
      <c r="AN154" s="86"/>
      <c r="AO154" s="86"/>
      <c r="AP154" s="61" t="s">
        <v>70</v>
      </c>
      <c r="AQ154" s="89" t="s">
        <v>70</v>
      </c>
    </row>
    <row r="155" spans="9:43">
      <c r="I155" s="115">
        <f t="shared" si="6"/>
        <v>147</v>
      </c>
      <c r="J155" s="82"/>
      <c r="K155" s="82"/>
      <c r="L155" s="61">
        <f t="shared" si="8"/>
        <v>84</v>
      </c>
      <c r="M155" s="61" t="s">
        <v>69</v>
      </c>
      <c r="N155" s="82"/>
      <c r="O155" s="82"/>
      <c r="P155" s="61">
        <v>89</v>
      </c>
      <c r="Q155" s="83">
        <v>90</v>
      </c>
      <c r="AI155" s="85">
        <f t="shared" si="7"/>
        <v>147</v>
      </c>
      <c r="AJ155" s="86"/>
      <c r="AK155" s="86"/>
      <c r="AL155" s="61" t="s">
        <v>70</v>
      </c>
      <c r="AM155" s="61" t="s">
        <v>70</v>
      </c>
      <c r="AN155" s="86"/>
      <c r="AO155" s="86"/>
      <c r="AP155" s="61" t="s">
        <v>70</v>
      </c>
      <c r="AQ155" s="89" t="s">
        <v>70</v>
      </c>
    </row>
    <row r="156" spans="9:43">
      <c r="I156" s="115">
        <f t="shared" si="6"/>
        <v>146</v>
      </c>
      <c r="J156" s="82"/>
      <c r="K156" s="82"/>
      <c r="L156" s="61">
        <v>84</v>
      </c>
      <c r="M156" s="61" t="s">
        <v>69</v>
      </c>
      <c r="N156" s="82"/>
      <c r="O156" s="82"/>
      <c r="P156" s="61">
        <f t="shared" si="9"/>
        <v>88</v>
      </c>
      <c r="Q156" s="83">
        <v>90</v>
      </c>
      <c r="AI156" s="85">
        <f t="shared" si="7"/>
        <v>146</v>
      </c>
      <c r="AJ156" s="86"/>
      <c r="AK156" s="86"/>
      <c r="AL156" s="61" t="s">
        <v>70</v>
      </c>
      <c r="AM156" s="61" t="s">
        <v>70</v>
      </c>
      <c r="AN156" s="86"/>
      <c r="AO156" s="86"/>
      <c r="AP156" s="61" t="s">
        <v>70</v>
      </c>
      <c r="AQ156" s="89" t="s">
        <v>70</v>
      </c>
    </row>
    <row r="157" spans="9:43">
      <c r="I157" s="115">
        <f t="shared" si="6"/>
        <v>145</v>
      </c>
      <c r="J157" s="82"/>
      <c r="K157" s="82"/>
      <c r="L157" s="61">
        <f t="shared" si="8"/>
        <v>83</v>
      </c>
      <c r="M157" s="61">
        <v>90</v>
      </c>
      <c r="N157" s="82"/>
      <c r="O157" s="82"/>
      <c r="P157" s="61">
        <v>88</v>
      </c>
      <c r="Q157" s="83">
        <f>Q155-1</f>
        <v>89</v>
      </c>
      <c r="AI157" s="85">
        <f t="shared" si="7"/>
        <v>145</v>
      </c>
      <c r="AJ157" s="86"/>
      <c r="AK157" s="86"/>
      <c r="AL157" s="61" t="s">
        <v>70</v>
      </c>
      <c r="AM157" s="61" t="s">
        <v>70</v>
      </c>
      <c r="AN157" s="86"/>
      <c r="AO157" s="86"/>
      <c r="AP157" s="61" t="s">
        <v>70</v>
      </c>
      <c r="AQ157" s="89" t="s">
        <v>70</v>
      </c>
    </row>
    <row r="158" spans="9:43">
      <c r="I158" s="115">
        <f t="shared" si="6"/>
        <v>144</v>
      </c>
      <c r="J158" s="82"/>
      <c r="K158" s="82"/>
      <c r="L158" s="61">
        <f t="shared" si="8"/>
        <v>83</v>
      </c>
      <c r="M158" s="61">
        <v>90</v>
      </c>
      <c r="N158" s="82"/>
      <c r="O158" s="82"/>
      <c r="P158" s="61">
        <f t="shared" si="9"/>
        <v>87</v>
      </c>
      <c r="Q158" s="83">
        <f t="shared" ref="Q158:Q221" si="10">Q156-1</f>
        <v>89</v>
      </c>
      <c r="AI158" s="85">
        <f t="shared" si="7"/>
        <v>144</v>
      </c>
      <c r="AJ158" s="86"/>
      <c r="AK158" s="86"/>
      <c r="AL158" s="61" t="s">
        <v>70</v>
      </c>
      <c r="AM158" s="61" t="s">
        <v>70</v>
      </c>
      <c r="AN158" s="86"/>
      <c r="AO158" s="86"/>
      <c r="AP158" s="61" t="s">
        <v>70</v>
      </c>
      <c r="AQ158" s="89" t="s">
        <v>70</v>
      </c>
    </row>
    <row r="159" spans="9:43">
      <c r="I159" s="115">
        <f t="shared" si="6"/>
        <v>143</v>
      </c>
      <c r="J159" s="82"/>
      <c r="K159" s="82"/>
      <c r="L159" s="61">
        <f t="shared" si="8"/>
        <v>82</v>
      </c>
      <c r="M159" s="61">
        <f>M157-1</f>
        <v>89</v>
      </c>
      <c r="N159" s="82"/>
      <c r="O159" s="82"/>
      <c r="P159" s="61">
        <f t="shared" si="9"/>
        <v>86</v>
      </c>
      <c r="Q159" s="83">
        <f t="shared" si="10"/>
        <v>88</v>
      </c>
      <c r="AI159" s="85">
        <f t="shared" si="7"/>
        <v>143</v>
      </c>
      <c r="AJ159" s="86"/>
      <c r="AK159" s="86"/>
      <c r="AL159" s="61" t="s">
        <v>70</v>
      </c>
      <c r="AM159" s="61" t="s">
        <v>70</v>
      </c>
      <c r="AN159" s="86"/>
      <c r="AO159" s="86"/>
      <c r="AP159" s="61" t="s">
        <v>70</v>
      </c>
      <c r="AQ159" s="89" t="s">
        <v>70</v>
      </c>
    </row>
    <row r="160" spans="9:43">
      <c r="I160" s="115">
        <f t="shared" si="6"/>
        <v>142</v>
      </c>
      <c r="J160" s="82"/>
      <c r="K160" s="82"/>
      <c r="L160" s="61">
        <f t="shared" si="8"/>
        <v>82</v>
      </c>
      <c r="M160" s="61">
        <v>88</v>
      </c>
      <c r="N160" s="82"/>
      <c r="O160" s="82"/>
      <c r="P160" s="61">
        <v>86</v>
      </c>
      <c r="Q160" s="83">
        <f t="shared" si="10"/>
        <v>88</v>
      </c>
      <c r="AI160" s="85">
        <f t="shared" si="7"/>
        <v>142</v>
      </c>
      <c r="AJ160" s="86"/>
      <c r="AK160" s="86"/>
      <c r="AL160" s="61" t="s">
        <v>70</v>
      </c>
      <c r="AM160" s="61" t="s">
        <v>70</v>
      </c>
      <c r="AN160" s="86"/>
      <c r="AO160" s="86"/>
      <c r="AP160" s="61" t="s">
        <v>70</v>
      </c>
      <c r="AQ160" s="89" t="s">
        <v>70</v>
      </c>
    </row>
    <row r="161" spans="9:43">
      <c r="I161" s="115">
        <f t="shared" si="6"/>
        <v>141</v>
      </c>
      <c r="J161" s="82"/>
      <c r="K161" s="82"/>
      <c r="L161" s="61">
        <f t="shared" si="8"/>
        <v>81</v>
      </c>
      <c r="M161" s="61">
        <f t="shared" si="8"/>
        <v>88</v>
      </c>
      <c r="N161" s="82"/>
      <c r="O161" s="82"/>
      <c r="P161" s="61">
        <f t="shared" si="9"/>
        <v>85</v>
      </c>
      <c r="Q161" s="83">
        <f t="shared" si="10"/>
        <v>87</v>
      </c>
      <c r="AI161" s="85">
        <f t="shared" si="7"/>
        <v>141</v>
      </c>
      <c r="AJ161" s="86"/>
      <c r="AK161" s="86"/>
      <c r="AL161" s="61" t="s">
        <v>70</v>
      </c>
      <c r="AM161" s="61" t="s">
        <v>70</v>
      </c>
      <c r="AN161" s="86"/>
      <c r="AO161" s="86"/>
      <c r="AP161" s="61" t="s">
        <v>70</v>
      </c>
      <c r="AQ161" s="89" t="s">
        <v>70</v>
      </c>
    </row>
    <row r="162" spans="9:43">
      <c r="I162" s="115">
        <f t="shared" si="6"/>
        <v>140</v>
      </c>
      <c r="J162" s="82"/>
      <c r="K162" s="82"/>
      <c r="L162" s="61">
        <f t="shared" si="8"/>
        <v>81</v>
      </c>
      <c r="M162" s="61">
        <f t="shared" si="8"/>
        <v>87</v>
      </c>
      <c r="N162" s="82"/>
      <c r="O162" s="82"/>
      <c r="P162" s="61">
        <v>85</v>
      </c>
      <c r="Q162" s="83">
        <f t="shared" si="10"/>
        <v>87</v>
      </c>
      <c r="AI162" s="85">
        <f t="shared" si="7"/>
        <v>140</v>
      </c>
      <c r="AJ162" s="86"/>
      <c r="AK162" s="86"/>
      <c r="AL162" s="61" t="s">
        <v>70</v>
      </c>
      <c r="AM162" s="61" t="s">
        <v>70</v>
      </c>
      <c r="AN162" s="86"/>
      <c r="AO162" s="86"/>
      <c r="AP162" s="61" t="s">
        <v>70</v>
      </c>
      <c r="AQ162" s="89" t="s">
        <v>70</v>
      </c>
    </row>
    <row r="163" spans="9:43">
      <c r="I163" s="115">
        <f t="shared" si="6"/>
        <v>139</v>
      </c>
      <c r="J163" s="82"/>
      <c r="K163" s="82"/>
      <c r="L163" s="61">
        <f t="shared" si="8"/>
        <v>80</v>
      </c>
      <c r="M163" s="61">
        <f t="shared" si="8"/>
        <v>87</v>
      </c>
      <c r="N163" s="82"/>
      <c r="O163" s="82"/>
      <c r="P163" s="61">
        <f t="shared" si="9"/>
        <v>84</v>
      </c>
      <c r="Q163" s="83">
        <f t="shared" si="10"/>
        <v>86</v>
      </c>
      <c r="AI163" s="85">
        <f t="shared" si="7"/>
        <v>139</v>
      </c>
      <c r="AJ163" s="86"/>
      <c r="AK163" s="86"/>
      <c r="AL163" s="61" t="s">
        <v>70</v>
      </c>
      <c r="AM163" s="61" t="s">
        <v>70</v>
      </c>
      <c r="AN163" s="86"/>
      <c r="AO163" s="86"/>
      <c r="AP163" s="61" t="s">
        <v>70</v>
      </c>
      <c r="AQ163" s="89" t="s">
        <v>70</v>
      </c>
    </row>
    <row r="164" spans="9:43">
      <c r="I164" s="115">
        <f t="shared" si="6"/>
        <v>138</v>
      </c>
      <c r="J164" s="82"/>
      <c r="K164" s="82"/>
      <c r="L164" s="61">
        <f t="shared" si="8"/>
        <v>80</v>
      </c>
      <c r="M164" s="61">
        <f t="shared" si="8"/>
        <v>86</v>
      </c>
      <c r="N164" s="82"/>
      <c r="O164" s="82"/>
      <c r="P164" s="61">
        <v>84</v>
      </c>
      <c r="Q164" s="83">
        <v>85</v>
      </c>
      <c r="AI164" s="85">
        <f t="shared" si="7"/>
        <v>138</v>
      </c>
      <c r="AJ164" s="86"/>
      <c r="AK164" s="86"/>
      <c r="AL164" s="61" t="s">
        <v>70</v>
      </c>
      <c r="AM164" s="61" t="s">
        <v>70</v>
      </c>
      <c r="AN164" s="86"/>
      <c r="AO164" s="86"/>
      <c r="AP164" s="61" t="s">
        <v>70</v>
      </c>
      <c r="AQ164" s="89" t="s">
        <v>70</v>
      </c>
    </row>
    <row r="165" spans="9:43">
      <c r="I165" s="115">
        <f t="shared" si="6"/>
        <v>137</v>
      </c>
      <c r="J165" s="82"/>
      <c r="K165" s="82"/>
      <c r="L165" s="61">
        <f t="shared" si="8"/>
        <v>79</v>
      </c>
      <c r="M165" s="61">
        <f t="shared" si="8"/>
        <v>86</v>
      </c>
      <c r="N165" s="82"/>
      <c r="O165" s="82"/>
      <c r="P165" s="61">
        <f t="shared" si="9"/>
        <v>83</v>
      </c>
      <c r="Q165" s="83">
        <f t="shared" si="10"/>
        <v>85</v>
      </c>
      <c r="AI165" s="85">
        <f t="shared" si="7"/>
        <v>137</v>
      </c>
      <c r="AJ165" s="86"/>
      <c r="AK165" s="86"/>
      <c r="AL165" s="61" t="s">
        <v>70</v>
      </c>
      <c r="AM165" s="61" t="s">
        <v>70</v>
      </c>
      <c r="AN165" s="86"/>
      <c r="AO165" s="86"/>
      <c r="AP165" s="61" t="s">
        <v>70</v>
      </c>
      <c r="AQ165" s="89" t="s">
        <v>70</v>
      </c>
    </row>
    <row r="166" spans="9:43">
      <c r="I166" s="115">
        <f t="shared" si="6"/>
        <v>136</v>
      </c>
      <c r="J166" s="81"/>
      <c r="K166" s="82"/>
      <c r="L166" s="61">
        <f t="shared" si="8"/>
        <v>79</v>
      </c>
      <c r="M166" s="61">
        <f t="shared" si="8"/>
        <v>85</v>
      </c>
      <c r="N166" s="82"/>
      <c r="O166" s="82"/>
      <c r="P166" s="61">
        <v>83</v>
      </c>
      <c r="Q166" s="83">
        <f t="shared" si="10"/>
        <v>84</v>
      </c>
      <c r="AI166" s="85">
        <f t="shared" si="7"/>
        <v>136</v>
      </c>
      <c r="AJ166" s="86"/>
      <c r="AK166" s="86"/>
      <c r="AL166" s="61" t="s">
        <v>70</v>
      </c>
      <c r="AM166" s="61" t="s">
        <v>70</v>
      </c>
      <c r="AN166" s="86"/>
      <c r="AO166" s="86"/>
      <c r="AP166" s="61" t="s">
        <v>70</v>
      </c>
      <c r="AQ166" s="89" t="s">
        <v>70</v>
      </c>
    </row>
    <row r="167" spans="9:43">
      <c r="I167" s="115">
        <f t="shared" si="6"/>
        <v>135</v>
      </c>
      <c r="J167" s="81"/>
      <c r="K167" s="82"/>
      <c r="L167" s="61">
        <f t="shared" si="8"/>
        <v>78</v>
      </c>
      <c r="M167" s="61">
        <f t="shared" si="8"/>
        <v>85</v>
      </c>
      <c r="N167" s="82"/>
      <c r="O167" s="82"/>
      <c r="P167" s="61">
        <f t="shared" si="9"/>
        <v>82</v>
      </c>
      <c r="Q167" s="83">
        <f t="shared" si="10"/>
        <v>84</v>
      </c>
      <c r="AI167" s="85">
        <f t="shared" si="7"/>
        <v>135</v>
      </c>
      <c r="AJ167" s="86"/>
      <c r="AK167" s="86"/>
      <c r="AL167" s="61" t="s">
        <v>70</v>
      </c>
      <c r="AM167" s="61" t="s">
        <v>70</v>
      </c>
      <c r="AN167" s="86"/>
      <c r="AO167" s="86"/>
      <c r="AP167" s="61" t="s">
        <v>70</v>
      </c>
      <c r="AQ167" s="89" t="s">
        <v>70</v>
      </c>
    </row>
    <row r="168" spans="9:43">
      <c r="I168" s="115">
        <f t="shared" si="6"/>
        <v>134</v>
      </c>
      <c r="J168" s="81"/>
      <c r="K168" s="82"/>
      <c r="L168" s="61">
        <f t="shared" si="8"/>
        <v>78</v>
      </c>
      <c r="M168" s="61">
        <f t="shared" si="8"/>
        <v>84</v>
      </c>
      <c r="N168" s="82"/>
      <c r="O168" s="82"/>
      <c r="P168" s="61">
        <f t="shared" si="9"/>
        <v>81</v>
      </c>
      <c r="Q168" s="83">
        <f t="shared" si="10"/>
        <v>83</v>
      </c>
      <c r="AI168" s="85">
        <f t="shared" si="7"/>
        <v>134</v>
      </c>
      <c r="AJ168" s="86"/>
      <c r="AK168" s="86"/>
      <c r="AL168" s="61" t="s">
        <v>70</v>
      </c>
      <c r="AM168" s="61" t="s">
        <v>70</v>
      </c>
      <c r="AN168" s="86"/>
      <c r="AO168" s="86"/>
      <c r="AP168" s="61" t="s">
        <v>70</v>
      </c>
      <c r="AQ168" s="89" t="s">
        <v>70</v>
      </c>
    </row>
    <row r="169" spans="9:43">
      <c r="I169" s="115">
        <f t="shared" si="6"/>
        <v>133</v>
      </c>
      <c r="J169" s="81"/>
      <c r="K169" s="82"/>
      <c r="L169" s="61">
        <f t="shared" si="8"/>
        <v>77</v>
      </c>
      <c r="M169" s="61">
        <f t="shared" si="8"/>
        <v>84</v>
      </c>
      <c r="N169" s="82"/>
      <c r="O169" s="82"/>
      <c r="P169" s="61">
        <v>81</v>
      </c>
      <c r="Q169" s="83">
        <f t="shared" si="10"/>
        <v>83</v>
      </c>
      <c r="AI169" s="85">
        <f t="shared" si="7"/>
        <v>133</v>
      </c>
      <c r="AJ169" s="86"/>
      <c r="AK169" s="86"/>
      <c r="AL169" s="61" t="s">
        <v>70</v>
      </c>
      <c r="AM169" s="61" t="s">
        <v>70</v>
      </c>
      <c r="AN169" s="86"/>
      <c r="AO169" s="86"/>
      <c r="AP169" s="61" t="s">
        <v>70</v>
      </c>
      <c r="AQ169" s="89" t="s">
        <v>70</v>
      </c>
    </row>
    <row r="170" spans="9:43">
      <c r="I170" s="115">
        <f t="shared" si="6"/>
        <v>132</v>
      </c>
      <c r="J170" s="81"/>
      <c r="K170" s="82"/>
      <c r="L170" s="61">
        <f t="shared" si="8"/>
        <v>77</v>
      </c>
      <c r="M170" s="61">
        <f t="shared" si="8"/>
        <v>83</v>
      </c>
      <c r="N170" s="82"/>
      <c r="O170" s="82"/>
      <c r="P170" s="61">
        <f t="shared" si="9"/>
        <v>80</v>
      </c>
      <c r="Q170" s="83">
        <f t="shared" si="10"/>
        <v>82</v>
      </c>
      <c r="AI170" s="85">
        <f t="shared" si="7"/>
        <v>132</v>
      </c>
      <c r="AJ170" s="86"/>
      <c r="AK170" s="86"/>
      <c r="AL170" s="61" t="s">
        <v>70</v>
      </c>
      <c r="AM170" s="61" t="s">
        <v>70</v>
      </c>
      <c r="AN170" s="86"/>
      <c r="AO170" s="86"/>
      <c r="AP170" s="61" t="s">
        <v>70</v>
      </c>
      <c r="AQ170" s="89" t="s">
        <v>70</v>
      </c>
    </row>
    <row r="171" spans="9:43">
      <c r="I171" s="115">
        <f t="shared" si="6"/>
        <v>131</v>
      </c>
      <c r="J171" s="81"/>
      <c r="K171" s="82"/>
      <c r="L171" s="61">
        <f t="shared" si="8"/>
        <v>76</v>
      </c>
      <c r="M171" s="61">
        <v>82</v>
      </c>
      <c r="N171" s="82"/>
      <c r="O171" s="82"/>
      <c r="P171" s="61">
        <v>80</v>
      </c>
      <c r="Q171" s="83">
        <f t="shared" si="10"/>
        <v>82</v>
      </c>
      <c r="AI171" s="85">
        <f t="shared" si="7"/>
        <v>131</v>
      </c>
      <c r="AJ171" s="86"/>
      <c r="AK171" s="86"/>
      <c r="AL171" s="61" t="s">
        <v>70</v>
      </c>
      <c r="AM171" s="61" t="s">
        <v>70</v>
      </c>
      <c r="AN171" s="86"/>
      <c r="AO171" s="86"/>
      <c r="AP171" s="61" t="s">
        <v>70</v>
      </c>
      <c r="AQ171" s="89" t="s">
        <v>70</v>
      </c>
    </row>
    <row r="172" spans="9:43">
      <c r="I172" s="115">
        <f t="shared" si="6"/>
        <v>130</v>
      </c>
      <c r="J172" s="81"/>
      <c r="K172" s="82"/>
      <c r="L172" s="61">
        <f t="shared" si="8"/>
        <v>76</v>
      </c>
      <c r="M172" s="61">
        <f t="shared" si="8"/>
        <v>82</v>
      </c>
      <c r="N172" s="82"/>
      <c r="O172" s="82"/>
      <c r="P172" s="61">
        <f t="shared" si="9"/>
        <v>79</v>
      </c>
      <c r="Q172" s="83">
        <f t="shared" si="10"/>
        <v>81</v>
      </c>
      <c r="AI172" s="85">
        <f t="shared" si="7"/>
        <v>130</v>
      </c>
      <c r="AJ172" s="86"/>
      <c r="AK172" s="86"/>
      <c r="AL172" s="61">
        <v>99</v>
      </c>
      <c r="AM172" s="61" t="s">
        <v>70</v>
      </c>
      <c r="AN172" s="86"/>
      <c r="AO172" s="86"/>
      <c r="AP172" s="61" t="s">
        <v>70</v>
      </c>
      <c r="AQ172" s="89" t="s">
        <v>70</v>
      </c>
    </row>
    <row r="173" spans="9:43">
      <c r="I173" s="115">
        <f t="shared" si="6"/>
        <v>129</v>
      </c>
      <c r="J173" s="81"/>
      <c r="K173" s="82"/>
      <c r="L173" s="61">
        <f t="shared" si="8"/>
        <v>75</v>
      </c>
      <c r="M173" s="61">
        <f t="shared" si="8"/>
        <v>81</v>
      </c>
      <c r="N173" s="82"/>
      <c r="O173" s="82"/>
      <c r="P173" s="61">
        <v>79</v>
      </c>
      <c r="Q173" s="83">
        <v>80</v>
      </c>
      <c r="AI173" s="85">
        <f t="shared" si="7"/>
        <v>129</v>
      </c>
      <c r="AJ173" s="86"/>
      <c r="AK173" s="86"/>
      <c r="AL173" s="61">
        <v>98</v>
      </c>
      <c r="AM173" s="61">
        <v>99</v>
      </c>
      <c r="AN173" s="86"/>
      <c r="AO173" s="86"/>
      <c r="AP173" s="61" t="s">
        <v>70</v>
      </c>
      <c r="AQ173" s="89" t="s">
        <v>70</v>
      </c>
    </row>
    <row r="174" spans="9:43">
      <c r="I174" s="115">
        <f t="shared" si="6"/>
        <v>128</v>
      </c>
      <c r="J174" s="81"/>
      <c r="K174" s="82"/>
      <c r="L174" s="61">
        <f t="shared" si="8"/>
        <v>75</v>
      </c>
      <c r="M174" s="61">
        <f t="shared" si="8"/>
        <v>81</v>
      </c>
      <c r="N174" s="82"/>
      <c r="O174" s="82"/>
      <c r="P174" s="61">
        <f t="shared" si="9"/>
        <v>78</v>
      </c>
      <c r="Q174" s="83">
        <f t="shared" si="10"/>
        <v>80</v>
      </c>
      <c r="AI174" s="85">
        <f t="shared" si="7"/>
        <v>128</v>
      </c>
      <c r="AJ174" s="86"/>
      <c r="AK174" s="86"/>
      <c r="AL174" s="61">
        <v>98</v>
      </c>
      <c r="AM174" s="61">
        <v>99</v>
      </c>
      <c r="AN174" s="86"/>
      <c r="AO174" s="86"/>
      <c r="AP174" s="61" t="s">
        <v>70</v>
      </c>
      <c r="AQ174" s="89" t="s">
        <v>70</v>
      </c>
    </row>
    <row r="175" spans="9:43">
      <c r="I175" s="115">
        <f t="shared" si="6"/>
        <v>127</v>
      </c>
      <c r="J175" s="81"/>
      <c r="K175" s="82"/>
      <c r="L175" s="61">
        <f t="shared" si="8"/>
        <v>74</v>
      </c>
      <c r="M175" s="61">
        <f t="shared" si="8"/>
        <v>80</v>
      </c>
      <c r="N175" s="82"/>
      <c r="O175" s="82"/>
      <c r="P175" s="61">
        <v>78</v>
      </c>
      <c r="Q175" s="83">
        <f t="shared" si="10"/>
        <v>79</v>
      </c>
      <c r="AI175" s="85">
        <f t="shared" si="7"/>
        <v>127</v>
      </c>
      <c r="AJ175" s="86"/>
      <c r="AK175" s="86"/>
      <c r="AL175" s="61">
        <v>98</v>
      </c>
      <c r="AM175" s="61">
        <v>99</v>
      </c>
      <c r="AN175" s="86"/>
      <c r="AO175" s="86"/>
      <c r="AP175" s="61" t="s">
        <v>70</v>
      </c>
      <c r="AQ175" s="89" t="s">
        <v>70</v>
      </c>
    </row>
    <row r="176" spans="9:43">
      <c r="I176" s="115">
        <f t="shared" si="6"/>
        <v>126</v>
      </c>
      <c r="J176" s="81"/>
      <c r="K176" s="82"/>
      <c r="L176" s="61">
        <f t="shared" si="8"/>
        <v>74</v>
      </c>
      <c r="M176" s="61">
        <f t="shared" si="8"/>
        <v>80</v>
      </c>
      <c r="N176" s="82"/>
      <c r="O176" s="82"/>
      <c r="P176" s="61">
        <f t="shared" si="9"/>
        <v>77</v>
      </c>
      <c r="Q176" s="83">
        <f t="shared" si="10"/>
        <v>79</v>
      </c>
      <c r="AI176" s="85">
        <f t="shared" si="7"/>
        <v>126</v>
      </c>
      <c r="AJ176" s="86"/>
      <c r="AK176" s="86"/>
      <c r="AL176" s="61">
        <v>98</v>
      </c>
      <c r="AM176" s="61">
        <v>99</v>
      </c>
      <c r="AN176" s="86"/>
      <c r="AO176" s="86"/>
      <c r="AP176" s="61" t="s">
        <v>70</v>
      </c>
      <c r="AQ176" s="89" t="s">
        <v>70</v>
      </c>
    </row>
    <row r="177" spans="9:43">
      <c r="I177" s="115">
        <f t="shared" si="6"/>
        <v>125</v>
      </c>
      <c r="J177" s="81"/>
      <c r="K177" s="82"/>
      <c r="L177" s="61">
        <f t="shared" si="8"/>
        <v>73</v>
      </c>
      <c r="M177" s="61">
        <f t="shared" si="8"/>
        <v>79</v>
      </c>
      <c r="N177" s="82"/>
      <c r="O177" s="82"/>
      <c r="P177" s="61">
        <f t="shared" si="9"/>
        <v>76</v>
      </c>
      <c r="Q177" s="83">
        <f t="shared" si="10"/>
        <v>78</v>
      </c>
      <c r="AI177" s="85">
        <f t="shared" si="7"/>
        <v>125</v>
      </c>
      <c r="AJ177" s="86"/>
      <c r="AK177" s="86"/>
      <c r="AL177" s="61">
        <v>97</v>
      </c>
      <c r="AM177" s="61">
        <v>99</v>
      </c>
      <c r="AN177" s="86"/>
      <c r="AO177" s="86"/>
      <c r="AP177" s="61" t="s">
        <v>70</v>
      </c>
      <c r="AQ177" s="89">
        <v>99</v>
      </c>
    </row>
    <row r="178" spans="9:43">
      <c r="I178" s="115">
        <f t="shared" si="6"/>
        <v>124</v>
      </c>
      <c r="J178" s="81"/>
      <c r="K178" s="82"/>
      <c r="L178" s="61">
        <f t="shared" si="8"/>
        <v>73</v>
      </c>
      <c r="M178" s="61">
        <f t="shared" si="8"/>
        <v>79</v>
      </c>
      <c r="N178" s="82"/>
      <c r="O178" s="82"/>
      <c r="P178" s="61">
        <v>76</v>
      </c>
      <c r="Q178" s="83">
        <f t="shared" si="10"/>
        <v>78</v>
      </c>
      <c r="AI178" s="85">
        <f t="shared" si="7"/>
        <v>124</v>
      </c>
      <c r="AJ178" s="86"/>
      <c r="AK178" s="86"/>
      <c r="AL178" s="61">
        <v>97</v>
      </c>
      <c r="AM178" s="61">
        <v>99</v>
      </c>
      <c r="AN178" s="86"/>
      <c r="AO178" s="86"/>
      <c r="AP178" s="61">
        <v>99</v>
      </c>
      <c r="AQ178" s="89">
        <v>98</v>
      </c>
    </row>
    <row r="179" spans="9:43">
      <c r="I179" s="115">
        <f t="shared" si="6"/>
        <v>123</v>
      </c>
      <c r="J179" s="81"/>
      <c r="K179" s="82"/>
      <c r="L179" s="61">
        <f t="shared" si="8"/>
        <v>72</v>
      </c>
      <c r="M179" s="61">
        <f t="shared" si="8"/>
        <v>78</v>
      </c>
      <c r="N179" s="82"/>
      <c r="O179" s="82"/>
      <c r="P179" s="61">
        <f t="shared" si="9"/>
        <v>75</v>
      </c>
      <c r="Q179" s="83">
        <f t="shared" si="10"/>
        <v>77</v>
      </c>
      <c r="AI179" s="85">
        <f t="shared" si="7"/>
        <v>123</v>
      </c>
      <c r="AJ179" s="86"/>
      <c r="AK179" s="86"/>
      <c r="AL179" s="61">
        <v>97</v>
      </c>
      <c r="AM179" s="61">
        <v>99</v>
      </c>
      <c r="AN179" s="86"/>
      <c r="AO179" s="86"/>
      <c r="AP179" s="61">
        <f>AP178</f>
        <v>99</v>
      </c>
      <c r="AQ179" s="89">
        <v>98</v>
      </c>
    </row>
    <row r="180" spans="9:43">
      <c r="I180" s="115">
        <f t="shared" si="6"/>
        <v>122</v>
      </c>
      <c r="J180" s="81"/>
      <c r="K180" s="82"/>
      <c r="L180" s="61">
        <f t="shared" si="8"/>
        <v>72</v>
      </c>
      <c r="M180" s="61">
        <f t="shared" si="8"/>
        <v>78</v>
      </c>
      <c r="N180" s="82"/>
      <c r="O180" s="82"/>
      <c r="P180" s="61">
        <v>75</v>
      </c>
      <c r="Q180" s="83">
        <v>76</v>
      </c>
      <c r="AI180" s="85">
        <f t="shared" si="7"/>
        <v>122</v>
      </c>
      <c r="AJ180" s="86"/>
      <c r="AK180" s="86"/>
      <c r="AL180" s="61">
        <v>97</v>
      </c>
      <c r="AM180" s="61">
        <v>99</v>
      </c>
      <c r="AN180" s="86"/>
      <c r="AO180" s="86"/>
      <c r="AP180" s="61">
        <f t="shared" ref="AP180:AP237" si="11">AP179</f>
        <v>99</v>
      </c>
      <c r="AQ180" s="89">
        <v>98</v>
      </c>
    </row>
    <row r="181" spans="9:43">
      <c r="I181" s="115">
        <f t="shared" si="6"/>
        <v>121</v>
      </c>
      <c r="J181" s="81"/>
      <c r="K181" s="82"/>
      <c r="L181" s="61">
        <f t="shared" si="8"/>
        <v>71</v>
      </c>
      <c r="M181" s="61">
        <f t="shared" si="8"/>
        <v>77</v>
      </c>
      <c r="N181" s="82"/>
      <c r="O181" s="82"/>
      <c r="P181" s="61">
        <f t="shared" si="9"/>
        <v>74</v>
      </c>
      <c r="Q181" s="83">
        <f t="shared" si="10"/>
        <v>76</v>
      </c>
      <c r="AI181" s="85">
        <f t="shared" si="7"/>
        <v>121</v>
      </c>
      <c r="AJ181" s="86"/>
      <c r="AK181" s="86"/>
      <c r="AL181" s="61">
        <v>97</v>
      </c>
      <c r="AM181" s="61">
        <v>99</v>
      </c>
      <c r="AN181" s="86"/>
      <c r="AO181" s="86"/>
      <c r="AP181" s="61">
        <f t="shared" si="11"/>
        <v>99</v>
      </c>
      <c r="AQ181" s="89">
        <v>98</v>
      </c>
    </row>
    <row r="182" spans="9:43">
      <c r="I182" s="115">
        <f t="shared" si="6"/>
        <v>120</v>
      </c>
      <c r="J182" s="81"/>
      <c r="K182" s="82"/>
      <c r="L182" s="61">
        <f t="shared" si="8"/>
        <v>71</v>
      </c>
      <c r="M182" s="61">
        <v>76</v>
      </c>
      <c r="N182" s="82"/>
      <c r="O182" s="82"/>
      <c r="P182" s="61">
        <v>74</v>
      </c>
      <c r="Q182" s="83">
        <f t="shared" si="10"/>
        <v>75</v>
      </c>
      <c r="AI182" s="85">
        <f t="shared" si="7"/>
        <v>120</v>
      </c>
      <c r="AJ182" s="86"/>
      <c r="AK182" s="86"/>
      <c r="AL182" s="61">
        <v>97</v>
      </c>
      <c r="AM182" s="61">
        <v>99</v>
      </c>
      <c r="AN182" s="86"/>
      <c r="AO182" s="86"/>
      <c r="AP182" s="61">
        <v>98</v>
      </c>
      <c r="AQ182" s="89">
        <v>98</v>
      </c>
    </row>
    <row r="183" spans="9:43">
      <c r="I183" s="115">
        <f t="shared" si="6"/>
        <v>119</v>
      </c>
      <c r="J183" s="81"/>
      <c r="K183" s="82"/>
      <c r="L183" s="61">
        <f t="shared" si="8"/>
        <v>70</v>
      </c>
      <c r="M183" s="61">
        <f t="shared" si="8"/>
        <v>76</v>
      </c>
      <c r="N183" s="82"/>
      <c r="O183" s="82"/>
      <c r="P183" s="61">
        <f t="shared" si="9"/>
        <v>73</v>
      </c>
      <c r="Q183" s="83">
        <f t="shared" si="10"/>
        <v>75</v>
      </c>
      <c r="AI183" s="85">
        <f t="shared" si="7"/>
        <v>119</v>
      </c>
      <c r="AJ183" s="86"/>
      <c r="AK183" s="86"/>
      <c r="AL183" s="61">
        <v>96</v>
      </c>
      <c r="AM183" s="61">
        <v>99</v>
      </c>
      <c r="AN183" s="86"/>
      <c r="AO183" s="86"/>
      <c r="AP183" s="61">
        <v>97</v>
      </c>
      <c r="AQ183" s="89">
        <v>98</v>
      </c>
    </row>
    <row r="184" spans="9:43">
      <c r="I184" s="115">
        <f t="shared" si="6"/>
        <v>118</v>
      </c>
      <c r="J184" s="81"/>
      <c r="K184" s="82"/>
      <c r="L184" s="61">
        <f t="shared" si="8"/>
        <v>70</v>
      </c>
      <c r="M184" s="61">
        <f t="shared" si="8"/>
        <v>75</v>
      </c>
      <c r="N184" s="82"/>
      <c r="O184" s="82"/>
      <c r="P184" s="61">
        <f t="shared" si="9"/>
        <v>72</v>
      </c>
      <c r="Q184" s="83">
        <f t="shared" si="10"/>
        <v>74</v>
      </c>
      <c r="AI184" s="85">
        <f t="shared" si="7"/>
        <v>118</v>
      </c>
      <c r="AJ184" s="86"/>
      <c r="AK184" s="86"/>
      <c r="AL184" s="61">
        <v>96</v>
      </c>
      <c r="AM184" s="61">
        <v>99</v>
      </c>
      <c r="AN184" s="86"/>
      <c r="AO184" s="86"/>
      <c r="AP184" s="61">
        <f t="shared" si="11"/>
        <v>97</v>
      </c>
      <c r="AQ184" s="89">
        <v>97</v>
      </c>
    </row>
    <row r="185" spans="9:43">
      <c r="I185" s="115">
        <f t="shared" si="6"/>
        <v>117</v>
      </c>
      <c r="J185" s="81"/>
      <c r="K185" s="82"/>
      <c r="L185" s="61">
        <f t="shared" si="8"/>
        <v>69</v>
      </c>
      <c r="M185" s="61">
        <f t="shared" si="8"/>
        <v>75</v>
      </c>
      <c r="N185" s="82"/>
      <c r="O185" s="82"/>
      <c r="P185" s="61">
        <v>72</v>
      </c>
      <c r="Q185" s="83">
        <f t="shared" si="10"/>
        <v>74</v>
      </c>
      <c r="AI185" s="85">
        <f t="shared" si="7"/>
        <v>117</v>
      </c>
      <c r="AJ185" s="86"/>
      <c r="AK185" s="86"/>
      <c r="AL185" s="61">
        <v>95</v>
      </c>
      <c r="AM185" s="61">
        <v>99</v>
      </c>
      <c r="AN185" s="86"/>
      <c r="AO185" s="86"/>
      <c r="AP185" s="61">
        <f t="shared" si="11"/>
        <v>97</v>
      </c>
      <c r="AQ185" s="89">
        <v>97</v>
      </c>
    </row>
    <row r="186" spans="9:43">
      <c r="I186" s="115">
        <f t="shared" si="6"/>
        <v>116</v>
      </c>
      <c r="J186" s="81"/>
      <c r="K186" s="82"/>
      <c r="L186" s="61">
        <f t="shared" si="8"/>
        <v>69</v>
      </c>
      <c r="M186" s="61">
        <f t="shared" si="8"/>
        <v>74</v>
      </c>
      <c r="N186" s="82"/>
      <c r="O186" s="82"/>
      <c r="P186" s="61">
        <f t="shared" si="9"/>
        <v>71</v>
      </c>
      <c r="Q186" s="83">
        <f t="shared" si="10"/>
        <v>73</v>
      </c>
      <c r="AI186" s="85">
        <f t="shared" si="7"/>
        <v>116</v>
      </c>
      <c r="AJ186" s="86"/>
      <c r="AK186" s="86"/>
      <c r="AL186" s="61">
        <v>95</v>
      </c>
      <c r="AM186" s="61">
        <v>99</v>
      </c>
      <c r="AN186" s="86"/>
      <c r="AO186" s="86"/>
      <c r="AP186" s="61">
        <f t="shared" si="11"/>
        <v>97</v>
      </c>
      <c r="AQ186" s="89">
        <v>97</v>
      </c>
    </row>
    <row r="187" spans="9:43">
      <c r="I187" s="115">
        <f t="shared" si="6"/>
        <v>115</v>
      </c>
      <c r="J187" s="81"/>
      <c r="K187" s="82"/>
      <c r="L187" s="61">
        <f t="shared" si="8"/>
        <v>68</v>
      </c>
      <c r="M187" s="61">
        <f t="shared" si="8"/>
        <v>74</v>
      </c>
      <c r="N187" s="82"/>
      <c r="O187" s="82"/>
      <c r="P187" s="61">
        <v>71</v>
      </c>
      <c r="Q187" s="83">
        <f t="shared" si="10"/>
        <v>73</v>
      </c>
      <c r="AI187" s="85">
        <f t="shared" si="7"/>
        <v>115</v>
      </c>
      <c r="AJ187" s="86"/>
      <c r="AK187" s="86"/>
      <c r="AL187" s="61">
        <v>95</v>
      </c>
      <c r="AM187" s="61">
        <v>99</v>
      </c>
      <c r="AN187" s="86"/>
      <c r="AO187" s="86"/>
      <c r="AP187" s="61">
        <f t="shared" si="11"/>
        <v>97</v>
      </c>
      <c r="AQ187" s="89">
        <v>97</v>
      </c>
    </row>
    <row r="188" spans="9:43">
      <c r="I188" s="115">
        <f t="shared" si="6"/>
        <v>114</v>
      </c>
      <c r="J188" s="81"/>
      <c r="K188" s="82"/>
      <c r="L188" s="61">
        <f t="shared" si="8"/>
        <v>68</v>
      </c>
      <c r="M188" s="61">
        <f t="shared" si="8"/>
        <v>73</v>
      </c>
      <c r="N188" s="82"/>
      <c r="O188" s="82"/>
      <c r="P188" s="61">
        <f t="shared" si="9"/>
        <v>70</v>
      </c>
      <c r="Q188" s="83">
        <f t="shared" si="10"/>
        <v>72</v>
      </c>
      <c r="AI188" s="85">
        <f t="shared" si="7"/>
        <v>114</v>
      </c>
      <c r="AJ188" s="86"/>
      <c r="AK188" s="86"/>
      <c r="AL188" s="61">
        <v>95</v>
      </c>
      <c r="AM188" s="61">
        <v>99</v>
      </c>
      <c r="AN188" s="86"/>
      <c r="AO188" s="86"/>
      <c r="AP188" s="61">
        <f t="shared" si="11"/>
        <v>97</v>
      </c>
      <c r="AQ188" s="89">
        <v>97</v>
      </c>
    </row>
    <row r="189" spans="9:43">
      <c r="I189" s="115">
        <f t="shared" si="6"/>
        <v>113</v>
      </c>
      <c r="J189" s="81"/>
      <c r="K189" s="82"/>
      <c r="L189" s="61">
        <f t="shared" si="8"/>
        <v>67</v>
      </c>
      <c r="M189" s="61">
        <f t="shared" si="8"/>
        <v>73</v>
      </c>
      <c r="N189" s="82"/>
      <c r="O189" s="82"/>
      <c r="P189" s="61">
        <v>70</v>
      </c>
      <c r="Q189" s="83">
        <v>71</v>
      </c>
      <c r="AI189" s="85">
        <f t="shared" si="7"/>
        <v>113</v>
      </c>
      <c r="AJ189" s="86"/>
      <c r="AK189" s="86"/>
      <c r="AL189" s="61">
        <v>95</v>
      </c>
      <c r="AM189" s="61">
        <v>99</v>
      </c>
      <c r="AN189" s="86"/>
      <c r="AO189" s="86"/>
      <c r="AP189" s="61">
        <f t="shared" si="11"/>
        <v>97</v>
      </c>
      <c r="AQ189" s="89">
        <v>97</v>
      </c>
    </row>
    <row r="190" spans="9:43">
      <c r="I190" s="115">
        <f t="shared" si="6"/>
        <v>112</v>
      </c>
      <c r="J190" s="81"/>
      <c r="K190" s="82"/>
      <c r="L190" s="61">
        <f t="shared" si="8"/>
        <v>67</v>
      </c>
      <c r="M190" s="61">
        <f t="shared" si="8"/>
        <v>72</v>
      </c>
      <c r="N190" s="82"/>
      <c r="O190" s="82"/>
      <c r="P190" s="61">
        <f t="shared" si="9"/>
        <v>69</v>
      </c>
      <c r="Q190" s="83">
        <f t="shared" si="10"/>
        <v>71</v>
      </c>
      <c r="AI190" s="85">
        <f t="shared" si="7"/>
        <v>112</v>
      </c>
      <c r="AJ190" s="86"/>
      <c r="AK190" s="86"/>
      <c r="AL190" s="61">
        <v>95</v>
      </c>
      <c r="AM190" s="61">
        <v>99</v>
      </c>
      <c r="AN190" s="86"/>
      <c r="AO190" s="86"/>
      <c r="AP190" s="61">
        <f t="shared" si="11"/>
        <v>97</v>
      </c>
      <c r="AQ190" s="89">
        <v>97</v>
      </c>
    </row>
    <row r="191" spans="9:43">
      <c r="I191" s="115">
        <f t="shared" si="6"/>
        <v>111</v>
      </c>
      <c r="J191" s="81"/>
      <c r="K191" s="82"/>
      <c r="L191" s="61">
        <f t="shared" si="8"/>
        <v>66</v>
      </c>
      <c r="M191" s="61">
        <f t="shared" si="8"/>
        <v>72</v>
      </c>
      <c r="N191" s="82"/>
      <c r="O191" s="82"/>
      <c r="P191" s="61">
        <v>69</v>
      </c>
      <c r="Q191" s="83">
        <f t="shared" si="10"/>
        <v>70</v>
      </c>
      <c r="AI191" s="85">
        <f t="shared" si="7"/>
        <v>111</v>
      </c>
      <c r="AJ191" s="86"/>
      <c r="AK191" s="86"/>
      <c r="AL191" s="61">
        <v>95</v>
      </c>
      <c r="AM191" s="61">
        <v>99</v>
      </c>
      <c r="AN191" s="86"/>
      <c r="AO191" s="86"/>
      <c r="AP191" s="61">
        <f t="shared" si="11"/>
        <v>97</v>
      </c>
      <c r="AQ191" s="89">
        <v>97</v>
      </c>
    </row>
    <row r="192" spans="9:43">
      <c r="I192" s="115">
        <f t="shared" si="6"/>
        <v>110</v>
      </c>
      <c r="J192" s="81"/>
      <c r="K192" s="82"/>
      <c r="L192" s="61">
        <f t="shared" si="8"/>
        <v>66</v>
      </c>
      <c r="M192" s="61">
        <f t="shared" si="8"/>
        <v>71</v>
      </c>
      <c r="N192" s="82"/>
      <c r="O192" s="82"/>
      <c r="P192" s="61">
        <f t="shared" si="9"/>
        <v>68</v>
      </c>
      <c r="Q192" s="83">
        <f t="shared" si="10"/>
        <v>70</v>
      </c>
      <c r="AI192" s="85">
        <f t="shared" si="7"/>
        <v>110</v>
      </c>
      <c r="AJ192" s="86"/>
      <c r="AK192" s="86"/>
      <c r="AL192" s="61">
        <v>94</v>
      </c>
      <c r="AM192" s="61">
        <v>98</v>
      </c>
      <c r="AN192" s="86"/>
      <c r="AO192" s="86"/>
      <c r="AP192" s="61">
        <f t="shared" si="11"/>
        <v>97</v>
      </c>
      <c r="AQ192" s="89">
        <v>97</v>
      </c>
    </row>
    <row r="193" spans="9:43">
      <c r="I193" s="115">
        <f t="shared" si="6"/>
        <v>109</v>
      </c>
      <c r="J193" s="81"/>
      <c r="K193" s="82"/>
      <c r="L193" s="61">
        <f t="shared" si="8"/>
        <v>65</v>
      </c>
      <c r="M193" s="61">
        <v>70</v>
      </c>
      <c r="N193" s="82"/>
      <c r="O193" s="82"/>
      <c r="P193" s="61">
        <f t="shared" si="9"/>
        <v>67</v>
      </c>
      <c r="Q193" s="83">
        <f t="shared" si="10"/>
        <v>69</v>
      </c>
      <c r="AI193" s="85">
        <f t="shared" si="7"/>
        <v>109</v>
      </c>
      <c r="AJ193" s="86"/>
      <c r="AK193" s="86"/>
      <c r="AL193" s="61">
        <v>93</v>
      </c>
      <c r="AM193" s="61">
        <v>97</v>
      </c>
      <c r="AN193" s="86"/>
      <c r="AO193" s="86"/>
      <c r="AP193" s="61">
        <f t="shared" si="11"/>
        <v>97</v>
      </c>
      <c r="AQ193" s="89">
        <v>97</v>
      </c>
    </row>
    <row r="194" spans="9:43">
      <c r="I194" s="115">
        <f t="shared" si="6"/>
        <v>108</v>
      </c>
      <c r="J194" s="81"/>
      <c r="K194" s="82"/>
      <c r="L194" s="61">
        <f t="shared" si="8"/>
        <v>65</v>
      </c>
      <c r="M194" s="61">
        <f t="shared" si="8"/>
        <v>70</v>
      </c>
      <c r="N194" s="82"/>
      <c r="O194" s="82"/>
      <c r="P194" s="61">
        <v>67</v>
      </c>
      <c r="Q194" s="83">
        <f t="shared" si="10"/>
        <v>69</v>
      </c>
      <c r="AI194" s="85">
        <f t="shared" si="7"/>
        <v>108</v>
      </c>
      <c r="AJ194" s="86"/>
      <c r="AK194" s="86"/>
      <c r="AL194" s="61">
        <v>93</v>
      </c>
      <c r="AM194" s="61">
        <v>96</v>
      </c>
      <c r="AN194" s="86"/>
      <c r="AO194" s="86"/>
      <c r="AP194" s="61">
        <v>96</v>
      </c>
      <c r="AQ194" s="89">
        <v>96</v>
      </c>
    </row>
    <row r="195" spans="9:43">
      <c r="I195" s="115">
        <f t="shared" si="6"/>
        <v>107</v>
      </c>
      <c r="J195" s="81"/>
      <c r="K195" s="82"/>
      <c r="L195" s="61">
        <f t="shared" si="8"/>
        <v>64</v>
      </c>
      <c r="M195" s="61">
        <f t="shared" si="8"/>
        <v>69</v>
      </c>
      <c r="N195" s="82"/>
      <c r="O195" s="82"/>
      <c r="P195" s="61">
        <f t="shared" si="9"/>
        <v>66</v>
      </c>
      <c r="Q195" s="83">
        <f t="shared" si="10"/>
        <v>68</v>
      </c>
      <c r="AI195" s="85">
        <f t="shared" si="7"/>
        <v>107</v>
      </c>
      <c r="AJ195" s="86"/>
      <c r="AK195" s="86"/>
      <c r="AL195" s="61">
        <v>93</v>
      </c>
      <c r="AM195" s="61">
        <v>95</v>
      </c>
      <c r="AN195" s="86"/>
      <c r="AO195" s="86"/>
      <c r="AP195" s="61">
        <v>95</v>
      </c>
      <c r="AQ195" s="89">
        <v>95</v>
      </c>
    </row>
    <row r="196" spans="9:43">
      <c r="I196" s="115">
        <f t="shared" si="6"/>
        <v>106</v>
      </c>
      <c r="J196" s="81"/>
      <c r="K196" s="82"/>
      <c r="L196" s="61">
        <f t="shared" si="8"/>
        <v>64</v>
      </c>
      <c r="M196" s="61">
        <f t="shared" si="8"/>
        <v>69</v>
      </c>
      <c r="N196" s="82"/>
      <c r="O196" s="82"/>
      <c r="P196" s="61">
        <v>66</v>
      </c>
      <c r="Q196" s="83">
        <f t="shared" si="10"/>
        <v>68</v>
      </c>
      <c r="AI196" s="85">
        <f t="shared" si="7"/>
        <v>106</v>
      </c>
      <c r="AJ196" s="86"/>
      <c r="AK196" s="86"/>
      <c r="AL196" s="61">
        <v>91</v>
      </c>
      <c r="AM196" s="61">
        <v>95</v>
      </c>
      <c r="AN196" s="86"/>
      <c r="AO196" s="86"/>
      <c r="AP196" s="61">
        <v>94</v>
      </c>
      <c r="AQ196" s="89">
        <v>95</v>
      </c>
    </row>
    <row r="197" spans="9:43">
      <c r="I197" s="115">
        <f t="shared" si="6"/>
        <v>105</v>
      </c>
      <c r="J197" s="81"/>
      <c r="K197" s="82"/>
      <c r="L197" s="61">
        <f t="shared" si="8"/>
        <v>63</v>
      </c>
      <c r="M197" s="61">
        <f t="shared" si="8"/>
        <v>68</v>
      </c>
      <c r="N197" s="82"/>
      <c r="O197" s="82"/>
      <c r="P197" s="61">
        <f t="shared" si="9"/>
        <v>65</v>
      </c>
      <c r="Q197" s="83">
        <f t="shared" si="10"/>
        <v>67</v>
      </c>
      <c r="AI197" s="85">
        <f t="shared" si="7"/>
        <v>105</v>
      </c>
      <c r="AJ197" s="86"/>
      <c r="AK197" s="86"/>
      <c r="AL197" s="61">
        <v>91</v>
      </c>
      <c r="AM197" s="61">
        <v>94</v>
      </c>
      <c r="AN197" s="86"/>
      <c r="AO197" s="86"/>
      <c r="AP197" s="61">
        <f t="shared" si="11"/>
        <v>94</v>
      </c>
      <c r="AQ197" s="89">
        <v>95</v>
      </c>
    </row>
    <row r="198" spans="9:43">
      <c r="I198" s="115">
        <f t="shared" si="6"/>
        <v>104</v>
      </c>
      <c r="J198" s="81"/>
      <c r="K198" s="82"/>
      <c r="L198" s="61">
        <f t="shared" si="8"/>
        <v>63</v>
      </c>
      <c r="M198" s="61">
        <f t="shared" si="8"/>
        <v>68</v>
      </c>
      <c r="N198" s="82"/>
      <c r="O198" s="82"/>
      <c r="P198" s="61">
        <v>65</v>
      </c>
      <c r="Q198" s="83">
        <v>66</v>
      </c>
      <c r="AI198" s="85">
        <f t="shared" si="7"/>
        <v>104</v>
      </c>
      <c r="AJ198" s="86"/>
      <c r="AK198" s="86"/>
      <c r="AL198" s="61">
        <v>89</v>
      </c>
      <c r="AM198" s="61">
        <v>93</v>
      </c>
      <c r="AN198" s="86"/>
      <c r="AO198" s="86"/>
      <c r="AP198" s="61">
        <v>93</v>
      </c>
      <c r="AQ198" s="89">
        <v>94</v>
      </c>
    </row>
    <row r="199" spans="9:43">
      <c r="I199" s="115">
        <f t="shared" si="6"/>
        <v>103</v>
      </c>
      <c r="J199" s="81"/>
      <c r="K199" s="82"/>
      <c r="L199" s="61">
        <f t="shared" si="8"/>
        <v>62</v>
      </c>
      <c r="M199" s="61">
        <f t="shared" si="8"/>
        <v>67</v>
      </c>
      <c r="N199" s="82"/>
      <c r="O199" s="82"/>
      <c r="P199" s="61">
        <f t="shared" si="9"/>
        <v>64</v>
      </c>
      <c r="Q199" s="83">
        <f t="shared" si="10"/>
        <v>66</v>
      </c>
      <c r="AI199" s="85">
        <f t="shared" si="7"/>
        <v>103</v>
      </c>
      <c r="AJ199" s="86"/>
      <c r="AK199" s="86"/>
      <c r="AL199" s="61">
        <v>89</v>
      </c>
      <c r="AM199" s="61">
        <v>92</v>
      </c>
      <c r="AN199" s="86"/>
      <c r="AO199" s="86"/>
      <c r="AP199" s="61">
        <f t="shared" si="11"/>
        <v>93</v>
      </c>
      <c r="AQ199" s="89">
        <v>93</v>
      </c>
    </row>
    <row r="200" spans="9:43">
      <c r="I200" s="115">
        <f t="shared" si="6"/>
        <v>102</v>
      </c>
      <c r="J200" s="81"/>
      <c r="K200" s="82"/>
      <c r="L200" s="61">
        <f t="shared" si="8"/>
        <v>62</v>
      </c>
      <c r="M200" s="61">
        <f t="shared" si="8"/>
        <v>67</v>
      </c>
      <c r="N200" s="82"/>
      <c r="O200" s="82"/>
      <c r="P200" s="61">
        <v>64</v>
      </c>
      <c r="Q200" s="83">
        <f t="shared" si="10"/>
        <v>65</v>
      </c>
      <c r="AI200" s="85">
        <f t="shared" si="7"/>
        <v>102</v>
      </c>
      <c r="AJ200" s="86"/>
      <c r="AK200" s="86"/>
      <c r="AL200" s="61">
        <v>88</v>
      </c>
      <c r="AM200" s="61">
        <v>91</v>
      </c>
      <c r="AN200" s="86"/>
      <c r="AO200" s="86"/>
      <c r="AP200" s="61">
        <v>91</v>
      </c>
      <c r="AQ200" s="89">
        <v>93</v>
      </c>
    </row>
    <row r="201" spans="9:43">
      <c r="I201" s="115">
        <f t="shared" si="6"/>
        <v>101</v>
      </c>
      <c r="J201" s="81"/>
      <c r="K201" s="82"/>
      <c r="L201" s="61">
        <f t="shared" si="8"/>
        <v>61</v>
      </c>
      <c r="M201" s="61">
        <f t="shared" si="8"/>
        <v>66</v>
      </c>
      <c r="N201" s="82"/>
      <c r="O201" s="82"/>
      <c r="P201" s="61">
        <f t="shared" si="9"/>
        <v>63</v>
      </c>
      <c r="Q201" s="83">
        <f t="shared" si="10"/>
        <v>65</v>
      </c>
      <c r="AI201" s="85">
        <f t="shared" si="7"/>
        <v>101</v>
      </c>
      <c r="AJ201" s="86"/>
      <c r="AK201" s="86"/>
      <c r="AL201" s="61">
        <v>87</v>
      </c>
      <c r="AM201" s="61">
        <v>90</v>
      </c>
      <c r="AN201" s="86"/>
      <c r="AO201" s="86"/>
      <c r="AP201" s="61">
        <v>89</v>
      </c>
      <c r="AQ201" s="89">
        <v>92</v>
      </c>
    </row>
    <row r="202" spans="9:43">
      <c r="I202" s="115">
        <f t="shared" si="6"/>
        <v>100</v>
      </c>
      <c r="J202" s="81"/>
      <c r="K202" s="82"/>
      <c r="L202" s="61">
        <f t="shared" si="8"/>
        <v>61</v>
      </c>
      <c r="M202" s="61">
        <f t="shared" si="8"/>
        <v>66</v>
      </c>
      <c r="N202" s="82"/>
      <c r="O202" s="82"/>
      <c r="P202" s="61">
        <f t="shared" si="9"/>
        <v>62</v>
      </c>
      <c r="Q202" s="83">
        <f t="shared" si="10"/>
        <v>64</v>
      </c>
      <c r="AI202" s="85">
        <f t="shared" si="7"/>
        <v>100</v>
      </c>
      <c r="AJ202" s="86"/>
      <c r="AK202" s="86"/>
      <c r="AL202" s="61">
        <v>87</v>
      </c>
      <c r="AM202" s="61">
        <v>90</v>
      </c>
      <c r="AN202" s="86"/>
      <c r="AO202" s="86"/>
      <c r="AP202" s="61">
        <v>88</v>
      </c>
      <c r="AQ202" s="89">
        <v>92</v>
      </c>
    </row>
    <row r="203" spans="9:43">
      <c r="I203" s="115">
        <f t="shared" si="6"/>
        <v>99</v>
      </c>
      <c r="J203" s="81"/>
      <c r="K203" s="82"/>
      <c r="L203" s="61">
        <f t="shared" si="8"/>
        <v>60</v>
      </c>
      <c r="M203" s="61">
        <f t="shared" si="8"/>
        <v>65</v>
      </c>
      <c r="N203" s="82"/>
      <c r="O203" s="82"/>
      <c r="P203" s="61">
        <v>62</v>
      </c>
      <c r="Q203" s="83">
        <f t="shared" si="10"/>
        <v>64</v>
      </c>
      <c r="AI203" s="85">
        <f t="shared" si="7"/>
        <v>99</v>
      </c>
      <c r="AJ203" s="86"/>
      <c r="AK203" s="86"/>
      <c r="AL203" s="61">
        <v>85</v>
      </c>
      <c r="AM203" s="61">
        <v>90</v>
      </c>
      <c r="AN203" s="86"/>
      <c r="AO203" s="86"/>
      <c r="AP203" s="61">
        <v>86</v>
      </c>
      <c r="AQ203" s="89">
        <v>91</v>
      </c>
    </row>
    <row r="204" spans="9:43">
      <c r="I204" s="115">
        <f t="shared" si="6"/>
        <v>98</v>
      </c>
      <c r="J204" s="81"/>
      <c r="K204" s="82"/>
      <c r="L204" s="61">
        <f t="shared" si="8"/>
        <v>60</v>
      </c>
      <c r="M204" s="61">
        <v>64</v>
      </c>
      <c r="N204" s="82"/>
      <c r="O204" s="82"/>
      <c r="P204" s="61">
        <f t="shared" si="9"/>
        <v>61</v>
      </c>
      <c r="Q204" s="83">
        <f t="shared" si="10"/>
        <v>63</v>
      </c>
      <c r="AI204" s="85">
        <f t="shared" si="7"/>
        <v>98</v>
      </c>
      <c r="AJ204" s="86"/>
      <c r="AK204" s="86"/>
      <c r="AL204" s="61">
        <v>84</v>
      </c>
      <c r="AM204" s="61">
        <v>89</v>
      </c>
      <c r="AN204" s="86"/>
      <c r="AO204" s="86"/>
      <c r="AP204" s="61">
        <v>85</v>
      </c>
      <c r="AQ204" s="89">
        <v>89</v>
      </c>
    </row>
    <row r="205" spans="9:43">
      <c r="I205" s="115">
        <f t="shared" si="6"/>
        <v>97</v>
      </c>
      <c r="J205" s="81"/>
      <c r="K205" s="82"/>
      <c r="L205" s="61">
        <f t="shared" si="8"/>
        <v>59</v>
      </c>
      <c r="M205" s="61">
        <f t="shared" si="8"/>
        <v>64</v>
      </c>
      <c r="N205" s="82"/>
      <c r="O205" s="82"/>
      <c r="P205" s="61">
        <v>61</v>
      </c>
      <c r="Q205" s="83">
        <f t="shared" si="10"/>
        <v>63</v>
      </c>
      <c r="AI205" s="85">
        <f t="shared" si="7"/>
        <v>97</v>
      </c>
      <c r="AJ205" s="86"/>
      <c r="AK205" s="86"/>
      <c r="AL205" s="61">
        <v>82</v>
      </c>
      <c r="AM205" s="61">
        <v>88</v>
      </c>
      <c r="AN205" s="86"/>
      <c r="AO205" s="86"/>
      <c r="AP205" s="61">
        <v>83</v>
      </c>
      <c r="AQ205" s="89">
        <v>89</v>
      </c>
    </row>
    <row r="206" spans="9:43">
      <c r="I206" s="115">
        <f t="shared" si="6"/>
        <v>96</v>
      </c>
      <c r="J206" s="81"/>
      <c r="K206" s="82"/>
      <c r="L206" s="61">
        <f t="shared" si="8"/>
        <v>59</v>
      </c>
      <c r="M206" s="61">
        <f t="shared" si="8"/>
        <v>63</v>
      </c>
      <c r="N206" s="82"/>
      <c r="O206" s="82"/>
      <c r="P206" s="61">
        <f t="shared" si="9"/>
        <v>60</v>
      </c>
      <c r="Q206" s="83">
        <f t="shared" si="10"/>
        <v>62</v>
      </c>
      <c r="AI206" s="85">
        <f t="shared" si="7"/>
        <v>96</v>
      </c>
      <c r="AJ206" s="86"/>
      <c r="AK206" s="86"/>
      <c r="AL206" s="61">
        <v>81</v>
      </c>
      <c r="AM206" s="61">
        <v>87</v>
      </c>
      <c r="AN206" s="86"/>
      <c r="AO206" s="86"/>
      <c r="AP206" s="61">
        <v>80</v>
      </c>
      <c r="AQ206" s="89">
        <v>87</v>
      </c>
    </row>
    <row r="207" spans="9:43">
      <c r="I207" s="115">
        <f t="shared" si="6"/>
        <v>95</v>
      </c>
      <c r="J207" s="81"/>
      <c r="K207" s="82"/>
      <c r="L207" s="61">
        <f t="shared" si="8"/>
        <v>58</v>
      </c>
      <c r="M207" s="61">
        <f t="shared" si="8"/>
        <v>63</v>
      </c>
      <c r="N207" s="82"/>
      <c r="O207" s="82"/>
      <c r="P207" s="61">
        <v>60</v>
      </c>
      <c r="Q207" s="83">
        <v>61</v>
      </c>
      <c r="AI207" s="85">
        <f t="shared" si="7"/>
        <v>95</v>
      </c>
      <c r="AJ207" s="86"/>
      <c r="AK207" s="86"/>
      <c r="AL207" s="61">
        <v>81</v>
      </c>
      <c r="AM207" s="61">
        <v>85</v>
      </c>
      <c r="AN207" s="86"/>
      <c r="AO207" s="86"/>
      <c r="AP207" s="61">
        <f t="shared" si="11"/>
        <v>80</v>
      </c>
      <c r="AQ207" s="89">
        <v>86</v>
      </c>
    </row>
    <row r="208" spans="9:43">
      <c r="I208" s="115">
        <f t="shared" si="6"/>
        <v>94</v>
      </c>
      <c r="J208" s="81"/>
      <c r="K208" s="82"/>
      <c r="L208" s="61">
        <f t="shared" si="8"/>
        <v>58</v>
      </c>
      <c r="M208" s="61">
        <f t="shared" si="8"/>
        <v>62</v>
      </c>
      <c r="N208" s="82"/>
      <c r="O208" s="82"/>
      <c r="P208" s="61">
        <f t="shared" si="9"/>
        <v>59</v>
      </c>
      <c r="Q208" s="83">
        <f t="shared" si="10"/>
        <v>61</v>
      </c>
      <c r="AI208" s="85">
        <f t="shared" si="7"/>
        <v>94</v>
      </c>
      <c r="AJ208" s="86"/>
      <c r="AK208" s="86"/>
      <c r="AL208" s="61">
        <v>77</v>
      </c>
      <c r="AM208" s="61">
        <v>85</v>
      </c>
      <c r="AN208" s="86"/>
      <c r="AO208" s="86"/>
      <c r="AP208" s="61">
        <f t="shared" si="11"/>
        <v>80</v>
      </c>
      <c r="AQ208" s="89">
        <v>85</v>
      </c>
    </row>
    <row r="209" spans="9:43">
      <c r="I209" s="115">
        <f t="shared" si="6"/>
        <v>93</v>
      </c>
      <c r="J209" s="81"/>
      <c r="K209" s="82"/>
      <c r="L209" s="61">
        <f t="shared" si="8"/>
        <v>57</v>
      </c>
      <c r="M209" s="61">
        <f t="shared" si="8"/>
        <v>62</v>
      </c>
      <c r="N209" s="82"/>
      <c r="O209" s="82"/>
      <c r="P209" s="61">
        <v>59</v>
      </c>
      <c r="Q209" s="83">
        <f t="shared" si="10"/>
        <v>60</v>
      </c>
      <c r="AI209" s="85">
        <f t="shared" si="7"/>
        <v>93</v>
      </c>
      <c r="AJ209" s="86"/>
      <c r="AK209" s="86"/>
      <c r="AL209" s="61">
        <v>74</v>
      </c>
      <c r="AM209" s="61">
        <v>84</v>
      </c>
      <c r="AN209" s="86"/>
      <c r="AO209" s="86"/>
      <c r="AP209" s="61">
        <v>78</v>
      </c>
      <c r="AQ209" s="89">
        <v>84</v>
      </c>
    </row>
    <row r="210" spans="9:43">
      <c r="I210" s="115">
        <f t="shared" si="6"/>
        <v>92</v>
      </c>
      <c r="J210" s="81"/>
      <c r="K210" s="82"/>
      <c r="L210" s="61">
        <f t="shared" si="8"/>
        <v>57</v>
      </c>
      <c r="M210" s="61">
        <f t="shared" si="8"/>
        <v>61</v>
      </c>
      <c r="N210" s="82"/>
      <c r="O210" s="82"/>
      <c r="P210" s="61">
        <f t="shared" si="9"/>
        <v>58</v>
      </c>
      <c r="Q210" s="83">
        <f t="shared" si="10"/>
        <v>60</v>
      </c>
      <c r="AI210" s="85">
        <f t="shared" si="7"/>
        <v>92</v>
      </c>
      <c r="AJ210" s="86"/>
      <c r="AK210" s="86"/>
      <c r="AL210" s="61">
        <v>73</v>
      </c>
      <c r="AM210" s="61">
        <v>83</v>
      </c>
      <c r="AN210" s="86"/>
      <c r="AO210" s="86"/>
      <c r="AP210" s="61">
        <f t="shared" si="11"/>
        <v>78</v>
      </c>
      <c r="AQ210" s="89">
        <v>84</v>
      </c>
    </row>
    <row r="211" spans="9:43">
      <c r="I211" s="115">
        <f t="shared" si="6"/>
        <v>91</v>
      </c>
      <c r="J211" s="81"/>
      <c r="K211" s="82"/>
      <c r="L211" s="61">
        <f t="shared" si="8"/>
        <v>56</v>
      </c>
      <c r="M211" s="61">
        <f t="shared" si="8"/>
        <v>61</v>
      </c>
      <c r="N211" s="82"/>
      <c r="O211" s="82"/>
      <c r="P211" s="61">
        <f t="shared" si="9"/>
        <v>57</v>
      </c>
      <c r="Q211" s="83">
        <f t="shared" si="10"/>
        <v>59</v>
      </c>
      <c r="AI211" s="85">
        <f t="shared" si="7"/>
        <v>91</v>
      </c>
      <c r="AJ211" s="86"/>
      <c r="AK211" s="86"/>
      <c r="AL211" s="61">
        <v>72</v>
      </c>
      <c r="AM211" s="61">
        <v>83</v>
      </c>
      <c r="AN211" s="86"/>
      <c r="AO211" s="86"/>
      <c r="AP211" s="61">
        <f t="shared" si="11"/>
        <v>78</v>
      </c>
      <c r="AQ211" s="89">
        <v>82</v>
      </c>
    </row>
    <row r="212" spans="9:43">
      <c r="I212" s="115">
        <f t="shared" ref="I212:I249" si="12">I211-1</f>
        <v>90</v>
      </c>
      <c r="J212" s="81"/>
      <c r="K212" s="82"/>
      <c r="L212" s="61">
        <f t="shared" si="8"/>
        <v>56</v>
      </c>
      <c r="M212" s="61">
        <f t="shared" si="8"/>
        <v>60</v>
      </c>
      <c r="N212" s="82"/>
      <c r="O212" s="82"/>
      <c r="P212" s="61">
        <v>57</v>
      </c>
      <c r="Q212" s="83">
        <f t="shared" si="10"/>
        <v>59</v>
      </c>
      <c r="AI212" s="85">
        <f t="shared" ref="AI212:AI249" si="13">AI211-1</f>
        <v>90</v>
      </c>
      <c r="AJ212" s="86"/>
      <c r="AK212" s="86"/>
      <c r="AL212" s="61">
        <v>70</v>
      </c>
      <c r="AM212" s="61">
        <v>82</v>
      </c>
      <c r="AN212" s="86"/>
      <c r="AO212" s="86"/>
      <c r="AP212" s="61">
        <v>77</v>
      </c>
      <c r="AQ212" s="89">
        <v>81</v>
      </c>
    </row>
    <row r="213" spans="9:43">
      <c r="I213" s="115">
        <f t="shared" si="12"/>
        <v>89</v>
      </c>
      <c r="J213" s="81"/>
      <c r="K213" s="82"/>
      <c r="L213" s="61">
        <f t="shared" ref="L213:M249" si="14">L211-1</f>
        <v>55</v>
      </c>
      <c r="M213" s="61">
        <f t="shared" si="14"/>
        <v>60</v>
      </c>
      <c r="N213" s="82"/>
      <c r="O213" s="82"/>
      <c r="P213" s="61">
        <f t="shared" si="9"/>
        <v>56</v>
      </c>
      <c r="Q213" s="83">
        <f t="shared" si="10"/>
        <v>58</v>
      </c>
      <c r="AI213" s="85">
        <f t="shared" si="13"/>
        <v>89</v>
      </c>
      <c r="AJ213" s="86"/>
      <c r="AK213" s="86"/>
      <c r="AL213" s="61">
        <v>68</v>
      </c>
      <c r="AM213" s="61">
        <v>81</v>
      </c>
      <c r="AN213" s="86"/>
      <c r="AO213" s="86"/>
      <c r="AP213" s="61">
        <v>75</v>
      </c>
      <c r="AQ213" s="89">
        <v>80</v>
      </c>
    </row>
    <row r="214" spans="9:43">
      <c r="I214" s="115">
        <f t="shared" si="12"/>
        <v>88</v>
      </c>
      <c r="J214" s="81"/>
      <c r="K214" s="82"/>
      <c r="L214" s="61">
        <f t="shared" si="14"/>
        <v>55</v>
      </c>
      <c r="M214" s="61">
        <f t="shared" si="14"/>
        <v>59</v>
      </c>
      <c r="N214" s="82"/>
      <c r="O214" s="82"/>
      <c r="P214" s="61">
        <v>56</v>
      </c>
      <c r="Q214" s="83">
        <f t="shared" si="10"/>
        <v>58</v>
      </c>
      <c r="AI214" s="85">
        <f t="shared" si="13"/>
        <v>88</v>
      </c>
      <c r="AJ214" s="86"/>
      <c r="AK214" s="86"/>
      <c r="AL214" s="61">
        <v>66</v>
      </c>
      <c r="AM214" s="61">
        <v>81</v>
      </c>
      <c r="AN214" s="86"/>
      <c r="AO214" s="86"/>
      <c r="AP214" s="61">
        <v>74</v>
      </c>
      <c r="AQ214" s="89">
        <v>79</v>
      </c>
    </row>
    <row r="215" spans="9:43">
      <c r="I215" s="115">
        <f t="shared" si="12"/>
        <v>87</v>
      </c>
      <c r="J215" s="81"/>
      <c r="K215" s="82"/>
      <c r="L215" s="61">
        <f t="shared" si="14"/>
        <v>54</v>
      </c>
      <c r="M215" s="61">
        <v>58</v>
      </c>
      <c r="N215" s="82"/>
      <c r="O215" s="82"/>
      <c r="P215" s="61">
        <f t="shared" si="9"/>
        <v>55</v>
      </c>
      <c r="Q215" s="83">
        <f t="shared" si="10"/>
        <v>57</v>
      </c>
      <c r="AI215" s="85">
        <f t="shared" si="13"/>
        <v>87</v>
      </c>
      <c r="AJ215" s="86"/>
      <c r="AK215" s="86"/>
      <c r="AL215" s="61">
        <v>65</v>
      </c>
      <c r="AM215" s="61">
        <v>79</v>
      </c>
      <c r="AN215" s="86"/>
      <c r="AO215" s="86"/>
      <c r="AP215" s="61">
        <v>71</v>
      </c>
      <c r="AQ215" s="89">
        <v>77</v>
      </c>
    </row>
    <row r="216" spans="9:43">
      <c r="I216" s="115">
        <f t="shared" si="12"/>
        <v>86</v>
      </c>
      <c r="J216" s="81"/>
      <c r="K216" s="82"/>
      <c r="L216" s="61">
        <f t="shared" si="14"/>
        <v>54</v>
      </c>
      <c r="M216" s="61">
        <f t="shared" si="14"/>
        <v>58</v>
      </c>
      <c r="N216" s="82"/>
      <c r="O216" s="82"/>
      <c r="P216" s="61">
        <v>55</v>
      </c>
      <c r="Q216" s="83">
        <v>56</v>
      </c>
      <c r="AI216" s="85">
        <f t="shared" si="13"/>
        <v>86</v>
      </c>
      <c r="AJ216" s="86"/>
      <c r="AK216" s="86"/>
      <c r="AL216" s="61">
        <v>64</v>
      </c>
      <c r="AM216" s="61">
        <v>77</v>
      </c>
      <c r="AN216" s="86"/>
      <c r="AO216" s="86"/>
      <c r="AP216" s="61">
        <v>69</v>
      </c>
      <c r="AQ216" s="89">
        <v>75</v>
      </c>
    </row>
    <row r="217" spans="9:43">
      <c r="I217" s="115">
        <f t="shared" si="12"/>
        <v>85</v>
      </c>
      <c r="J217" s="81"/>
      <c r="K217" s="82"/>
      <c r="L217" s="61">
        <v>54</v>
      </c>
      <c r="M217" s="61">
        <f t="shared" ref="M217:M249" si="15">M215-1</f>
        <v>57</v>
      </c>
      <c r="N217" s="82"/>
      <c r="O217" s="82"/>
      <c r="P217" s="61">
        <f t="shared" si="9"/>
        <v>54</v>
      </c>
      <c r="Q217" s="83">
        <f t="shared" si="10"/>
        <v>56</v>
      </c>
      <c r="AI217" s="85">
        <f t="shared" si="13"/>
        <v>85</v>
      </c>
      <c r="AJ217" s="86"/>
      <c r="AK217" s="86"/>
      <c r="AL217" s="61">
        <v>64</v>
      </c>
      <c r="AM217" s="61">
        <v>76</v>
      </c>
      <c r="AN217" s="86"/>
      <c r="AO217" s="86"/>
      <c r="AP217" s="61">
        <v>67</v>
      </c>
      <c r="AQ217" s="89">
        <v>72</v>
      </c>
    </row>
    <row r="218" spans="9:43">
      <c r="I218" s="115">
        <f t="shared" si="12"/>
        <v>84</v>
      </c>
      <c r="J218" s="81"/>
      <c r="K218" s="82"/>
      <c r="L218" s="61">
        <f t="shared" si="14"/>
        <v>53</v>
      </c>
      <c r="M218" s="61">
        <f t="shared" si="15"/>
        <v>57</v>
      </c>
      <c r="N218" s="82"/>
      <c r="O218" s="82"/>
      <c r="P218" s="61">
        <f t="shared" ref="P218:P249" si="16">P217-1</f>
        <v>53</v>
      </c>
      <c r="Q218" s="83">
        <f t="shared" si="10"/>
        <v>55</v>
      </c>
      <c r="AI218" s="85">
        <f t="shared" si="13"/>
        <v>84</v>
      </c>
      <c r="AJ218" s="86"/>
      <c r="AK218" s="86"/>
      <c r="AL218" s="61">
        <v>63</v>
      </c>
      <c r="AM218" s="61">
        <v>74</v>
      </c>
      <c r="AN218" s="86"/>
      <c r="AO218" s="86"/>
      <c r="AP218" s="61">
        <v>65</v>
      </c>
      <c r="AQ218" s="89">
        <v>70</v>
      </c>
    </row>
    <row r="219" spans="9:43">
      <c r="I219" s="115">
        <f t="shared" si="12"/>
        <v>83</v>
      </c>
      <c r="J219" s="81"/>
      <c r="K219" s="82"/>
      <c r="L219" s="61">
        <f t="shared" si="14"/>
        <v>53</v>
      </c>
      <c r="M219" s="61">
        <f t="shared" si="15"/>
        <v>56</v>
      </c>
      <c r="N219" s="82"/>
      <c r="O219" s="82"/>
      <c r="P219" s="61">
        <v>53</v>
      </c>
      <c r="Q219" s="83">
        <f t="shared" si="10"/>
        <v>55</v>
      </c>
      <c r="AI219" s="85">
        <f t="shared" si="13"/>
        <v>83</v>
      </c>
      <c r="AJ219" s="86"/>
      <c r="AK219" s="86"/>
      <c r="AL219" s="61">
        <v>62</v>
      </c>
      <c r="AM219" s="61">
        <v>74</v>
      </c>
      <c r="AN219" s="86"/>
      <c r="AO219" s="86"/>
      <c r="AP219" s="61">
        <v>62</v>
      </c>
      <c r="AQ219" s="89">
        <v>69</v>
      </c>
    </row>
    <row r="220" spans="9:43">
      <c r="I220" s="115">
        <f t="shared" si="12"/>
        <v>82</v>
      </c>
      <c r="J220" s="81"/>
      <c r="K220" s="82"/>
      <c r="L220" s="61">
        <f t="shared" si="14"/>
        <v>52</v>
      </c>
      <c r="M220" s="61">
        <f t="shared" si="15"/>
        <v>56</v>
      </c>
      <c r="N220" s="82"/>
      <c r="O220" s="82"/>
      <c r="P220" s="61">
        <f t="shared" si="16"/>
        <v>52</v>
      </c>
      <c r="Q220" s="83">
        <f t="shared" si="10"/>
        <v>54</v>
      </c>
      <c r="AI220" s="85">
        <f t="shared" si="13"/>
        <v>82</v>
      </c>
      <c r="AJ220" s="86"/>
      <c r="AK220" s="86"/>
      <c r="AL220" s="61">
        <v>60</v>
      </c>
      <c r="AM220" s="61">
        <v>73</v>
      </c>
      <c r="AN220" s="86"/>
      <c r="AO220" s="86"/>
      <c r="AP220" s="61">
        <v>61</v>
      </c>
      <c r="AQ220" s="89">
        <v>69</v>
      </c>
    </row>
    <row r="221" spans="9:43">
      <c r="I221" s="115">
        <f t="shared" si="12"/>
        <v>81</v>
      </c>
      <c r="J221" s="81"/>
      <c r="K221" s="82"/>
      <c r="L221" s="61">
        <f t="shared" si="14"/>
        <v>52</v>
      </c>
      <c r="M221" s="61">
        <f t="shared" si="15"/>
        <v>55</v>
      </c>
      <c r="N221" s="82"/>
      <c r="O221" s="82"/>
      <c r="P221" s="61">
        <v>52</v>
      </c>
      <c r="Q221" s="83">
        <f t="shared" si="10"/>
        <v>54</v>
      </c>
      <c r="AI221" s="85">
        <f t="shared" si="13"/>
        <v>81</v>
      </c>
      <c r="AJ221" s="86"/>
      <c r="AK221" s="86"/>
      <c r="AL221" s="61">
        <v>58</v>
      </c>
      <c r="AM221" s="61">
        <v>73</v>
      </c>
      <c r="AN221" s="86"/>
      <c r="AO221" s="86"/>
      <c r="AP221" s="61">
        <v>60</v>
      </c>
      <c r="AQ221" s="89">
        <v>68</v>
      </c>
    </row>
    <row r="222" spans="9:43">
      <c r="I222" s="115">
        <f t="shared" si="12"/>
        <v>80</v>
      </c>
      <c r="J222" s="81"/>
      <c r="K222" s="82"/>
      <c r="L222" s="61">
        <f t="shared" si="14"/>
        <v>51</v>
      </c>
      <c r="M222" s="61">
        <f t="shared" si="15"/>
        <v>55</v>
      </c>
      <c r="N222" s="82"/>
      <c r="O222" s="82"/>
      <c r="P222" s="61">
        <f t="shared" si="16"/>
        <v>51</v>
      </c>
      <c r="Q222" s="83">
        <f t="shared" ref="Q222:Q249" si="17">Q220-1</f>
        <v>53</v>
      </c>
      <c r="AI222" s="85">
        <f t="shared" si="13"/>
        <v>80</v>
      </c>
      <c r="AJ222" s="86"/>
      <c r="AK222" s="86"/>
      <c r="AL222" s="61">
        <v>56</v>
      </c>
      <c r="AM222" s="61">
        <v>72</v>
      </c>
      <c r="AN222" s="86"/>
      <c r="AO222" s="86"/>
      <c r="AP222" s="61">
        <v>57</v>
      </c>
      <c r="AQ222" s="89">
        <v>67</v>
      </c>
    </row>
    <row r="223" spans="9:43">
      <c r="I223" s="115">
        <f t="shared" si="12"/>
        <v>79</v>
      </c>
      <c r="J223" s="81"/>
      <c r="K223" s="82"/>
      <c r="L223" s="61">
        <f t="shared" si="14"/>
        <v>51</v>
      </c>
      <c r="M223" s="61">
        <f t="shared" si="15"/>
        <v>54</v>
      </c>
      <c r="N223" s="82"/>
      <c r="O223" s="82"/>
      <c r="P223" s="61">
        <v>51</v>
      </c>
      <c r="Q223" s="83">
        <f t="shared" si="17"/>
        <v>53</v>
      </c>
      <c r="AI223" s="85">
        <f t="shared" si="13"/>
        <v>79</v>
      </c>
      <c r="AJ223" s="86"/>
      <c r="AK223" s="86"/>
      <c r="AL223" s="61">
        <v>56</v>
      </c>
      <c r="AM223" s="61">
        <v>71</v>
      </c>
      <c r="AN223" s="86"/>
      <c r="AO223" s="86"/>
      <c r="AP223" s="61">
        <v>56</v>
      </c>
      <c r="AQ223" s="89">
        <v>66</v>
      </c>
    </row>
    <row r="224" spans="9:43">
      <c r="I224" s="115">
        <f t="shared" si="12"/>
        <v>78</v>
      </c>
      <c r="J224" s="81"/>
      <c r="K224" s="82"/>
      <c r="L224" s="61">
        <f t="shared" si="14"/>
        <v>50</v>
      </c>
      <c r="M224" s="61">
        <f t="shared" si="15"/>
        <v>54</v>
      </c>
      <c r="N224" s="82"/>
      <c r="O224" s="82"/>
      <c r="P224" s="61">
        <f t="shared" si="16"/>
        <v>50</v>
      </c>
      <c r="Q224" s="83">
        <f t="shared" si="17"/>
        <v>52</v>
      </c>
      <c r="AI224" s="85">
        <f t="shared" si="13"/>
        <v>78</v>
      </c>
      <c r="AJ224" s="86"/>
      <c r="AK224" s="86"/>
      <c r="AL224" s="61">
        <v>56</v>
      </c>
      <c r="AM224" s="61">
        <v>70</v>
      </c>
      <c r="AN224" s="86"/>
      <c r="AO224" s="86"/>
      <c r="AP224" s="61">
        <v>55</v>
      </c>
      <c r="AQ224" s="89">
        <v>65</v>
      </c>
    </row>
    <row r="225" spans="9:43">
      <c r="I225" s="115">
        <f t="shared" si="12"/>
        <v>77</v>
      </c>
      <c r="J225" s="81"/>
      <c r="K225" s="82"/>
      <c r="L225" s="61">
        <f t="shared" si="14"/>
        <v>50</v>
      </c>
      <c r="M225" s="61">
        <f t="shared" si="15"/>
        <v>53</v>
      </c>
      <c r="N225" s="82"/>
      <c r="O225" s="82"/>
      <c r="P225" s="61">
        <v>50</v>
      </c>
      <c r="Q225" s="83">
        <v>51</v>
      </c>
      <c r="AI225" s="85">
        <f t="shared" si="13"/>
        <v>77</v>
      </c>
      <c r="AJ225" s="86"/>
      <c r="AK225" s="86"/>
      <c r="AL225" s="61">
        <v>55</v>
      </c>
      <c r="AM225" s="61">
        <v>68</v>
      </c>
      <c r="AN225" s="86"/>
      <c r="AO225" s="86"/>
      <c r="AP225" s="61">
        <v>52</v>
      </c>
      <c r="AQ225" s="89">
        <v>61</v>
      </c>
    </row>
    <row r="226" spans="9:43">
      <c r="I226" s="115">
        <f t="shared" si="12"/>
        <v>76</v>
      </c>
      <c r="J226" s="81"/>
      <c r="K226" s="82"/>
      <c r="L226" s="61">
        <f t="shared" si="14"/>
        <v>49</v>
      </c>
      <c r="M226" s="61">
        <v>52</v>
      </c>
      <c r="N226" s="82"/>
      <c r="O226" s="82"/>
      <c r="P226" s="61">
        <f t="shared" si="16"/>
        <v>49</v>
      </c>
      <c r="Q226" s="83">
        <f t="shared" si="17"/>
        <v>51</v>
      </c>
      <c r="AI226" s="85">
        <f t="shared" si="13"/>
        <v>76</v>
      </c>
      <c r="AJ226" s="86"/>
      <c r="AK226" s="86"/>
      <c r="AL226" s="61">
        <v>54</v>
      </c>
      <c r="AM226" s="61">
        <v>67</v>
      </c>
      <c r="AN226" s="86"/>
      <c r="AO226" s="86"/>
      <c r="AP226" s="61">
        <v>50</v>
      </c>
      <c r="AQ226" s="89">
        <v>59</v>
      </c>
    </row>
    <row r="227" spans="9:43">
      <c r="I227" s="115">
        <f t="shared" si="12"/>
        <v>75</v>
      </c>
      <c r="J227" s="81"/>
      <c r="K227" s="82"/>
      <c r="L227" s="61">
        <f t="shared" si="14"/>
        <v>49</v>
      </c>
      <c r="M227" s="61">
        <f t="shared" si="15"/>
        <v>52</v>
      </c>
      <c r="N227" s="82"/>
      <c r="O227" s="82"/>
      <c r="P227" s="61">
        <f t="shared" si="16"/>
        <v>48</v>
      </c>
      <c r="Q227" s="83">
        <f t="shared" si="17"/>
        <v>50</v>
      </c>
      <c r="AI227" s="85">
        <f t="shared" si="13"/>
        <v>75</v>
      </c>
      <c r="AJ227" s="86"/>
      <c r="AK227" s="86"/>
      <c r="AL227" s="61">
        <v>53</v>
      </c>
      <c r="AM227" s="61">
        <v>65</v>
      </c>
      <c r="AN227" s="86"/>
      <c r="AO227" s="86"/>
      <c r="AP227" s="61">
        <v>48</v>
      </c>
      <c r="AQ227" s="89">
        <v>57</v>
      </c>
    </row>
    <row r="228" spans="9:43">
      <c r="I228" s="115">
        <f t="shared" si="12"/>
        <v>74</v>
      </c>
      <c r="J228" s="81"/>
      <c r="K228" s="82"/>
      <c r="L228" s="61">
        <f t="shared" si="14"/>
        <v>48</v>
      </c>
      <c r="M228" s="61">
        <f t="shared" si="15"/>
        <v>51</v>
      </c>
      <c r="N228" s="82"/>
      <c r="O228" s="82"/>
      <c r="P228" s="61">
        <v>48</v>
      </c>
      <c r="Q228" s="83">
        <f t="shared" si="17"/>
        <v>50</v>
      </c>
      <c r="AI228" s="85">
        <f t="shared" si="13"/>
        <v>74</v>
      </c>
      <c r="AJ228" s="86"/>
      <c r="AK228" s="86"/>
      <c r="AL228" s="61">
        <v>52</v>
      </c>
      <c r="AM228" s="61">
        <v>64</v>
      </c>
      <c r="AN228" s="86"/>
      <c r="AO228" s="86"/>
      <c r="AP228" s="61">
        <v>44</v>
      </c>
      <c r="AQ228" s="89">
        <v>56</v>
      </c>
    </row>
    <row r="229" spans="9:43">
      <c r="I229" s="115">
        <f t="shared" si="12"/>
        <v>73</v>
      </c>
      <c r="J229" s="81"/>
      <c r="K229" s="82"/>
      <c r="L229" s="61">
        <f t="shared" si="14"/>
        <v>48</v>
      </c>
      <c r="M229" s="61">
        <f t="shared" si="15"/>
        <v>51</v>
      </c>
      <c r="N229" s="82"/>
      <c r="O229" s="82"/>
      <c r="P229" s="61">
        <f t="shared" si="16"/>
        <v>47</v>
      </c>
      <c r="Q229" s="83">
        <f t="shared" si="17"/>
        <v>49</v>
      </c>
      <c r="AI229" s="85">
        <f t="shared" si="13"/>
        <v>73</v>
      </c>
      <c r="AJ229" s="86"/>
      <c r="AK229" s="86"/>
      <c r="AL229" s="61">
        <v>51</v>
      </c>
      <c r="AM229" s="61">
        <v>63</v>
      </c>
      <c r="AN229" s="86"/>
      <c r="AO229" s="86"/>
      <c r="AP229" s="61">
        <v>41</v>
      </c>
      <c r="AQ229" s="89">
        <v>54</v>
      </c>
    </row>
    <row r="230" spans="9:43">
      <c r="I230" s="115">
        <f t="shared" si="12"/>
        <v>72</v>
      </c>
      <c r="J230" s="81"/>
      <c r="K230" s="82"/>
      <c r="L230" s="61">
        <f t="shared" si="14"/>
        <v>47</v>
      </c>
      <c r="M230" s="61">
        <f t="shared" si="15"/>
        <v>50</v>
      </c>
      <c r="N230" s="82"/>
      <c r="O230" s="82"/>
      <c r="P230" s="61">
        <v>47</v>
      </c>
      <c r="Q230" s="83">
        <f t="shared" si="17"/>
        <v>49</v>
      </c>
      <c r="AI230" s="85">
        <f t="shared" si="13"/>
        <v>72</v>
      </c>
      <c r="AJ230" s="86"/>
      <c r="AK230" s="86"/>
      <c r="AL230" s="61">
        <v>49</v>
      </c>
      <c r="AM230" s="61">
        <v>61</v>
      </c>
      <c r="AN230" s="86"/>
      <c r="AO230" s="86"/>
      <c r="AP230" s="61">
        <v>39</v>
      </c>
      <c r="AQ230" s="89">
        <v>52</v>
      </c>
    </row>
    <row r="231" spans="9:43">
      <c r="I231" s="115">
        <f t="shared" si="12"/>
        <v>71</v>
      </c>
      <c r="J231" s="81"/>
      <c r="K231" s="82"/>
      <c r="L231" s="61">
        <f t="shared" si="14"/>
        <v>47</v>
      </c>
      <c r="M231" s="61">
        <f t="shared" si="15"/>
        <v>50</v>
      </c>
      <c r="N231" s="82"/>
      <c r="O231" s="82"/>
      <c r="P231" s="61">
        <f t="shared" si="16"/>
        <v>46</v>
      </c>
      <c r="Q231" s="83">
        <f t="shared" si="17"/>
        <v>48</v>
      </c>
      <c r="AI231" s="85">
        <f t="shared" si="13"/>
        <v>71</v>
      </c>
      <c r="AJ231" s="86"/>
      <c r="AK231" s="86"/>
      <c r="AL231" s="61">
        <v>47</v>
      </c>
      <c r="AM231" s="61">
        <v>60</v>
      </c>
      <c r="AN231" s="86"/>
      <c r="AO231" s="86"/>
      <c r="AP231" s="61">
        <f t="shared" si="11"/>
        <v>39</v>
      </c>
      <c r="AQ231" s="89">
        <v>50</v>
      </c>
    </row>
    <row r="232" spans="9:43">
      <c r="I232" s="115">
        <f t="shared" si="12"/>
        <v>70</v>
      </c>
      <c r="J232" s="81"/>
      <c r="K232" s="82"/>
      <c r="L232" s="61">
        <f t="shared" si="14"/>
        <v>46</v>
      </c>
      <c r="M232" s="61">
        <f t="shared" si="15"/>
        <v>49</v>
      </c>
      <c r="N232" s="82"/>
      <c r="O232" s="82"/>
      <c r="P232" s="61">
        <v>46</v>
      </c>
      <c r="Q232" s="83">
        <f t="shared" si="17"/>
        <v>48</v>
      </c>
      <c r="AI232" s="85">
        <f t="shared" si="13"/>
        <v>70</v>
      </c>
      <c r="AJ232" s="86"/>
      <c r="AK232" s="86"/>
      <c r="AL232" s="61">
        <v>46</v>
      </c>
      <c r="AM232" s="61">
        <v>59</v>
      </c>
      <c r="AN232" s="86"/>
      <c r="AO232" s="86"/>
      <c r="AP232" s="61">
        <v>38</v>
      </c>
      <c r="AQ232" s="89">
        <v>48</v>
      </c>
    </row>
    <row r="233" spans="9:43">
      <c r="I233" s="115">
        <f t="shared" si="12"/>
        <v>69</v>
      </c>
      <c r="J233" s="81"/>
      <c r="K233" s="82"/>
      <c r="L233" s="61">
        <f t="shared" si="14"/>
        <v>46</v>
      </c>
      <c r="M233" s="61">
        <f t="shared" si="15"/>
        <v>49</v>
      </c>
      <c r="N233" s="82"/>
      <c r="O233" s="82"/>
      <c r="P233" s="61">
        <f t="shared" si="16"/>
        <v>45</v>
      </c>
      <c r="Q233" s="83">
        <f t="shared" si="17"/>
        <v>47</v>
      </c>
      <c r="AI233" s="85">
        <f t="shared" si="13"/>
        <v>69</v>
      </c>
      <c r="AJ233" s="86"/>
      <c r="AK233" s="86"/>
      <c r="AL233" s="61">
        <v>45</v>
      </c>
      <c r="AM233" s="61">
        <v>56</v>
      </c>
      <c r="AN233" s="86"/>
      <c r="AO233" s="86"/>
      <c r="AP233" s="61">
        <v>35</v>
      </c>
      <c r="AQ233" s="89">
        <v>47</v>
      </c>
    </row>
    <row r="234" spans="9:43">
      <c r="I234" s="115">
        <f t="shared" si="12"/>
        <v>68</v>
      </c>
      <c r="J234" s="81"/>
      <c r="K234" s="82"/>
      <c r="L234" s="61">
        <f t="shared" si="14"/>
        <v>45</v>
      </c>
      <c r="M234" s="61">
        <f t="shared" si="15"/>
        <v>48</v>
      </c>
      <c r="N234" s="82"/>
      <c r="O234" s="82"/>
      <c r="P234" s="61">
        <v>45</v>
      </c>
      <c r="Q234" s="83">
        <v>46</v>
      </c>
      <c r="AI234" s="85">
        <f t="shared" si="13"/>
        <v>68</v>
      </c>
      <c r="AJ234" s="86"/>
      <c r="AK234" s="86"/>
      <c r="AL234" s="61">
        <v>42</v>
      </c>
      <c r="AM234" s="61">
        <v>54</v>
      </c>
      <c r="AN234" s="86"/>
      <c r="AO234" s="86"/>
      <c r="AP234" s="61">
        <f t="shared" si="11"/>
        <v>35</v>
      </c>
      <c r="AQ234" s="89">
        <v>47</v>
      </c>
    </row>
    <row r="235" spans="9:43">
      <c r="I235" s="115">
        <f t="shared" si="12"/>
        <v>67</v>
      </c>
      <c r="J235" s="81"/>
      <c r="K235" s="82"/>
      <c r="L235" s="61">
        <f t="shared" si="14"/>
        <v>45</v>
      </c>
      <c r="M235" s="61">
        <f t="shared" si="15"/>
        <v>48</v>
      </c>
      <c r="N235" s="82"/>
      <c r="O235" s="82"/>
      <c r="P235" s="61">
        <f t="shared" si="16"/>
        <v>44</v>
      </c>
      <c r="Q235" s="83">
        <f t="shared" si="17"/>
        <v>46</v>
      </c>
      <c r="AI235" s="85">
        <f t="shared" si="13"/>
        <v>67</v>
      </c>
      <c r="AJ235" s="86"/>
      <c r="AK235" s="86"/>
      <c r="AL235" s="61">
        <v>38</v>
      </c>
      <c r="AM235" s="61">
        <v>53</v>
      </c>
      <c r="AN235" s="86"/>
      <c r="AO235" s="86"/>
      <c r="AP235" s="61">
        <v>34</v>
      </c>
      <c r="AQ235" s="89">
        <v>45</v>
      </c>
    </row>
    <row r="236" spans="9:43">
      <c r="I236" s="115">
        <f t="shared" si="12"/>
        <v>66</v>
      </c>
      <c r="J236" s="81"/>
      <c r="K236" s="82"/>
      <c r="L236" s="61">
        <f t="shared" si="14"/>
        <v>44</v>
      </c>
      <c r="M236" s="61">
        <f t="shared" si="15"/>
        <v>47</v>
      </c>
      <c r="N236" s="82"/>
      <c r="O236" s="82"/>
      <c r="P236" s="61">
        <f t="shared" si="16"/>
        <v>43</v>
      </c>
      <c r="Q236" s="83">
        <f t="shared" si="17"/>
        <v>45</v>
      </c>
      <c r="AI236" s="85">
        <f t="shared" si="13"/>
        <v>66</v>
      </c>
      <c r="AJ236" s="86"/>
      <c r="AK236" s="86"/>
      <c r="AL236" s="61">
        <v>37</v>
      </c>
      <c r="AM236" s="61">
        <v>51</v>
      </c>
      <c r="AN236" s="86"/>
      <c r="AO236" s="86"/>
      <c r="AP236" s="61">
        <v>33</v>
      </c>
      <c r="AQ236" s="89">
        <v>43</v>
      </c>
    </row>
    <row r="237" spans="9:43">
      <c r="I237" s="115">
        <f t="shared" si="12"/>
        <v>65</v>
      </c>
      <c r="J237" s="81"/>
      <c r="K237" s="82"/>
      <c r="L237" s="61">
        <f t="shared" si="14"/>
        <v>44</v>
      </c>
      <c r="M237" s="61">
        <v>46</v>
      </c>
      <c r="N237" s="82"/>
      <c r="O237" s="82"/>
      <c r="P237" s="61">
        <v>43</v>
      </c>
      <c r="Q237" s="83">
        <f t="shared" si="17"/>
        <v>45</v>
      </c>
      <c r="AI237" s="85">
        <f t="shared" si="13"/>
        <v>65</v>
      </c>
      <c r="AJ237" s="86"/>
      <c r="AK237" s="86"/>
      <c r="AL237" s="61">
        <v>35</v>
      </c>
      <c r="AM237" s="61">
        <v>49</v>
      </c>
      <c r="AN237" s="86"/>
      <c r="AO237" s="86"/>
      <c r="AP237" s="61">
        <f t="shared" si="11"/>
        <v>33</v>
      </c>
      <c r="AQ237" s="89">
        <v>39</v>
      </c>
    </row>
    <row r="238" spans="9:43">
      <c r="I238" s="115">
        <f t="shared" si="12"/>
        <v>64</v>
      </c>
      <c r="J238" s="81"/>
      <c r="K238" s="82"/>
      <c r="L238" s="61">
        <f t="shared" si="14"/>
        <v>43</v>
      </c>
      <c r="M238" s="61">
        <f t="shared" si="15"/>
        <v>46</v>
      </c>
      <c r="N238" s="82"/>
      <c r="O238" s="82"/>
      <c r="P238" s="61">
        <f t="shared" si="16"/>
        <v>42</v>
      </c>
      <c r="Q238" s="83">
        <f t="shared" si="17"/>
        <v>44</v>
      </c>
      <c r="AI238" s="85">
        <f t="shared" si="13"/>
        <v>64</v>
      </c>
      <c r="AJ238" s="86"/>
      <c r="AK238" s="86"/>
      <c r="AL238" s="61">
        <v>32</v>
      </c>
      <c r="AM238" s="61">
        <v>48</v>
      </c>
      <c r="AN238" s="86"/>
      <c r="AO238" s="86"/>
      <c r="AP238" s="61">
        <v>31</v>
      </c>
      <c r="AQ238" s="89">
        <v>38</v>
      </c>
    </row>
    <row r="239" spans="9:43">
      <c r="I239" s="115">
        <f t="shared" si="12"/>
        <v>63</v>
      </c>
      <c r="J239" s="81"/>
      <c r="K239" s="82"/>
      <c r="L239" s="61">
        <f t="shared" si="14"/>
        <v>43</v>
      </c>
      <c r="M239" s="61">
        <f t="shared" si="15"/>
        <v>45</v>
      </c>
      <c r="N239" s="82"/>
      <c r="O239" s="82"/>
      <c r="P239" s="61">
        <v>42</v>
      </c>
      <c r="Q239" s="83">
        <f t="shared" si="17"/>
        <v>44</v>
      </c>
      <c r="AI239" s="85">
        <f t="shared" si="13"/>
        <v>63</v>
      </c>
      <c r="AJ239" s="86"/>
      <c r="AK239" s="86"/>
      <c r="AL239" s="61">
        <v>31</v>
      </c>
      <c r="AM239" s="61">
        <v>46</v>
      </c>
      <c r="AN239" s="86"/>
      <c r="AO239" s="86"/>
      <c r="AP239" s="61">
        <v>30</v>
      </c>
      <c r="AQ239" s="89">
        <v>36</v>
      </c>
    </row>
    <row r="240" spans="9:43">
      <c r="I240" s="115">
        <f t="shared" si="12"/>
        <v>62</v>
      </c>
      <c r="J240" s="81"/>
      <c r="K240" s="82"/>
      <c r="L240" s="61">
        <f t="shared" si="14"/>
        <v>42</v>
      </c>
      <c r="M240" s="61">
        <f t="shared" si="15"/>
        <v>45</v>
      </c>
      <c r="N240" s="82"/>
      <c r="O240" s="82"/>
      <c r="P240" s="61">
        <f t="shared" si="16"/>
        <v>41</v>
      </c>
      <c r="Q240" s="83">
        <f t="shared" si="17"/>
        <v>43</v>
      </c>
      <c r="AI240" s="85">
        <f t="shared" si="13"/>
        <v>62</v>
      </c>
      <c r="AJ240" s="86"/>
      <c r="AK240" s="86"/>
      <c r="AL240" s="61">
        <v>29</v>
      </c>
      <c r="AM240" s="61">
        <v>44</v>
      </c>
      <c r="AN240" s="86"/>
      <c r="AO240" s="86"/>
      <c r="AP240" s="61">
        <v>28</v>
      </c>
      <c r="AQ240" s="89">
        <v>34</v>
      </c>
    </row>
    <row r="241" spans="9:43">
      <c r="I241" s="115">
        <f t="shared" si="12"/>
        <v>61</v>
      </c>
      <c r="J241" s="81"/>
      <c r="K241" s="82"/>
      <c r="L241" s="61">
        <f t="shared" si="14"/>
        <v>42</v>
      </c>
      <c r="M241" s="61">
        <f t="shared" si="15"/>
        <v>44</v>
      </c>
      <c r="N241" s="82"/>
      <c r="O241" s="82"/>
      <c r="P241" s="61">
        <v>41</v>
      </c>
      <c r="Q241" s="83">
        <v>42</v>
      </c>
      <c r="AI241" s="85">
        <f t="shared" si="13"/>
        <v>61</v>
      </c>
      <c r="AJ241" s="86"/>
      <c r="AK241" s="86"/>
      <c r="AL241" s="61">
        <v>26</v>
      </c>
      <c r="AM241" s="61">
        <v>42</v>
      </c>
      <c r="AN241" s="86"/>
      <c r="AO241" s="86"/>
      <c r="AP241" s="61">
        <v>26</v>
      </c>
      <c r="AQ241" s="89">
        <v>32</v>
      </c>
    </row>
    <row r="242" spans="9:43">
      <c r="I242" s="115">
        <f t="shared" si="12"/>
        <v>60</v>
      </c>
      <c r="J242" s="81"/>
      <c r="K242" s="82"/>
      <c r="L242" s="61">
        <f t="shared" si="14"/>
        <v>41</v>
      </c>
      <c r="M242" s="61">
        <f t="shared" si="15"/>
        <v>44</v>
      </c>
      <c r="N242" s="82"/>
      <c r="O242" s="82"/>
      <c r="P242" s="61">
        <f t="shared" si="16"/>
        <v>40</v>
      </c>
      <c r="Q242" s="83">
        <f t="shared" si="17"/>
        <v>42</v>
      </c>
      <c r="AI242" s="85">
        <f t="shared" si="13"/>
        <v>60</v>
      </c>
      <c r="AJ242" s="86"/>
      <c r="AK242" s="86"/>
      <c r="AL242" s="61">
        <v>26</v>
      </c>
      <c r="AM242" s="61">
        <v>38</v>
      </c>
      <c r="AN242" s="86"/>
      <c r="AO242" s="86"/>
      <c r="AP242" s="61">
        <v>22</v>
      </c>
      <c r="AQ242" s="89">
        <v>27</v>
      </c>
    </row>
    <row r="243" spans="9:43">
      <c r="I243" s="115">
        <f t="shared" si="12"/>
        <v>59</v>
      </c>
      <c r="J243" s="81"/>
      <c r="K243" s="82"/>
      <c r="L243" s="61">
        <f t="shared" si="14"/>
        <v>41</v>
      </c>
      <c r="M243" s="61">
        <f t="shared" si="15"/>
        <v>43</v>
      </c>
      <c r="N243" s="82"/>
      <c r="O243" s="82"/>
      <c r="P243" s="61">
        <f t="shared" si="16"/>
        <v>39</v>
      </c>
      <c r="Q243" s="83">
        <f t="shared" si="17"/>
        <v>41</v>
      </c>
      <c r="AI243" s="85">
        <f t="shared" si="13"/>
        <v>59</v>
      </c>
      <c r="AJ243" s="86"/>
      <c r="AK243" s="86"/>
      <c r="AL243" s="61">
        <v>25</v>
      </c>
      <c r="AM243" s="61">
        <v>36</v>
      </c>
      <c r="AN243" s="86"/>
      <c r="AO243" s="86"/>
      <c r="AP243" s="61">
        <v>20</v>
      </c>
      <c r="AQ243" s="89">
        <v>22</v>
      </c>
    </row>
    <row r="244" spans="9:43">
      <c r="I244" s="115">
        <f t="shared" si="12"/>
        <v>58</v>
      </c>
      <c r="J244" s="81"/>
      <c r="K244" s="82"/>
      <c r="L244" s="61">
        <f t="shared" si="14"/>
        <v>40</v>
      </c>
      <c r="M244" s="61">
        <f t="shared" si="15"/>
        <v>43</v>
      </c>
      <c r="N244" s="82"/>
      <c r="O244" s="82"/>
      <c r="P244" s="61">
        <v>39</v>
      </c>
      <c r="Q244" s="83">
        <f t="shared" si="17"/>
        <v>41</v>
      </c>
      <c r="AI244" s="85">
        <f t="shared" si="13"/>
        <v>58</v>
      </c>
      <c r="AJ244" s="86"/>
      <c r="AK244" s="86"/>
      <c r="AL244" s="61">
        <v>24</v>
      </c>
      <c r="AM244" s="61">
        <v>34</v>
      </c>
      <c r="AN244" s="86"/>
      <c r="AO244" s="86"/>
      <c r="AP244" s="61">
        <v>18</v>
      </c>
      <c r="AQ244" s="89">
        <v>20</v>
      </c>
    </row>
    <row r="245" spans="9:43">
      <c r="I245" s="115">
        <f t="shared" si="12"/>
        <v>57</v>
      </c>
      <c r="J245" s="81"/>
      <c r="K245" s="82"/>
      <c r="L245" s="61">
        <f t="shared" si="14"/>
        <v>40</v>
      </c>
      <c r="M245" s="61">
        <f t="shared" si="15"/>
        <v>42</v>
      </c>
      <c r="N245" s="82"/>
      <c r="O245" s="82"/>
      <c r="P245" s="61">
        <f t="shared" si="16"/>
        <v>38</v>
      </c>
      <c r="Q245" s="83">
        <f t="shared" si="17"/>
        <v>40</v>
      </c>
      <c r="AI245" s="85">
        <f t="shared" si="13"/>
        <v>57</v>
      </c>
      <c r="AJ245" s="86"/>
      <c r="AK245" s="86"/>
      <c r="AL245" s="61">
        <v>22</v>
      </c>
      <c r="AM245" s="61">
        <v>30</v>
      </c>
      <c r="AN245" s="86"/>
      <c r="AO245" s="86"/>
      <c r="AP245" s="61">
        <v>16</v>
      </c>
      <c r="AQ245" s="89">
        <v>19</v>
      </c>
    </row>
    <row r="246" spans="9:43">
      <c r="I246" s="115">
        <f t="shared" si="12"/>
        <v>56</v>
      </c>
      <c r="J246" s="81"/>
      <c r="K246" s="82"/>
      <c r="L246" s="61">
        <f t="shared" si="14"/>
        <v>39</v>
      </c>
      <c r="M246" s="61">
        <f t="shared" si="15"/>
        <v>42</v>
      </c>
      <c r="N246" s="82"/>
      <c r="O246" s="82"/>
      <c r="P246" s="61">
        <v>38</v>
      </c>
      <c r="Q246" s="83">
        <f t="shared" si="17"/>
        <v>40</v>
      </c>
      <c r="AI246" s="85">
        <f t="shared" si="13"/>
        <v>56</v>
      </c>
      <c r="AJ246" s="86"/>
      <c r="AK246" s="86"/>
      <c r="AL246" s="61">
        <v>20</v>
      </c>
      <c r="AM246" s="61">
        <v>28</v>
      </c>
      <c r="AN246" s="86"/>
      <c r="AO246" s="86"/>
      <c r="AP246" s="61">
        <v>13</v>
      </c>
      <c r="AQ246" s="89">
        <v>18</v>
      </c>
    </row>
    <row r="247" spans="9:43">
      <c r="I247" s="115">
        <f t="shared" si="12"/>
        <v>55</v>
      </c>
      <c r="J247" s="81"/>
      <c r="K247" s="82"/>
      <c r="L247" s="61">
        <f t="shared" si="14"/>
        <v>39</v>
      </c>
      <c r="M247" s="61">
        <f t="shared" si="15"/>
        <v>41</v>
      </c>
      <c r="N247" s="82"/>
      <c r="O247" s="82"/>
      <c r="P247" s="61">
        <f t="shared" si="16"/>
        <v>37</v>
      </c>
      <c r="Q247" s="83">
        <f t="shared" si="17"/>
        <v>39</v>
      </c>
      <c r="AI247" s="85">
        <f t="shared" si="13"/>
        <v>55</v>
      </c>
      <c r="AJ247" s="86"/>
      <c r="AK247" s="86"/>
      <c r="AL247" s="61">
        <v>16</v>
      </c>
      <c r="AM247" s="61">
        <v>25</v>
      </c>
      <c r="AN247" s="86"/>
      <c r="AO247" s="86"/>
      <c r="AP247" s="61">
        <v>12</v>
      </c>
      <c r="AQ247" s="89">
        <v>15</v>
      </c>
    </row>
    <row r="248" spans="9:43">
      <c r="I248" s="115">
        <f t="shared" si="12"/>
        <v>54</v>
      </c>
      <c r="J248" s="81"/>
      <c r="K248" s="82"/>
      <c r="L248" s="61">
        <f t="shared" si="14"/>
        <v>38</v>
      </c>
      <c r="M248" s="61">
        <v>40</v>
      </c>
      <c r="N248" s="82"/>
      <c r="O248" s="82"/>
      <c r="P248" s="61">
        <v>37</v>
      </c>
      <c r="Q248" s="83">
        <f t="shared" si="17"/>
        <v>39</v>
      </c>
      <c r="AI248" s="85">
        <f t="shared" si="13"/>
        <v>54</v>
      </c>
      <c r="AJ248" s="86"/>
      <c r="AK248" s="86"/>
      <c r="AL248" s="61">
        <v>11</v>
      </c>
      <c r="AM248" s="61">
        <v>19</v>
      </c>
      <c r="AN248" s="86"/>
      <c r="AO248" s="86"/>
      <c r="AP248" s="61">
        <v>7</v>
      </c>
      <c r="AQ248" s="89">
        <v>2</v>
      </c>
    </row>
    <row r="249" spans="9:43">
      <c r="I249" s="115">
        <f t="shared" si="12"/>
        <v>53</v>
      </c>
      <c r="J249" s="81"/>
      <c r="K249" s="82"/>
      <c r="L249" s="61">
        <f t="shared" si="14"/>
        <v>38</v>
      </c>
      <c r="M249" s="61">
        <f t="shared" si="15"/>
        <v>40</v>
      </c>
      <c r="N249" s="82"/>
      <c r="O249" s="82"/>
      <c r="P249" s="61">
        <f t="shared" si="16"/>
        <v>36</v>
      </c>
      <c r="Q249" s="83">
        <f t="shared" si="17"/>
        <v>38</v>
      </c>
      <c r="AI249" s="85">
        <f t="shared" si="13"/>
        <v>53</v>
      </c>
      <c r="AJ249" s="86"/>
      <c r="AK249" s="86"/>
      <c r="AL249" s="61">
        <v>7</v>
      </c>
      <c r="AM249" s="61">
        <v>14</v>
      </c>
      <c r="AN249" s="86"/>
      <c r="AO249" s="86"/>
      <c r="AP249" s="61">
        <v>5</v>
      </c>
      <c r="AQ249" s="89">
        <v>9</v>
      </c>
    </row>
    <row r="250" spans="9:43" ht="15.75" thickBot="1">
      <c r="I250" s="123">
        <f>I249-1</f>
        <v>52</v>
      </c>
      <c r="J250" s="124"/>
      <c r="K250" s="124"/>
      <c r="L250" s="125">
        <v>37</v>
      </c>
      <c r="M250" s="125">
        <f>M248-1</f>
        <v>39</v>
      </c>
      <c r="N250" s="124"/>
      <c r="O250" s="82"/>
      <c r="P250" s="125">
        <v>36</v>
      </c>
      <c r="Q250" s="141">
        <v>37</v>
      </c>
      <c r="AI250" s="102">
        <f>AI249-1</f>
        <v>52</v>
      </c>
      <c r="AJ250" s="103"/>
      <c r="AK250" s="103"/>
      <c r="AL250" s="105">
        <v>5</v>
      </c>
      <c r="AM250" s="105">
        <v>11</v>
      </c>
      <c r="AN250" s="103"/>
      <c r="AO250" s="103"/>
      <c r="AP250" s="105">
        <v>3</v>
      </c>
      <c r="AQ250" s="106">
        <v>6</v>
      </c>
    </row>
    <row r="251" spans="9:43" ht="16.5" thickTop="1" thickBot="1">
      <c r="I251" s="109" t="s">
        <v>78</v>
      </c>
      <c r="J251" s="110"/>
      <c r="K251" s="110"/>
      <c r="L251" s="110">
        <v>3</v>
      </c>
      <c r="M251" s="110">
        <v>3</v>
      </c>
      <c r="N251" s="110"/>
      <c r="O251" s="110"/>
      <c r="P251" s="110">
        <v>3</v>
      </c>
      <c r="Q251" s="111">
        <v>3</v>
      </c>
    </row>
    <row r="252" spans="9:43" ht="15.75" thickTop="1"/>
  </sheetData>
  <sheetProtection algorithmName="SHA-512" hashValue="KDx0y7tcOoQbiyKmZ6RA7AZEU08bOLwDPbqhrRMV/HHOr3bh96jQN7YySxtp+0eWIJD5aarEj6sy6b9ju1wxZA==" saltValue="deo2NiKL9dxFlQCLXn9C5w==" spinCount="100000" sheet="1" objects="1" scenarios="1"/>
  <mergeCells count="68">
    <mergeCell ref="D4:E4"/>
    <mergeCell ref="J4:Q4"/>
    <mergeCell ref="R4:Y4"/>
    <mergeCell ref="Z4:AG4"/>
    <mergeCell ref="AJ4:AQ4"/>
    <mergeCell ref="AZ4:BG4"/>
    <mergeCell ref="J5:M5"/>
    <mergeCell ref="N5:Q5"/>
    <mergeCell ref="R5:U5"/>
    <mergeCell ref="V5:Y5"/>
    <mergeCell ref="Z5:AC5"/>
    <mergeCell ref="AD5:AG5"/>
    <mergeCell ref="AJ5:AM5"/>
    <mergeCell ref="AN5:AQ5"/>
    <mergeCell ref="AR5:AU5"/>
    <mergeCell ref="AR4:AY4"/>
    <mergeCell ref="AV5:AY5"/>
    <mergeCell ref="AZ5:BC5"/>
    <mergeCell ref="BD5:BG5"/>
    <mergeCell ref="F6:G6"/>
    <mergeCell ref="J28:Q28"/>
    <mergeCell ref="R28:Y28"/>
    <mergeCell ref="Z28:AG28"/>
    <mergeCell ref="AJ28:AQ28"/>
    <mergeCell ref="AR28:AY28"/>
    <mergeCell ref="AZ28:BG28"/>
    <mergeCell ref="AV29:AY29"/>
    <mergeCell ref="AZ29:BC29"/>
    <mergeCell ref="BD29:BG29"/>
    <mergeCell ref="AR29:AU29"/>
    <mergeCell ref="AD29:AG29"/>
    <mergeCell ref="J51:Q51"/>
    <mergeCell ref="AJ51:AQ51"/>
    <mergeCell ref="AJ29:AM29"/>
    <mergeCell ref="AN29:AQ29"/>
    <mergeCell ref="J29:M29"/>
    <mergeCell ref="N29:Q29"/>
    <mergeCell ref="R29:U29"/>
    <mergeCell ref="V29:Y29"/>
    <mergeCell ref="Z29:AC29"/>
    <mergeCell ref="AZ76:BG76"/>
    <mergeCell ref="AJ52:AM52"/>
    <mergeCell ref="AN52:AQ52"/>
    <mergeCell ref="J52:M52"/>
    <mergeCell ref="N52:Q52"/>
    <mergeCell ref="J76:Q76"/>
    <mergeCell ref="R76:Y76"/>
    <mergeCell ref="Z76:AG76"/>
    <mergeCell ref="AJ76:AQ76"/>
    <mergeCell ref="AR76:AY76"/>
    <mergeCell ref="BD77:BG77"/>
    <mergeCell ref="J77:M77"/>
    <mergeCell ref="N77:Q77"/>
    <mergeCell ref="R77:U77"/>
    <mergeCell ref="V77:Y77"/>
    <mergeCell ref="Z77:AC77"/>
    <mergeCell ref="AD77:AG77"/>
    <mergeCell ref="AJ77:AM77"/>
    <mergeCell ref="AN77:AQ77"/>
    <mergeCell ref="AR77:AU77"/>
    <mergeCell ref="AV77:AY77"/>
    <mergeCell ref="AZ77:BC77"/>
    <mergeCell ref="J143:Q143"/>
    <mergeCell ref="AJ143:AQ143"/>
    <mergeCell ref="J144:M144"/>
    <mergeCell ref="N144:Q144"/>
    <mergeCell ref="AJ144:AM144"/>
    <mergeCell ref="AN144:AQ144"/>
  </mergeCells>
  <phoneticPr fontId="9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90b294c-5736-49fe-b90e-53d6be5e8a40}" enabled="1" method="Privileged" siteId="{c57d1a73-0e5c-464b-afb7-086dc67f3d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WPAHS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Page</dc:creator>
  <cp:keywords/>
  <dc:description/>
  <cp:lastModifiedBy>Bross, Hannah (AHN)</cp:lastModifiedBy>
  <cp:revision/>
  <dcterms:created xsi:type="dcterms:W3CDTF">2014-01-10T19:28:08Z</dcterms:created>
  <dcterms:modified xsi:type="dcterms:W3CDTF">2026-02-23T18:23:43Z</dcterms:modified>
  <cp:category/>
  <cp:contentStatus/>
</cp:coreProperties>
</file>