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Neuropsychology\Unterberger, Jeffrey\Measures and Templates\"/>
    </mc:Choice>
  </mc:AlternateContent>
  <xr:revisionPtr revIDLastSave="21" documentId="13_ncr:1_{2A1E8C53-E5B6-4BE5-8345-394AF773CAC3}" xr6:coauthVersionLast="47" xr6:coauthVersionMax="47" xr10:uidLastSave="{C670A714-BA36-4301-A259-C090833D33AD}"/>
  <bookViews>
    <workbookView xWindow="-120" yWindow="-120" windowWidth="29040" windowHeight="15720" xr2:uid="{00000000-000D-0000-FFFF-FFFF00000000}"/>
  </bookViews>
  <sheets>
    <sheet name="Z-Score Calculator" sheetId="3" r:id="rId1"/>
    <sheet name="T-Scores" sheetId="4" r:id="rId2"/>
    <sheet name="Standard Score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J7" i="3"/>
  <c r="O3" i="6" l="1"/>
  <c r="Y7" i="3" l="1"/>
  <c r="Y10" i="3" s="1"/>
  <c r="Y9" i="3" l="1"/>
  <c r="Y8" i="3"/>
  <c r="M7" i="3"/>
  <c r="F3" i="6" l="1"/>
  <c r="I3" i="6"/>
  <c r="R3" i="6"/>
  <c r="L3" i="6"/>
  <c r="B4" i="6"/>
  <c r="B5" i="6" s="1"/>
  <c r="B6" i="6" s="1"/>
  <c r="B7" i="6" s="1"/>
  <c r="B8" i="6" s="1"/>
  <c r="E4" i="6"/>
  <c r="E5" i="6" s="1"/>
  <c r="F5" i="6" s="1"/>
  <c r="H4" i="6"/>
  <c r="H5" i="6" s="1"/>
  <c r="I5" i="6" s="1"/>
  <c r="K4" i="6"/>
  <c r="L4" i="6" s="1"/>
  <c r="N4" i="6"/>
  <c r="O4" i="6" s="1"/>
  <c r="Q4" i="6"/>
  <c r="Q5" i="6" s="1"/>
  <c r="Q6" i="6" s="1"/>
  <c r="R6" i="6" s="1"/>
  <c r="R4" i="6" l="1"/>
  <c r="K5" i="6"/>
  <c r="K6" i="6" s="1"/>
  <c r="K7" i="6" s="1"/>
  <c r="K8" i="6" s="1"/>
  <c r="K9" i="6" s="1"/>
  <c r="K10" i="6" s="1"/>
  <c r="K11" i="6" s="1"/>
  <c r="K12" i="6" s="1"/>
  <c r="F4" i="6"/>
  <c r="R5" i="6"/>
  <c r="I4" i="6"/>
  <c r="N5" i="6"/>
  <c r="K13" i="6"/>
  <c r="L12" i="6"/>
  <c r="L11" i="6"/>
  <c r="L8" i="6"/>
  <c r="L5" i="6"/>
  <c r="L9" i="6"/>
  <c r="L6" i="6"/>
  <c r="L10" i="6"/>
  <c r="H6" i="6"/>
  <c r="I6" i="6" s="1"/>
  <c r="E6" i="6"/>
  <c r="F6" i="6" s="1"/>
  <c r="B9" i="6"/>
  <c r="E7" i="6"/>
  <c r="F7" i="6" s="1"/>
  <c r="Q7" i="6"/>
  <c r="R7" i="6" s="1"/>
  <c r="U7" i="3"/>
  <c r="L7" i="6" l="1"/>
  <c r="N6" i="6"/>
  <c r="O5" i="6"/>
  <c r="H7" i="6"/>
  <c r="I7" i="6" s="1"/>
  <c r="K14" i="6"/>
  <c r="L13" i="6"/>
  <c r="B10" i="6"/>
  <c r="C10" i="6" s="1"/>
  <c r="E8" i="6"/>
  <c r="F8" i="6" s="1"/>
  <c r="Q8" i="6"/>
  <c r="R8" i="6" s="1"/>
  <c r="H8" i="6" l="1"/>
  <c r="I8" i="6" s="1"/>
  <c r="O6" i="6"/>
  <c r="N7" i="6"/>
  <c r="K15" i="6"/>
  <c r="L14" i="6"/>
  <c r="B11" i="6"/>
  <c r="C11" i="6" s="1"/>
  <c r="E9" i="6"/>
  <c r="F9" i="6" s="1"/>
  <c r="H9" i="6"/>
  <c r="I9" i="6" s="1"/>
  <c r="Q9" i="6"/>
  <c r="Q10" i="3"/>
  <c r="N8" i="6" l="1"/>
  <c r="O7" i="6"/>
  <c r="Q10" i="6"/>
  <c r="R9" i="6"/>
  <c r="K16" i="6"/>
  <c r="L15" i="6"/>
  <c r="B12" i="6"/>
  <c r="C12" i="6" s="1"/>
  <c r="E10" i="6"/>
  <c r="F10" i="6" s="1"/>
  <c r="H10" i="6"/>
  <c r="I10" i="6" s="1"/>
  <c r="Q8" i="3"/>
  <c r="M10" i="3"/>
  <c r="M9" i="3" s="1"/>
  <c r="Q9" i="3"/>
  <c r="J8" i="3"/>
  <c r="Q11" i="6" l="1"/>
  <c r="R10" i="6"/>
  <c r="N9" i="6"/>
  <c r="O8" i="6"/>
  <c r="K17" i="6"/>
  <c r="L17" i="6" s="1"/>
  <c r="L16" i="6"/>
  <c r="B13" i="6"/>
  <c r="E11" i="6"/>
  <c r="F11" i="6" s="1"/>
  <c r="H11" i="6"/>
  <c r="I11" i="6" s="1"/>
  <c r="E6" i="3"/>
  <c r="N10" i="6" l="1"/>
  <c r="O9" i="6"/>
  <c r="B14" i="6"/>
  <c r="C13" i="6"/>
  <c r="Q12" i="6"/>
  <c r="Q13" i="6" s="1"/>
  <c r="Q14" i="6" s="1"/>
  <c r="Q15" i="6" s="1"/>
  <c r="Q16" i="6" s="1"/>
  <c r="Q17" i="6" s="1"/>
  <c r="R11" i="6"/>
  <c r="E12" i="6"/>
  <c r="F12" i="6" s="1"/>
  <c r="H12" i="6"/>
  <c r="I12" i="6" s="1"/>
  <c r="B15" i="6" l="1"/>
  <c r="C14" i="6"/>
  <c r="N11" i="6"/>
  <c r="O10" i="6"/>
  <c r="E13" i="6"/>
  <c r="H13" i="6"/>
  <c r="U10" i="3"/>
  <c r="H14" i="6" l="1"/>
  <c r="I13" i="6"/>
  <c r="E14" i="6"/>
  <c r="F13" i="6"/>
  <c r="N12" i="6"/>
  <c r="O11" i="6"/>
  <c r="B16" i="6"/>
  <c r="C15" i="6"/>
  <c r="F21" i="4"/>
  <c r="C20" i="4"/>
  <c r="C8" i="4"/>
  <c r="F20" i="4"/>
  <c r="F9" i="4"/>
  <c r="I20" i="4"/>
  <c r="O20" i="4"/>
  <c r="R21" i="4"/>
  <c r="R20" i="4"/>
  <c r="O21" i="4"/>
  <c r="E15" i="6" l="1"/>
  <c r="F14" i="6"/>
  <c r="N13" i="6"/>
  <c r="O12" i="6"/>
  <c r="B17" i="6"/>
  <c r="C17" i="6" s="1"/>
  <c r="C16" i="6"/>
  <c r="H15" i="6"/>
  <c r="I14" i="6"/>
  <c r="R16" i="4"/>
  <c r="R15" i="4"/>
  <c r="O17" i="4"/>
  <c r="O16" i="4"/>
  <c r="O15" i="4"/>
  <c r="L17" i="4"/>
  <c r="L16" i="4"/>
  <c r="L15" i="4"/>
  <c r="I17" i="4"/>
  <c r="I16" i="4"/>
  <c r="I15" i="4"/>
  <c r="F17" i="4"/>
  <c r="B7" i="3"/>
  <c r="N14" i="6" l="1"/>
  <c r="O13" i="6"/>
  <c r="H16" i="6"/>
  <c r="I15" i="6"/>
  <c r="E16" i="6"/>
  <c r="F15" i="6"/>
  <c r="I3" i="4"/>
  <c r="E17" i="6" l="1"/>
  <c r="F17" i="6" s="1"/>
  <c r="F16" i="6"/>
  <c r="H17" i="6"/>
  <c r="I17" i="6" s="1"/>
  <c r="I16" i="6"/>
  <c r="N15" i="6"/>
  <c r="O14" i="6"/>
  <c r="R8" i="4"/>
  <c r="R7" i="4"/>
  <c r="R6" i="4"/>
  <c r="R5" i="4"/>
  <c r="R4" i="4"/>
  <c r="R3" i="4"/>
  <c r="O12" i="4"/>
  <c r="O11" i="4"/>
  <c r="O10" i="4"/>
  <c r="O9" i="4"/>
  <c r="O8" i="4"/>
  <c r="O7" i="4"/>
  <c r="O6" i="4"/>
  <c r="O5" i="4"/>
  <c r="O4" i="4"/>
  <c r="O3" i="4"/>
  <c r="L12" i="4"/>
  <c r="L11" i="4"/>
  <c r="L10" i="4"/>
  <c r="L9" i="4"/>
  <c r="L8" i="4"/>
  <c r="L7" i="4"/>
  <c r="L6" i="4"/>
  <c r="L5" i="4"/>
  <c r="L4" i="4"/>
  <c r="L3" i="4"/>
  <c r="I12" i="4"/>
  <c r="I11" i="4"/>
  <c r="I10" i="4"/>
  <c r="I9" i="4"/>
  <c r="I8" i="4"/>
  <c r="I7" i="4"/>
  <c r="I6" i="4"/>
  <c r="I5" i="4"/>
  <c r="I4" i="4"/>
  <c r="F12" i="4"/>
  <c r="F11" i="4"/>
  <c r="F10" i="4"/>
  <c r="F8" i="4"/>
  <c r="F7" i="4"/>
  <c r="F6" i="4"/>
  <c r="F5" i="4"/>
  <c r="F4" i="4"/>
  <c r="F3" i="4"/>
  <c r="C12" i="4"/>
  <c r="C11" i="4"/>
  <c r="C10" i="4"/>
  <c r="C9" i="4"/>
  <c r="N16" i="6" l="1"/>
  <c r="O15" i="6"/>
  <c r="J10" i="3"/>
  <c r="J9" i="3" s="1"/>
  <c r="U9" i="3"/>
  <c r="U8" i="3"/>
  <c r="M8" i="3"/>
  <c r="Q7" i="3"/>
  <c r="E7" i="3"/>
  <c r="E9" i="3" s="1"/>
  <c r="B9" i="3"/>
  <c r="N17" i="6" l="1"/>
  <c r="O17" i="6" s="1"/>
  <c r="O16" i="6"/>
  <c r="E8" i="3"/>
  <c r="E10" i="3" s="1"/>
  <c r="B8" i="3"/>
  <c r="B10" i="3" s="1"/>
</calcChain>
</file>

<file path=xl/sharedStrings.xml><?xml version="1.0" encoding="utf-8"?>
<sst xmlns="http://schemas.openxmlformats.org/spreadsheetml/2006/main" count="150" uniqueCount="41">
  <si>
    <t>Time Scores</t>
  </si>
  <si>
    <t>Non-Time Scores</t>
  </si>
  <si>
    <t>Raw Score:</t>
  </si>
  <si>
    <t>Mean:</t>
  </si>
  <si>
    <t>SD:</t>
  </si>
  <si>
    <t>Standard Score to Percentile</t>
  </si>
  <si>
    <t>T-Score to Percentile</t>
  </si>
  <si>
    <t>Scaled Score to Percentile</t>
  </si>
  <si>
    <t>Z-Score to Percentile</t>
  </si>
  <si>
    <t xml:space="preserve">Percentile to Z-Score </t>
  </si>
  <si>
    <t>Z-Score:</t>
  </si>
  <si>
    <t>Standard Score:</t>
  </si>
  <si>
    <t>T-Score:</t>
  </si>
  <si>
    <t>Scaled Score:</t>
  </si>
  <si>
    <t xml:space="preserve">Z-Score: </t>
  </si>
  <si>
    <t xml:space="preserve">Percentile: </t>
  </si>
  <si>
    <t>Stand. Score:</t>
  </si>
  <si>
    <t>Percentile</t>
  </si>
  <si>
    <t>Percentile:</t>
  </si>
  <si>
    <t xml:space="preserve">T-Score: </t>
  </si>
  <si>
    <t>Interpretation:</t>
  </si>
  <si>
    <t>Z Score:</t>
  </si>
  <si>
    <t>T-score &gt;75</t>
  </si>
  <si>
    <t>&gt;100th %ile</t>
  </si>
  <si>
    <t>T-Score &lt;25</t>
  </si>
  <si>
    <t>&lt;1st %ile</t>
  </si>
  <si>
    <t>T-Score</t>
  </si>
  <si>
    <t>&lt;1</t>
  </si>
  <si>
    <t>&gt;99</t>
  </si>
  <si>
    <t>ss</t>
  </si>
  <si>
    <t>Z-Score</t>
  </si>
  <si>
    <t>Extremely Low</t>
  </si>
  <si>
    <t>Very Low</t>
  </si>
  <si>
    <t>Low Average</t>
  </si>
  <si>
    <t>Average</t>
  </si>
  <si>
    <t>High Average</t>
  </si>
  <si>
    <t>Extremely High</t>
  </si>
  <si>
    <t>Very High</t>
  </si>
  <si>
    <t xml:space="preserve"> </t>
  </si>
  <si>
    <t>SS</t>
  </si>
  <si>
    <t xml:space="preserve">&lt;1st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</si>
</sst>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E5C5C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6" fillId="5" borderId="0" applyNumberFormat="0" applyBorder="0" applyAlignment="0" applyProtection="0"/>
    <xf numFmtId="0" fontId="8" fillId="11" borderId="0" applyNumberFormat="0" applyBorder="0" applyAlignment="0" applyProtection="0"/>
    <xf numFmtId="0" fontId="9" fillId="15" borderId="0" applyNumberFormat="0" applyBorder="0" applyAlignment="0" applyProtection="0"/>
    <xf numFmtId="0" fontId="10" fillId="16" borderId="2" applyNumberFormat="0" applyAlignment="0" applyProtection="0"/>
  </cellStyleXfs>
  <cellXfs count="5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5" borderId="1" xfId="1" applyFont="1" applyBorder="1"/>
    <xf numFmtId="1" fontId="3" fillId="6" borderId="0" xfId="0" applyNumberFormat="1" applyFont="1" applyFill="1"/>
    <xf numFmtId="0" fontId="7" fillId="6" borderId="1" xfId="1" applyFont="1" applyFill="1" applyBorder="1"/>
    <xf numFmtId="1" fontId="3" fillId="7" borderId="0" xfId="0" applyNumberFormat="1" applyFont="1" applyFill="1"/>
    <xf numFmtId="0" fontId="7" fillId="8" borderId="1" xfId="1" applyFont="1" applyFill="1" applyBorder="1"/>
    <xf numFmtId="1" fontId="3" fillId="9" borderId="0" xfId="0" applyNumberFormat="1" applyFont="1" applyFill="1"/>
    <xf numFmtId="0" fontId="7" fillId="9" borderId="1" xfId="1" applyFont="1" applyFill="1" applyBorder="1"/>
    <xf numFmtId="0" fontId="3" fillId="10" borderId="0" xfId="0" applyFont="1" applyFill="1"/>
    <xf numFmtId="2" fontId="3" fillId="2" borderId="0" xfId="0" applyNumberFormat="1" applyFont="1" applyFill="1"/>
    <xf numFmtId="0" fontId="0" fillId="0" borderId="0" xfId="0" applyAlignment="1">
      <alignment horizontal="center"/>
    </xf>
    <xf numFmtId="1" fontId="3" fillId="8" borderId="0" xfId="0" applyNumberFormat="1" applyFont="1" applyFill="1"/>
    <xf numFmtId="2" fontId="7" fillId="5" borderId="0" xfId="1" applyNumberFormat="1" applyFont="1"/>
    <xf numFmtId="1" fontId="3" fillId="17" borderId="0" xfId="0" applyNumberFormat="1" applyFont="1" applyFill="1"/>
    <xf numFmtId="0" fontId="12" fillId="19" borderId="1" xfId="1" applyFont="1" applyFill="1" applyBorder="1"/>
    <xf numFmtId="0" fontId="1" fillId="0" borderId="0" xfId="0" applyFont="1"/>
    <xf numFmtId="0" fontId="11" fillId="5" borderId="0" xfId="1" applyFont="1" applyAlignment="1">
      <alignment horizontal="center"/>
    </xf>
    <xf numFmtId="0" fontId="11" fillId="8" borderId="0" xfId="2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1" fontId="2" fillId="12" borderId="0" xfId="0" applyNumberFormat="1" applyFont="1" applyFill="1" applyAlignment="1">
      <alignment horizontal="center"/>
    </xf>
    <xf numFmtId="1" fontId="11" fillId="8" borderId="0" xfId="2" applyNumberFormat="1" applyFont="1" applyFill="1" applyAlignment="1">
      <alignment horizontal="center"/>
    </xf>
    <xf numFmtId="1" fontId="11" fillId="5" borderId="0" xfId="1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1" fontId="2" fillId="13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1" fontId="2" fillId="14" borderId="0" xfId="0" applyNumberFormat="1" applyFont="1" applyFill="1" applyAlignment="1">
      <alignment horizontal="center"/>
    </xf>
    <xf numFmtId="164" fontId="11" fillId="8" borderId="0" xfId="1" applyNumberFormat="1" applyFont="1" applyFill="1" applyAlignment="1">
      <alignment horizontal="center"/>
    </xf>
    <xf numFmtId="1" fontId="11" fillId="8" borderId="0" xfId="1" applyNumberFormat="1" applyFont="1" applyFill="1" applyAlignment="1">
      <alignment horizontal="center"/>
    </xf>
    <xf numFmtId="164" fontId="11" fillId="5" borderId="0" xfId="1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1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12" borderId="0" xfId="0" applyNumberFormat="1" applyFont="1" applyFill="1" applyAlignment="1">
      <alignment horizontal="center"/>
    </xf>
    <xf numFmtId="1" fontId="11" fillId="4" borderId="0" xfId="1" applyNumberFormat="1" applyFont="1" applyFill="1" applyAlignment="1">
      <alignment horizontal="center"/>
    </xf>
    <xf numFmtId="1" fontId="11" fillId="12" borderId="0" xfId="1" applyNumberFormat="1" applyFont="1" applyFill="1" applyAlignment="1">
      <alignment horizontal="center"/>
    </xf>
    <xf numFmtId="0" fontId="11" fillId="4" borderId="0" xfId="2" applyFont="1" applyFill="1" applyAlignment="1">
      <alignment horizontal="center"/>
    </xf>
    <xf numFmtId="0" fontId="11" fillId="12" borderId="0" xfId="2" applyFont="1" applyFill="1" applyAlignment="1">
      <alignment horizontal="center"/>
    </xf>
    <xf numFmtId="0" fontId="11" fillId="18" borderId="0" xfId="2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1" fontId="2" fillId="18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1" fillId="1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0" fontId="11" fillId="5" borderId="0" xfId="1" applyFont="1" applyAlignment="1">
      <alignment horizontal="center"/>
    </xf>
    <xf numFmtId="0" fontId="11" fillId="8" borderId="0" xfId="2" applyFont="1" applyFill="1" applyAlignment="1">
      <alignment horizontal="center"/>
    </xf>
    <xf numFmtId="0" fontId="11" fillId="16" borderId="0" xfId="4" applyFont="1" applyBorder="1" applyAlignment="1">
      <alignment horizontal="center"/>
    </xf>
    <xf numFmtId="0" fontId="11" fillId="4" borderId="0" xfId="3" applyFont="1" applyFill="1" applyAlignment="1">
      <alignment horizontal="center"/>
    </xf>
    <xf numFmtId="0" fontId="11" fillId="18" borderId="0" xfId="1" applyFont="1" applyFill="1" applyAlignment="1">
      <alignment horizontal="center"/>
    </xf>
  </cellXfs>
  <cellStyles count="5">
    <cellStyle name="Bad" xfId="3" builtinId="27"/>
    <cellStyle name="Good" xfId="1" builtinId="26"/>
    <cellStyle name="Input" xfId="4" builtinId="20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FF99"/>
      <color rgb="FFDE5C5C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topLeftCell="E1" zoomScaleNormal="100" workbookViewId="0">
      <selection activeCell="J7" sqref="J7"/>
    </sheetView>
  </sheetViews>
  <sheetFormatPr defaultRowHeight="15"/>
  <cols>
    <col min="1" max="1" width="19.85546875" customWidth="1"/>
    <col min="2" max="2" width="12" bestFit="1" customWidth="1"/>
    <col min="3" max="3" width="10" customWidth="1"/>
    <col min="4" max="4" width="19.85546875" customWidth="1"/>
    <col min="5" max="5" width="13.7109375" customWidth="1"/>
    <col min="9" max="9" width="18.5703125" customWidth="1"/>
    <col min="12" max="12" width="18.5703125" customWidth="1"/>
    <col min="13" max="13" width="12" bestFit="1" customWidth="1"/>
    <col min="14" max="14" width="2.85546875" customWidth="1"/>
    <col min="18" max="18" width="3.7109375" customWidth="1"/>
    <col min="22" max="22" width="2.28515625" customWidth="1"/>
  </cols>
  <sheetData>
    <row r="1" spans="1:25" ht="18.75">
      <c r="A1" s="1"/>
      <c r="B1" s="1"/>
      <c r="C1" s="1"/>
      <c r="D1" s="1"/>
      <c r="E1" s="1"/>
      <c r="F1" s="1"/>
      <c r="G1" s="1"/>
      <c r="H1" s="1"/>
      <c r="I1" s="1"/>
    </row>
    <row r="2" spans="1:25" ht="19.5" thickBot="1">
      <c r="A2" s="47" t="s">
        <v>0</v>
      </c>
      <c r="B2" s="47"/>
      <c r="C2" s="2"/>
      <c r="D2" s="47" t="s">
        <v>1</v>
      </c>
      <c r="E2" s="47"/>
      <c r="F2" s="1"/>
      <c r="G2" s="1"/>
      <c r="H2" s="1"/>
      <c r="I2" s="1"/>
      <c r="J2" s="1"/>
      <c r="K2" s="1"/>
    </row>
    <row r="3" spans="1:25" ht="19.5" thickBot="1">
      <c r="A3" s="1" t="s">
        <v>2</v>
      </c>
      <c r="B3" s="4">
        <v>61</v>
      </c>
      <c r="C3" s="1"/>
      <c r="D3" s="1" t="s">
        <v>2</v>
      </c>
      <c r="E3" s="4">
        <v>40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5" ht="19.5" thickBot="1">
      <c r="A4" s="1" t="s">
        <v>3</v>
      </c>
      <c r="B4" s="4">
        <v>64</v>
      </c>
      <c r="C4" s="1"/>
      <c r="D4" s="1" t="s">
        <v>3</v>
      </c>
      <c r="E4" s="4">
        <v>43.9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5" ht="19.5" thickBot="1">
      <c r="A5" s="1" t="s">
        <v>4</v>
      </c>
      <c r="B5" s="4">
        <v>33.9</v>
      </c>
      <c r="C5" s="1"/>
      <c r="D5" s="1" t="s">
        <v>4</v>
      </c>
      <c r="E5" s="4">
        <v>12.3</v>
      </c>
      <c r="F5" s="1"/>
      <c r="G5" s="1"/>
      <c r="H5" s="1"/>
      <c r="I5" s="2" t="s">
        <v>5</v>
      </c>
      <c r="J5" s="1"/>
      <c r="K5" s="1"/>
      <c r="L5" s="2" t="s">
        <v>6</v>
      </c>
      <c r="M5" s="1"/>
      <c r="N5" s="1"/>
      <c r="O5" s="2" t="s">
        <v>7</v>
      </c>
      <c r="P5" s="3"/>
      <c r="Q5" s="3"/>
      <c r="R5" s="1"/>
      <c r="S5" s="2" t="s">
        <v>8</v>
      </c>
      <c r="T5" s="1"/>
      <c r="U5" s="1"/>
      <c r="W5" s="2" t="s">
        <v>9</v>
      </c>
      <c r="X5" s="18"/>
      <c r="Y5" s="18"/>
    </row>
    <row r="6" spans="1:25" ht="19.5" thickBot="1">
      <c r="A6" s="1" t="s">
        <v>10</v>
      </c>
      <c r="B6" s="12">
        <f>((B3-B4)/B5)</f>
        <v>-8.8495575221238937E-2</v>
      </c>
      <c r="C6" s="1"/>
      <c r="D6" s="1" t="s">
        <v>10</v>
      </c>
      <c r="E6" s="12">
        <f>((E3-E4)/E5)</f>
        <v>-0.31707317073170721</v>
      </c>
      <c r="F6" s="1"/>
      <c r="G6" s="1"/>
      <c r="H6" s="1"/>
      <c r="I6" s="1" t="s">
        <v>11</v>
      </c>
      <c r="J6" s="10">
        <v>98</v>
      </c>
      <c r="K6" s="1"/>
      <c r="L6" s="1" t="s">
        <v>12</v>
      </c>
      <c r="M6" s="6">
        <v>53</v>
      </c>
      <c r="N6" s="1"/>
      <c r="O6" s="1" t="s">
        <v>13</v>
      </c>
      <c r="P6" s="1"/>
      <c r="Q6" s="8">
        <v>8</v>
      </c>
      <c r="R6" s="1"/>
      <c r="S6" s="48" t="s">
        <v>14</v>
      </c>
      <c r="T6" s="48"/>
      <c r="U6" s="4">
        <v>-2.94</v>
      </c>
      <c r="W6" s="48" t="s">
        <v>15</v>
      </c>
      <c r="X6" s="48"/>
      <c r="Y6" s="17">
        <v>83</v>
      </c>
    </row>
    <row r="7" spans="1:25" ht="18.75">
      <c r="A7" s="1" t="s">
        <v>16</v>
      </c>
      <c r="B7" s="9">
        <f>(-15*ROUND(B6,1))+100</f>
        <v>101.5</v>
      </c>
      <c r="C7" s="1"/>
      <c r="D7" s="1" t="s">
        <v>16</v>
      </c>
      <c r="E7" s="9">
        <f>((15)*ROUND(E6,1))+100</f>
        <v>95.5</v>
      </c>
      <c r="F7" s="1"/>
      <c r="G7" s="1"/>
      <c r="H7" s="1"/>
      <c r="I7" s="1" t="s">
        <v>17</v>
      </c>
      <c r="J7" s="7">
        <f>NORMDIST(J6,100,15,TRUE)*100</f>
        <v>44.696488337638598</v>
      </c>
      <c r="K7" s="1"/>
      <c r="L7" s="1" t="s">
        <v>18</v>
      </c>
      <c r="M7" s="7">
        <f>NORMDIST(M6,50,10,TRUE)*100</f>
        <v>61.791142218895267</v>
      </c>
      <c r="N7" s="1"/>
      <c r="O7" s="1" t="s">
        <v>18</v>
      </c>
      <c r="P7" s="1"/>
      <c r="Q7" s="7">
        <f>NORMDIST(Q6,10,3,TRUE)*100</f>
        <v>25.24925375469229</v>
      </c>
      <c r="R7" s="1"/>
      <c r="S7" s="48" t="s">
        <v>15</v>
      </c>
      <c r="T7" s="48"/>
      <c r="U7" s="7">
        <f>NORMDIST(U6,0,1,TRUE)*100</f>
        <v>0.16410612341569961</v>
      </c>
      <c r="W7" s="48" t="s">
        <v>14</v>
      </c>
      <c r="X7" s="48"/>
      <c r="Y7" s="15">
        <f>_xlfn.NORM.S.INV(Y6/100)</f>
        <v>0.95416525314619549</v>
      </c>
    </row>
    <row r="8" spans="1:25" ht="18.75">
      <c r="A8" s="1" t="s">
        <v>12</v>
      </c>
      <c r="B8" s="5">
        <f>((-10)*ROUND(B6,1)+50)</f>
        <v>51</v>
      </c>
      <c r="C8" s="1"/>
      <c r="D8" s="1" t="s">
        <v>12</v>
      </c>
      <c r="E8" s="5">
        <f>((10)*ROUND(E6,1)+50)</f>
        <v>47</v>
      </c>
      <c r="F8" s="1"/>
      <c r="G8" s="1"/>
      <c r="H8" s="1"/>
      <c r="I8" s="1" t="s">
        <v>19</v>
      </c>
      <c r="J8" s="5">
        <f>(((J6-100)/15)*10)+50</f>
        <v>48.666666666666664</v>
      </c>
      <c r="K8" s="1"/>
      <c r="L8" s="1" t="s">
        <v>11</v>
      </c>
      <c r="M8" s="9">
        <f>(((M6-50)/10)*15)+100</f>
        <v>104.5</v>
      </c>
      <c r="N8" s="1"/>
      <c r="O8" s="1" t="s">
        <v>11</v>
      </c>
      <c r="P8" s="1"/>
      <c r="Q8" s="9">
        <f>(Q10*15)+100</f>
        <v>90</v>
      </c>
      <c r="R8" s="1"/>
      <c r="S8" s="1" t="s">
        <v>11</v>
      </c>
      <c r="T8" s="1"/>
      <c r="U8" s="9">
        <f>(U6*15)+100</f>
        <v>55.9</v>
      </c>
      <c r="W8" s="1" t="s">
        <v>11</v>
      </c>
      <c r="X8" s="1"/>
      <c r="Y8" s="9">
        <f>(Y7*15)+100</f>
        <v>114.31247879719294</v>
      </c>
    </row>
    <row r="9" spans="1:25" ht="18.75" customHeight="1">
      <c r="A9" s="1" t="s">
        <v>20</v>
      </c>
      <c r="B9" s="11" t="str">
        <f>IF(B7&gt;129, "Very Superior", IF(B7&gt;119, "Superior", IF(B7&gt;109, "High Average", IF(B7&gt;89, "Average", IF(B7&gt;79, "Low Average", IF(B7&gt;69, "Borderline", "Impaired"))))))</f>
        <v>Average</v>
      </c>
      <c r="C9" s="1"/>
      <c r="D9" s="1" t="s">
        <v>20</v>
      </c>
      <c r="E9" s="11" t="str">
        <f>IF(E7&gt;129, "Very Superior", IF(E7&gt;119, "Superior", IF(E7&gt;109, "High Average", IF(E7&gt;89, "Average", IF(E7&gt;79, "Low Average", IF(E7&gt;69, "Borderline", "Impaired"))))))</f>
        <v>Average</v>
      </c>
      <c r="F9" s="1"/>
      <c r="G9" s="1"/>
      <c r="H9" s="1"/>
      <c r="I9" s="1" t="s">
        <v>13</v>
      </c>
      <c r="J9" s="14">
        <f>(J10*3)+10</f>
        <v>9.6</v>
      </c>
      <c r="K9" s="1"/>
      <c r="L9" s="1" t="s">
        <v>13</v>
      </c>
      <c r="M9" s="14">
        <f>(M10*3)+10</f>
        <v>10.9</v>
      </c>
      <c r="N9" s="1"/>
      <c r="O9" s="1" t="s">
        <v>19</v>
      </c>
      <c r="P9" s="1"/>
      <c r="Q9" s="16">
        <f>(((Q6-10)/3)*10)+50</f>
        <v>43.333333333333336</v>
      </c>
      <c r="R9" s="1"/>
      <c r="S9" s="1" t="s">
        <v>12</v>
      </c>
      <c r="T9" s="1"/>
      <c r="U9" s="5">
        <f>(U6*10)+50</f>
        <v>20.6</v>
      </c>
      <c r="W9" s="1" t="s">
        <v>12</v>
      </c>
      <c r="X9" s="1"/>
      <c r="Y9" s="5">
        <f>(Y7*10)+50</f>
        <v>59.541652531461956</v>
      </c>
    </row>
    <row r="10" spans="1:25" ht="18.75">
      <c r="A10" s="1" t="s">
        <v>18</v>
      </c>
      <c r="B10" s="7">
        <f>NORMDIST(B8,50,10,TRUE)*100</f>
        <v>53.982783727702902</v>
      </c>
      <c r="C10" s="1"/>
      <c r="D10" s="1" t="s">
        <v>18</v>
      </c>
      <c r="E10" s="7">
        <f>NORMDIST(E8,50,10,TRUE)*100</f>
        <v>38.208857781104733</v>
      </c>
      <c r="F10" s="1"/>
      <c r="G10" s="1"/>
      <c r="H10" s="1"/>
      <c r="I10" s="1" t="s">
        <v>21</v>
      </c>
      <c r="J10" s="15">
        <f>(J6-100)/15</f>
        <v>-0.13333333333333333</v>
      </c>
      <c r="K10" s="1"/>
      <c r="L10" s="1" t="s">
        <v>10</v>
      </c>
      <c r="M10" s="15">
        <f>(M6-50)/10</f>
        <v>0.3</v>
      </c>
      <c r="N10" s="1"/>
      <c r="O10" s="1" t="s">
        <v>10</v>
      </c>
      <c r="P10" s="1"/>
      <c r="Q10" s="15">
        <f>(Q6-10)/3</f>
        <v>-0.66666666666666663</v>
      </c>
      <c r="R10" s="1"/>
      <c r="S10" s="1" t="s">
        <v>13</v>
      </c>
      <c r="T10" s="1"/>
      <c r="U10" s="14">
        <f>(U6*3)+10</f>
        <v>1.1799999999999997</v>
      </c>
      <c r="W10" s="1" t="s">
        <v>13</v>
      </c>
      <c r="X10" s="1"/>
      <c r="Y10" s="14">
        <f>(Y7*3)+10</f>
        <v>12.862495759438588</v>
      </c>
    </row>
    <row r="11" spans="1:25" ht="18.75">
      <c r="A11" s="1"/>
      <c r="B11" s="1"/>
      <c r="C11" s="1"/>
      <c r="D11" s="1"/>
      <c r="E11" s="1"/>
      <c r="F11" s="1"/>
      <c r="G11" s="1"/>
      <c r="H11" s="1"/>
    </row>
    <row r="12" spans="1:25" ht="18.75">
      <c r="A12" s="1"/>
      <c r="B12" s="1"/>
      <c r="C12" s="1"/>
      <c r="D12" s="1"/>
      <c r="E12" s="1"/>
      <c r="F12" s="1"/>
      <c r="G12" s="1"/>
      <c r="H12" s="1"/>
      <c r="I12" s="1"/>
      <c r="L12" t="s">
        <v>22</v>
      </c>
      <c r="M12" t="s">
        <v>23</v>
      </c>
    </row>
    <row r="13" spans="1:25" ht="18.75">
      <c r="A13" s="1"/>
      <c r="B13" s="1"/>
      <c r="C13" s="1"/>
      <c r="D13" s="1"/>
      <c r="E13" s="1"/>
      <c r="F13" s="1"/>
      <c r="G13" s="1"/>
      <c r="H13" s="1"/>
      <c r="I13" s="1"/>
      <c r="L13" t="s">
        <v>24</v>
      </c>
      <c r="M13" t="s">
        <v>25</v>
      </c>
    </row>
    <row r="14" spans="1:25" ht="18.75">
      <c r="A14" s="1"/>
      <c r="B14" s="1"/>
      <c r="C14" s="1"/>
      <c r="D14" s="1"/>
      <c r="E14" s="1"/>
      <c r="F14" s="1"/>
      <c r="G14" s="1"/>
      <c r="H14" s="1"/>
      <c r="I14" s="1"/>
    </row>
    <row r="15" spans="1:25" ht="18.75">
      <c r="E15" s="1"/>
      <c r="F15" s="1"/>
      <c r="G15" s="1"/>
      <c r="H15" s="1"/>
      <c r="I15" s="1"/>
    </row>
    <row r="16" spans="1:25" ht="18.75">
      <c r="E16" s="1"/>
      <c r="F16" s="1"/>
      <c r="G16" s="1"/>
      <c r="H16" s="1"/>
      <c r="I16" s="1"/>
    </row>
    <row r="17" spans="1:9" ht="18.75">
      <c r="E17" s="1"/>
      <c r="F17" s="1"/>
      <c r="G17" s="1"/>
      <c r="H17" s="1"/>
      <c r="I17" s="1"/>
    </row>
    <row r="18" spans="1:9" ht="18.75">
      <c r="E18" s="1"/>
      <c r="F18" s="1"/>
      <c r="G18" s="1"/>
      <c r="H18" s="1"/>
      <c r="I18" s="1"/>
    </row>
    <row r="19" spans="1:9" ht="18.75">
      <c r="E19" s="1"/>
      <c r="F19" s="1"/>
      <c r="G19" s="1"/>
      <c r="H19" s="1"/>
      <c r="I19" s="1"/>
    </row>
    <row r="20" spans="1:9" ht="18.75">
      <c r="E20" s="1"/>
      <c r="F20" s="1"/>
      <c r="G20" s="1"/>
      <c r="H20" s="1"/>
      <c r="I20" s="1"/>
    </row>
    <row r="21" spans="1:9" ht="18.75">
      <c r="E21" s="1"/>
      <c r="F21" s="1"/>
      <c r="G21" s="1"/>
      <c r="H21" s="1"/>
      <c r="I21" s="1"/>
    </row>
    <row r="22" spans="1:9" ht="18.75">
      <c r="E22" s="1"/>
      <c r="F22" s="1"/>
      <c r="G22" s="1"/>
      <c r="H22" s="1"/>
      <c r="I22" s="1"/>
    </row>
    <row r="23" spans="1:9" ht="18.75">
      <c r="E23" s="1"/>
      <c r="F23" s="1"/>
      <c r="G23" s="1"/>
      <c r="H23" s="1"/>
      <c r="I23" s="1"/>
    </row>
    <row r="24" spans="1:9" ht="18.75">
      <c r="A24" s="1"/>
      <c r="B24" s="1"/>
      <c r="C24" s="1"/>
      <c r="D24" s="1"/>
      <c r="E24" s="1"/>
      <c r="F24" s="1"/>
      <c r="G24" s="1"/>
      <c r="H24" s="1"/>
      <c r="I24" s="1"/>
    </row>
    <row r="25" spans="1:9" ht="18.75">
      <c r="A25" s="1"/>
      <c r="B25" s="1"/>
      <c r="C25" s="1"/>
      <c r="D25" s="1"/>
      <c r="E25" s="1"/>
      <c r="F25" s="1"/>
      <c r="G25" s="1"/>
      <c r="H25" s="1"/>
      <c r="I25" s="1"/>
    </row>
    <row r="26" spans="1:9" ht="18.75">
      <c r="A26" s="1"/>
      <c r="B26" s="1"/>
      <c r="C26" s="1"/>
      <c r="D26" s="1"/>
      <c r="E26" s="1"/>
      <c r="F26" s="1"/>
      <c r="G26" s="1"/>
      <c r="H26" s="1"/>
      <c r="I26" s="1"/>
    </row>
    <row r="27" spans="1:9" ht="18.75">
      <c r="A27" s="1"/>
      <c r="B27" s="1"/>
      <c r="C27" s="1"/>
      <c r="D27" s="1"/>
      <c r="E27" s="1"/>
      <c r="F27" s="1"/>
      <c r="G27" s="1"/>
      <c r="H27" s="1"/>
      <c r="I27" s="1"/>
    </row>
  </sheetData>
  <mergeCells count="6">
    <mergeCell ref="A2:B2"/>
    <mergeCell ref="D2:E2"/>
    <mergeCell ref="S6:T6"/>
    <mergeCell ref="S7:T7"/>
    <mergeCell ref="W6:X6"/>
    <mergeCell ref="W7:X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38"/>
  <sheetViews>
    <sheetView zoomScale="85" zoomScaleNormal="85" workbookViewId="0">
      <selection activeCell="L37" sqref="L37"/>
    </sheetView>
  </sheetViews>
  <sheetFormatPr defaultRowHeight="15"/>
  <sheetData>
    <row r="2" spans="2:22" s="13" customFormat="1">
      <c r="B2" s="13" t="s">
        <v>26</v>
      </c>
      <c r="C2" s="13" t="s">
        <v>17</v>
      </c>
      <c r="E2" s="13" t="s">
        <v>26</v>
      </c>
      <c r="F2" s="13" t="s">
        <v>17</v>
      </c>
      <c r="H2" s="13" t="s">
        <v>26</v>
      </c>
      <c r="I2" s="13" t="s">
        <v>17</v>
      </c>
      <c r="K2" s="13" t="s">
        <v>26</v>
      </c>
      <c r="L2" s="13" t="s">
        <v>17</v>
      </c>
      <c r="N2" s="13" t="s">
        <v>26</v>
      </c>
      <c r="O2" s="13" t="s">
        <v>17</v>
      </c>
      <c r="Q2" s="13" t="s">
        <v>26</v>
      </c>
      <c r="R2" s="13" t="s">
        <v>17</v>
      </c>
    </row>
    <row r="3" spans="2:22">
      <c r="B3" s="21">
        <v>20</v>
      </c>
      <c r="C3" s="22" t="s">
        <v>27</v>
      </c>
      <c r="E3" s="23">
        <v>30</v>
      </c>
      <c r="F3" s="24">
        <f t="shared" ref="F3:F12" si="0">NORMDIST(E3,50,10,TRUE)*100</f>
        <v>2.2750131948179191</v>
      </c>
      <c r="G3" s="13"/>
      <c r="H3" s="20">
        <v>40</v>
      </c>
      <c r="I3" s="25">
        <f>NORMDIST(H3,50,10,TRUE)*100</f>
        <v>15.865525393145699</v>
      </c>
      <c r="J3" s="13"/>
      <c r="K3" s="19">
        <v>50</v>
      </c>
      <c r="L3" s="26">
        <f t="shared" ref="L3:L12" si="1">NORMDIST(K3,50,10,TRUE)*100</f>
        <v>50</v>
      </c>
      <c r="M3" s="13"/>
      <c r="N3" s="27">
        <v>60</v>
      </c>
      <c r="O3" s="28">
        <f t="shared" ref="O3:O12" si="2">NORMDIST(N3,50,10,TRUE)*100</f>
        <v>84.134474606854297</v>
      </c>
      <c r="P3" s="13"/>
      <c r="Q3" s="29">
        <v>70</v>
      </c>
      <c r="R3" s="30">
        <f t="shared" ref="R3:R8" si="3">NORMDIST(Q3,50,10,TRUE)*100</f>
        <v>97.724986805182084</v>
      </c>
    </row>
    <row r="4" spans="2:22">
      <c r="B4" s="21">
        <v>21</v>
      </c>
      <c r="C4" s="22" t="s">
        <v>27</v>
      </c>
      <c r="E4" s="23">
        <v>31</v>
      </c>
      <c r="F4" s="24">
        <f t="shared" si="0"/>
        <v>2.8716559816001799</v>
      </c>
      <c r="G4" s="13"/>
      <c r="H4" s="20">
        <v>41</v>
      </c>
      <c r="I4" s="25">
        <f t="shared" ref="I4:I12" si="4">NORMDIST(H4,50,10,TRUE)*100</f>
        <v>18.406012534675948</v>
      </c>
      <c r="J4" s="13"/>
      <c r="K4" s="19">
        <v>51</v>
      </c>
      <c r="L4" s="26">
        <f t="shared" si="1"/>
        <v>53.982783727702902</v>
      </c>
      <c r="M4" s="13"/>
      <c r="N4" s="27">
        <v>61</v>
      </c>
      <c r="O4" s="28">
        <f t="shared" si="2"/>
        <v>86.433393905361726</v>
      </c>
      <c r="P4" s="13"/>
      <c r="Q4" s="29">
        <v>71</v>
      </c>
      <c r="R4" s="30">
        <f t="shared" si="3"/>
        <v>98.213557943718342</v>
      </c>
    </row>
    <row r="5" spans="2:22">
      <c r="B5" s="21">
        <v>22</v>
      </c>
      <c r="C5" s="22" t="s">
        <v>27</v>
      </c>
      <c r="E5" s="23">
        <v>32</v>
      </c>
      <c r="F5" s="24">
        <f t="shared" si="0"/>
        <v>3.593031911292579</v>
      </c>
      <c r="G5" s="13"/>
      <c r="H5" s="20">
        <v>42</v>
      </c>
      <c r="I5" s="25">
        <f t="shared" si="4"/>
        <v>21.185539858339659</v>
      </c>
      <c r="J5" s="13"/>
      <c r="K5" s="19">
        <v>52</v>
      </c>
      <c r="L5" s="26">
        <f t="shared" si="1"/>
        <v>57.925970943910301</v>
      </c>
      <c r="M5" s="13"/>
      <c r="N5" s="27">
        <v>62</v>
      </c>
      <c r="O5" s="28">
        <f t="shared" si="2"/>
        <v>88.493032977829174</v>
      </c>
      <c r="P5" s="13"/>
      <c r="Q5" s="29">
        <v>72</v>
      </c>
      <c r="R5" s="30">
        <f t="shared" si="3"/>
        <v>98.609655248650142</v>
      </c>
    </row>
    <row r="6" spans="2:22">
      <c r="B6" s="21">
        <v>23</v>
      </c>
      <c r="C6" s="22" t="s">
        <v>27</v>
      </c>
      <c r="E6" s="23">
        <v>33</v>
      </c>
      <c r="F6" s="24">
        <f t="shared" si="0"/>
        <v>4.4565462758543042</v>
      </c>
      <c r="G6" s="13"/>
      <c r="H6" s="19">
        <v>43</v>
      </c>
      <c r="I6" s="26">
        <f t="shared" si="4"/>
        <v>24.196365222307296</v>
      </c>
      <c r="J6" s="13"/>
      <c r="K6" s="19">
        <v>53</v>
      </c>
      <c r="L6" s="26">
        <f t="shared" si="1"/>
        <v>61.791142218895267</v>
      </c>
      <c r="M6" s="13"/>
      <c r="N6" s="31">
        <v>63</v>
      </c>
      <c r="O6" s="32">
        <f t="shared" si="2"/>
        <v>90.319951541438968</v>
      </c>
      <c r="P6" s="13"/>
      <c r="Q6" s="29">
        <v>73</v>
      </c>
      <c r="R6" s="30">
        <f t="shared" si="3"/>
        <v>98.927588997832416</v>
      </c>
    </row>
    <row r="7" spans="2:22">
      <c r="B7" s="21">
        <v>24</v>
      </c>
      <c r="C7" s="22" t="s">
        <v>27</v>
      </c>
      <c r="E7" s="23">
        <v>34</v>
      </c>
      <c r="F7" s="24">
        <f t="shared" si="0"/>
        <v>5.4799291699557964</v>
      </c>
      <c r="G7" s="13"/>
      <c r="H7" s="19">
        <v>44</v>
      </c>
      <c r="I7" s="26">
        <f t="shared" si="4"/>
        <v>27.425311775007355</v>
      </c>
      <c r="J7" s="13"/>
      <c r="K7" s="19">
        <v>54</v>
      </c>
      <c r="L7" s="26">
        <f t="shared" si="1"/>
        <v>65.542174161032435</v>
      </c>
      <c r="M7" s="13"/>
      <c r="N7" s="31">
        <v>64</v>
      </c>
      <c r="O7" s="32">
        <f t="shared" si="2"/>
        <v>91.924334076622898</v>
      </c>
      <c r="P7" s="13"/>
      <c r="Q7" s="29">
        <v>74</v>
      </c>
      <c r="R7" s="30">
        <f t="shared" si="3"/>
        <v>99.18024640754038</v>
      </c>
    </row>
    <row r="8" spans="2:22">
      <c r="B8" s="21">
        <v>25</v>
      </c>
      <c r="C8" s="22">
        <f>NORMDIST(B8,50,10,TRUE)*100</f>
        <v>0.62096653257761336</v>
      </c>
      <c r="E8" s="23">
        <v>35</v>
      </c>
      <c r="F8" s="24">
        <f t="shared" si="0"/>
        <v>6.6807201268858059</v>
      </c>
      <c r="G8" s="13"/>
      <c r="H8" s="19">
        <v>45</v>
      </c>
      <c r="I8" s="26">
        <f t="shared" si="4"/>
        <v>30.853753872598688</v>
      </c>
      <c r="J8" s="13"/>
      <c r="K8" s="19">
        <v>55</v>
      </c>
      <c r="L8" s="26">
        <f t="shared" si="1"/>
        <v>69.146246127401312</v>
      </c>
      <c r="M8" s="13"/>
      <c r="N8" s="31">
        <v>65</v>
      </c>
      <c r="O8" s="32">
        <f t="shared" si="2"/>
        <v>93.319279873114198</v>
      </c>
      <c r="P8" s="13"/>
      <c r="Q8" s="29">
        <v>75</v>
      </c>
      <c r="R8" s="30">
        <f t="shared" si="3"/>
        <v>99.379033467422389</v>
      </c>
    </row>
    <row r="9" spans="2:22">
      <c r="B9" s="21">
        <v>26</v>
      </c>
      <c r="C9" s="22">
        <f>NORMDIST(B9,50,10,TRUE)*100</f>
        <v>0.8197535924596131</v>
      </c>
      <c r="E9" s="23">
        <v>36</v>
      </c>
      <c r="F9" s="24">
        <f>NORMDIST(E9,50,10,TRUE)*100</f>
        <v>8.0756659233771053</v>
      </c>
      <c r="G9" s="13"/>
      <c r="H9" s="19">
        <v>46</v>
      </c>
      <c r="I9" s="26">
        <f t="shared" si="4"/>
        <v>34.45782583896758</v>
      </c>
      <c r="J9" s="13"/>
      <c r="K9" s="19">
        <v>56</v>
      </c>
      <c r="L9" s="26">
        <f t="shared" si="1"/>
        <v>72.574688224992641</v>
      </c>
      <c r="M9" s="13"/>
      <c r="N9" s="31">
        <v>66</v>
      </c>
      <c r="O9" s="32">
        <f t="shared" si="2"/>
        <v>94.520070830044205</v>
      </c>
      <c r="P9" s="13"/>
      <c r="Q9" s="29">
        <v>76</v>
      </c>
      <c r="R9" s="30" t="s">
        <v>28</v>
      </c>
    </row>
    <row r="10" spans="2:22">
      <c r="B10" s="21">
        <v>27</v>
      </c>
      <c r="C10" s="22">
        <f>NORMDIST(B10,50,10,TRUE)*100</f>
        <v>1.072411002167581</v>
      </c>
      <c r="E10" s="20">
        <v>37</v>
      </c>
      <c r="F10" s="25">
        <f t="shared" si="0"/>
        <v>9.680048458561032</v>
      </c>
      <c r="G10" s="13"/>
      <c r="H10" s="19">
        <v>47</v>
      </c>
      <c r="I10" s="26">
        <f t="shared" si="4"/>
        <v>38.208857781104733</v>
      </c>
      <c r="J10" s="13"/>
      <c r="K10" s="27">
        <v>57</v>
      </c>
      <c r="L10" s="28">
        <f t="shared" si="1"/>
        <v>75.803634777692693</v>
      </c>
      <c r="M10" s="13"/>
      <c r="N10" s="31">
        <v>67</v>
      </c>
      <c r="O10" s="32">
        <f t="shared" si="2"/>
        <v>95.543453724145706</v>
      </c>
      <c r="P10" s="13"/>
      <c r="Q10" s="29">
        <v>77</v>
      </c>
      <c r="R10" s="30" t="s">
        <v>28</v>
      </c>
    </row>
    <row r="11" spans="2:22">
      <c r="B11" s="21">
        <v>28</v>
      </c>
      <c r="C11" s="22">
        <f>NORMDIST(B11,50,10,TRUE)*100</f>
        <v>1.3903447513498597</v>
      </c>
      <c r="E11" s="20">
        <v>38</v>
      </c>
      <c r="F11" s="25">
        <f t="shared" si="0"/>
        <v>11.506967022170828</v>
      </c>
      <c r="G11" s="13"/>
      <c r="H11" s="19">
        <v>48</v>
      </c>
      <c r="I11" s="26">
        <f t="shared" si="4"/>
        <v>42.074029056089692</v>
      </c>
      <c r="J11" s="13"/>
      <c r="K11" s="27">
        <v>58</v>
      </c>
      <c r="L11" s="28">
        <f t="shared" si="1"/>
        <v>78.814460141660334</v>
      </c>
      <c r="M11" s="13"/>
      <c r="N11" s="31">
        <v>68</v>
      </c>
      <c r="O11" s="32">
        <f t="shared" si="2"/>
        <v>96.40696808870743</v>
      </c>
      <c r="P11" s="13"/>
      <c r="Q11" s="29">
        <v>78</v>
      </c>
      <c r="R11" s="30" t="s">
        <v>28</v>
      </c>
    </row>
    <row r="12" spans="2:22">
      <c r="B12" s="21">
        <v>29</v>
      </c>
      <c r="C12" s="22">
        <f>NORMDIST(B12,50,10,TRUE)*100</f>
        <v>1.7864420562816545</v>
      </c>
      <c r="E12" s="20">
        <v>39</v>
      </c>
      <c r="F12" s="25">
        <f t="shared" si="0"/>
        <v>13.566606094638264</v>
      </c>
      <c r="G12" s="13"/>
      <c r="H12" s="19">
        <v>49</v>
      </c>
      <c r="I12" s="26">
        <f t="shared" si="4"/>
        <v>46.017216272297098</v>
      </c>
      <c r="J12" s="13"/>
      <c r="K12" s="27">
        <v>59</v>
      </c>
      <c r="L12" s="28">
        <f t="shared" si="1"/>
        <v>81.593987465324048</v>
      </c>
      <c r="M12" s="13"/>
      <c r="N12" s="31">
        <v>69</v>
      </c>
      <c r="O12" s="32">
        <f t="shared" si="2"/>
        <v>97.128344018399815</v>
      </c>
      <c r="P12" s="13"/>
      <c r="Q12" s="29">
        <v>79</v>
      </c>
      <c r="R12" s="30" t="s">
        <v>28</v>
      </c>
    </row>
    <row r="14" spans="2:22" s="13" customFormat="1">
      <c r="B14" s="13" t="s">
        <v>29</v>
      </c>
      <c r="C14" s="13" t="s">
        <v>17</v>
      </c>
      <c r="E14" s="13" t="s">
        <v>29</v>
      </c>
      <c r="F14" s="13" t="s">
        <v>17</v>
      </c>
      <c r="H14" s="13" t="s">
        <v>29</v>
      </c>
      <c r="I14" s="13" t="s">
        <v>17</v>
      </c>
      <c r="K14" s="13" t="s">
        <v>29</v>
      </c>
      <c r="L14" s="13" t="s">
        <v>17</v>
      </c>
      <c r="N14" s="13" t="s">
        <v>29</v>
      </c>
      <c r="O14" s="13" t="s">
        <v>17</v>
      </c>
      <c r="Q14" s="13" t="s">
        <v>29</v>
      </c>
      <c r="R14" s="13" t="s">
        <v>17</v>
      </c>
    </row>
    <row r="15" spans="2:22">
      <c r="B15" s="21">
        <v>1</v>
      </c>
      <c r="C15" s="22" t="s">
        <v>27</v>
      </c>
      <c r="D15" s="13"/>
      <c r="E15" s="23">
        <v>4</v>
      </c>
      <c r="F15" s="24">
        <v>2</v>
      </c>
      <c r="G15" s="13"/>
      <c r="H15" s="20">
        <v>7</v>
      </c>
      <c r="I15" s="25">
        <f>NORMDIST(H15,10,3,TRUE)*100</f>
        <v>15.865525393145699</v>
      </c>
      <c r="J15" s="13"/>
      <c r="K15" s="19">
        <v>10</v>
      </c>
      <c r="L15" s="26">
        <f>NORMDIST(K15,10,3,TRUE)*100</f>
        <v>50</v>
      </c>
      <c r="M15" s="13"/>
      <c r="N15" s="27">
        <v>13</v>
      </c>
      <c r="O15" s="28">
        <f>NORMDIST(N15,10,3,TRUE)*100</f>
        <v>84.134474606854297</v>
      </c>
      <c r="P15" s="13"/>
      <c r="Q15" s="29">
        <v>16</v>
      </c>
      <c r="R15" s="30">
        <f>NORMDIST(Q15,10,3,TRUE)*100</f>
        <v>97.724986805182084</v>
      </c>
      <c r="S15" s="13"/>
      <c r="T15" s="13"/>
      <c r="U15" s="13"/>
      <c r="V15" s="13"/>
    </row>
    <row r="16" spans="2:22">
      <c r="B16" s="21">
        <v>2</v>
      </c>
      <c r="C16" s="22" t="s">
        <v>27</v>
      </c>
      <c r="D16" s="13"/>
      <c r="E16" s="23">
        <v>5</v>
      </c>
      <c r="F16" s="24">
        <v>5</v>
      </c>
      <c r="G16" s="13"/>
      <c r="H16" s="19">
        <v>8</v>
      </c>
      <c r="I16" s="26">
        <f>NORMDIST(H16,10,3,TRUE)*100</f>
        <v>25.24925375469229</v>
      </c>
      <c r="J16" s="13"/>
      <c r="K16" s="19">
        <v>11</v>
      </c>
      <c r="L16" s="26">
        <f>NORMDIST(K16,10,3,TRUE)*100</f>
        <v>63.055865981823644</v>
      </c>
      <c r="M16" s="13"/>
      <c r="N16" s="31">
        <v>14</v>
      </c>
      <c r="O16" s="32">
        <f>NORMDIST(N16,10,3,TRUE)*100</f>
        <v>90.878878027413208</v>
      </c>
      <c r="P16" s="13"/>
      <c r="Q16" s="29">
        <v>17</v>
      </c>
      <c r="R16" s="30">
        <f>NORMDIST(Q16,10,3,TRUE)*100</f>
        <v>99.018467137135474</v>
      </c>
      <c r="S16" s="13"/>
      <c r="T16" s="13"/>
      <c r="U16" s="13"/>
      <c r="V16" s="13"/>
    </row>
    <row r="17" spans="2:22">
      <c r="B17" s="21">
        <v>3</v>
      </c>
      <c r="C17" s="22">
        <v>1</v>
      </c>
      <c r="D17" s="13"/>
      <c r="E17" s="20">
        <v>6</v>
      </c>
      <c r="F17" s="25">
        <f>NORMDIST(E17,10,3,TRUE)*100</f>
        <v>9.1211219725867885</v>
      </c>
      <c r="G17" s="13"/>
      <c r="H17" s="19">
        <v>9</v>
      </c>
      <c r="I17" s="26">
        <f>NORMDIST(H17,10,3,TRUE)*100</f>
        <v>36.944134018176364</v>
      </c>
      <c r="J17" s="13"/>
      <c r="K17" s="27">
        <v>12</v>
      </c>
      <c r="L17" s="28">
        <f>NORMDIST(K17,10,3,TRUE)*100</f>
        <v>74.75074624530771</v>
      </c>
      <c r="M17" s="13"/>
      <c r="N17" s="31">
        <v>15</v>
      </c>
      <c r="O17" s="32">
        <f>NORMDIST(N17,10,3,TRUE)*100</f>
        <v>95.220964772718531</v>
      </c>
      <c r="P17" s="13"/>
      <c r="Q17" s="29">
        <v>18</v>
      </c>
      <c r="R17" s="30" t="s">
        <v>28</v>
      </c>
      <c r="S17" s="13"/>
      <c r="T17" s="13"/>
      <c r="U17" s="13"/>
      <c r="V17" s="13"/>
    </row>
    <row r="18" spans="2:22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2:22" s="13" customFormat="1">
      <c r="B19" s="13" t="s">
        <v>30</v>
      </c>
      <c r="C19" s="13" t="s">
        <v>17</v>
      </c>
      <c r="E19" s="13" t="s">
        <v>30</v>
      </c>
      <c r="F19" s="13" t="s">
        <v>17</v>
      </c>
      <c r="H19" s="13" t="s">
        <v>30</v>
      </c>
      <c r="I19" s="13" t="s">
        <v>17</v>
      </c>
      <c r="K19" s="13" t="s">
        <v>30</v>
      </c>
      <c r="L19" s="13" t="s">
        <v>17</v>
      </c>
      <c r="N19" s="13" t="s">
        <v>30</v>
      </c>
      <c r="O19" s="13" t="s">
        <v>17</v>
      </c>
      <c r="Q19" s="13" t="s">
        <v>30</v>
      </c>
      <c r="R19" s="13" t="s">
        <v>17</v>
      </c>
    </row>
    <row r="20" spans="2:22">
      <c r="B20" s="21">
        <v>-2.5</v>
      </c>
      <c r="C20" s="22">
        <f>NORMDIST(B20,0,1,TRUE)*100</f>
        <v>0.62096653257761336</v>
      </c>
      <c r="D20" s="13"/>
      <c r="E20" s="23">
        <v>-1.5</v>
      </c>
      <c r="F20" s="24">
        <f>NORMDIST(E20,0,1,TRUE)*100</f>
        <v>6.6807201268858059</v>
      </c>
      <c r="G20" s="13"/>
      <c r="H20" s="33">
        <v>-1</v>
      </c>
      <c r="I20" s="34">
        <f>NORMDIST(H20,0,1,TRUE)*100</f>
        <v>15.865525393145699</v>
      </c>
      <c r="J20" s="13"/>
      <c r="K20" s="35">
        <v>0</v>
      </c>
      <c r="L20" s="19">
        <v>50</v>
      </c>
      <c r="M20" s="13"/>
      <c r="N20" s="36">
        <v>1</v>
      </c>
      <c r="O20" s="28">
        <f>NORMDIST(N20,0,1,TRUE)*100</f>
        <v>84.134474606854297</v>
      </c>
      <c r="P20" s="13"/>
      <c r="Q20" s="37">
        <v>2</v>
      </c>
      <c r="R20" s="30">
        <f>NORMDIST(Q20,0,1,TRUE)*100</f>
        <v>97.724986805182084</v>
      </c>
      <c r="S20" s="13"/>
      <c r="T20" s="13"/>
      <c r="U20" s="13"/>
      <c r="V20" s="13"/>
    </row>
    <row r="21" spans="2:22">
      <c r="B21" s="38">
        <v>-3</v>
      </c>
      <c r="C21" s="22" t="s">
        <v>27</v>
      </c>
      <c r="D21" s="13"/>
      <c r="E21" s="39">
        <v>-2</v>
      </c>
      <c r="F21" s="24">
        <f>NORMDIST(E21,0,1,TRUE)*100</f>
        <v>2.2750131948179191</v>
      </c>
      <c r="G21" s="13"/>
      <c r="H21" s="19">
        <v>-0.5</v>
      </c>
      <c r="I21" s="19">
        <v>31</v>
      </c>
      <c r="J21" s="13"/>
      <c r="K21" s="19">
        <v>0.5</v>
      </c>
      <c r="L21" s="19">
        <v>69</v>
      </c>
      <c r="M21" s="13"/>
      <c r="N21" s="31">
        <v>1.5</v>
      </c>
      <c r="O21" s="32">
        <f>NORMDIST(N21,0,1,TRUE)*100</f>
        <v>93.319279873114198</v>
      </c>
      <c r="P21" s="13"/>
      <c r="Q21" s="37">
        <v>2.5</v>
      </c>
      <c r="R21" s="30">
        <f>NORMDIST(Q21,0,1,TRUE)*100</f>
        <v>99.379033467422389</v>
      </c>
      <c r="S21" s="13"/>
      <c r="T21" s="13"/>
      <c r="U21" s="13"/>
      <c r="V21" s="13"/>
    </row>
    <row r="22" spans="2:22">
      <c r="B22" s="21">
        <v>-3.5</v>
      </c>
      <c r="C22" s="22" t="s">
        <v>27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37">
        <v>3</v>
      </c>
      <c r="R22" s="30" t="s">
        <v>28</v>
      </c>
      <c r="S22" s="13"/>
      <c r="T22" s="13"/>
      <c r="U22" s="13"/>
      <c r="V22" s="13"/>
    </row>
    <row r="23" spans="2:22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2:22">
      <c r="B24" s="55" t="s">
        <v>31</v>
      </c>
      <c r="C24" s="55"/>
      <c r="D24" s="13"/>
      <c r="E24" s="54" t="s">
        <v>32</v>
      </c>
      <c r="F24" s="54"/>
      <c r="G24" s="13"/>
      <c r="H24" s="53" t="s">
        <v>33</v>
      </c>
      <c r="I24" s="53"/>
      <c r="J24" s="13"/>
      <c r="K24" s="52" t="s">
        <v>34</v>
      </c>
      <c r="L24" s="52"/>
      <c r="M24" s="13"/>
      <c r="N24" s="50" t="s">
        <v>35</v>
      </c>
      <c r="O24" s="50"/>
      <c r="P24" s="13"/>
      <c r="Q24" s="49" t="s">
        <v>36</v>
      </c>
      <c r="R24" s="49"/>
      <c r="S24" s="13"/>
      <c r="T24" s="13"/>
      <c r="U24" s="13"/>
      <c r="V24" s="13"/>
    </row>
    <row r="25" spans="2:22">
      <c r="B25" s="13"/>
      <c r="C25" s="13"/>
      <c r="D25" s="13"/>
      <c r="E25" s="53" t="s">
        <v>33</v>
      </c>
      <c r="F25" s="53"/>
      <c r="G25" s="13"/>
      <c r="H25" s="52" t="s">
        <v>34</v>
      </c>
      <c r="I25" s="52"/>
      <c r="J25" s="13"/>
      <c r="K25" s="50" t="s">
        <v>35</v>
      </c>
      <c r="L25" s="50"/>
      <c r="M25" s="13"/>
      <c r="N25" s="51" t="s">
        <v>37</v>
      </c>
      <c r="O25" s="51"/>
      <c r="P25" s="13"/>
      <c r="Q25" s="13"/>
      <c r="R25" s="13"/>
      <c r="S25" s="13"/>
      <c r="T25" s="13"/>
      <c r="U25" s="13"/>
      <c r="V25" s="13"/>
    </row>
    <row r="26" spans="2:2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38" spans="5:5">
      <c r="E38" t="s">
        <v>38</v>
      </c>
    </row>
  </sheetData>
  <mergeCells count="10">
    <mergeCell ref="H24:I24"/>
    <mergeCell ref="H25:I25"/>
    <mergeCell ref="E24:F24"/>
    <mergeCell ref="E25:F25"/>
    <mergeCell ref="B24:C24"/>
    <mergeCell ref="Q24:R24"/>
    <mergeCell ref="N24:O24"/>
    <mergeCell ref="N25:O25"/>
    <mergeCell ref="K24:L24"/>
    <mergeCell ref="K25:L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38"/>
  <sheetViews>
    <sheetView zoomScale="85" zoomScaleNormal="85" workbookViewId="0">
      <selection activeCell="Y16" sqref="Y16"/>
    </sheetView>
  </sheetViews>
  <sheetFormatPr defaultRowHeight="15"/>
  <sheetData>
    <row r="1" spans="2:20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2:20" s="13" customFormat="1">
      <c r="B2" s="13" t="s">
        <v>39</v>
      </c>
      <c r="C2" s="13" t="s">
        <v>17</v>
      </c>
      <c r="E2" s="13" t="s">
        <v>39</v>
      </c>
      <c r="F2" s="13" t="s">
        <v>17</v>
      </c>
      <c r="H2" s="13" t="s">
        <v>39</v>
      </c>
      <c r="I2" s="13" t="s">
        <v>17</v>
      </c>
      <c r="K2" s="13" t="s">
        <v>39</v>
      </c>
      <c r="L2" s="13" t="s">
        <v>17</v>
      </c>
      <c r="N2" s="13" t="s">
        <v>39</v>
      </c>
      <c r="O2" s="13" t="s">
        <v>17</v>
      </c>
      <c r="Q2" s="13" t="s">
        <v>39</v>
      </c>
      <c r="R2" s="13" t="s">
        <v>17</v>
      </c>
    </row>
    <row r="3" spans="2:20">
      <c r="B3" s="21">
        <v>55</v>
      </c>
      <c r="C3" s="40" t="s">
        <v>40</v>
      </c>
      <c r="D3" s="13"/>
      <c r="E3" s="23">
        <v>70</v>
      </c>
      <c r="F3" s="41">
        <f t="shared" ref="F3:F17" si="0">NORMDIST(E3,100,15,TRUE)*100</f>
        <v>2.2750131948179191</v>
      </c>
      <c r="G3" s="13"/>
      <c r="H3" s="20">
        <v>85</v>
      </c>
      <c r="I3" s="34">
        <f t="shared" ref="I3:I7" si="1">NORMDIST(H3,100,15,TRUE)*100</f>
        <v>15.865525393145699</v>
      </c>
      <c r="J3" s="13"/>
      <c r="K3" s="19">
        <v>100</v>
      </c>
      <c r="L3" s="26">
        <f>NORMDIST(K3,100,15,TRUE)*100</f>
        <v>50</v>
      </c>
      <c r="M3" s="13"/>
      <c r="N3" s="27">
        <v>115</v>
      </c>
      <c r="O3" s="28">
        <f>NORMDIST(N3,100,15,TRUE)*100</f>
        <v>84.134474606854297</v>
      </c>
      <c r="P3" s="13"/>
      <c r="Q3" s="29">
        <v>130</v>
      </c>
      <c r="R3" s="30">
        <f>NORMDIST(Q3,100,15,TRUE)*100</f>
        <v>97.724986805182084</v>
      </c>
      <c r="S3" s="13"/>
      <c r="T3" s="13"/>
    </row>
    <row r="4" spans="2:20">
      <c r="B4" s="42">
        <f t="shared" ref="B4:B17" si="2">B3+1</f>
        <v>56</v>
      </c>
      <c r="C4" s="40" t="s">
        <v>40</v>
      </c>
      <c r="D4" s="13"/>
      <c r="E4" s="43">
        <f t="shared" ref="E4:E17" si="3">E3+1</f>
        <v>71</v>
      </c>
      <c r="F4" s="41">
        <f t="shared" si="0"/>
        <v>2.6597574021009636</v>
      </c>
      <c r="G4" s="13"/>
      <c r="H4" s="20">
        <f>H3+1</f>
        <v>86</v>
      </c>
      <c r="I4" s="34">
        <f t="shared" si="1"/>
        <v>17.532394485222941</v>
      </c>
      <c r="J4" s="13"/>
      <c r="K4" s="19">
        <f>K3+1</f>
        <v>101</v>
      </c>
      <c r="L4" s="26">
        <f t="shared" ref="L4:L11" si="4">NORMDIST(K4,100,15,TRUE)*100</f>
        <v>52.657646430036507</v>
      </c>
      <c r="M4" s="13"/>
      <c r="N4" s="27">
        <f>N3+1</f>
        <v>116</v>
      </c>
      <c r="O4" s="28">
        <f t="shared" ref="O4:O5" si="5">NORMDIST(N4,100,15,TRUE)*100</f>
        <v>85.693880780449092</v>
      </c>
      <c r="P4" s="13"/>
      <c r="Q4" s="29">
        <f>Q3+1</f>
        <v>131</v>
      </c>
      <c r="R4" s="30">
        <f t="shared" ref="R4:R8" si="6">NORMDIST(Q4,100,15,TRUE)*100</f>
        <v>98.061721291118147</v>
      </c>
      <c r="S4" s="13"/>
      <c r="T4" s="13"/>
    </row>
    <row r="5" spans="2:20">
      <c r="B5" s="42">
        <f t="shared" si="2"/>
        <v>57</v>
      </c>
      <c r="C5" s="40" t="s">
        <v>40</v>
      </c>
      <c r="D5" s="13"/>
      <c r="E5" s="43">
        <f t="shared" si="3"/>
        <v>72</v>
      </c>
      <c r="F5" s="41">
        <f t="shared" si="0"/>
        <v>3.0974075706740569</v>
      </c>
      <c r="G5" s="13"/>
      <c r="H5" s="20">
        <f t="shared" ref="H5:H17" si="7">H4+1</f>
        <v>87</v>
      </c>
      <c r="I5" s="34">
        <f t="shared" si="1"/>
        <v>19.306233714190689</v>
      </c>
      <c r="J5" s="13"/>
      <c r="K5" s="19">
        <f t="shared" ref="K5:K17" si="8">K4+1</f>
        <v>102</v>
      </c>
      <c r="L5" s="26">
        <f t="shared" si="4"/>
        <v>55.303511662361402</v>
      </c>
      <c r="M5" s="13"/>
      <c r="N5" s="27">
        <f t="shared" ref="N5:N17" si="9">N4+1</f>
        <v>117</v>
      </c>
      <c r="O5" s="28">
        <f t="shared" si="5"/>
        <v>87.146285065758505</v>
      </c>
      <c r="P5" s="13"/>
      <c r="Q5" s="29">
        <f t="shared" ref="Q5:Q17" si="10">Q4+1</f>
        <v>132</v>
      </c>
      <c r="R5" s="30">
        <f t="shared" si="6"/>
        <v>98.355130417725462</v>
      </c>
      <c r="S5" s="13"/>
      <c r="T5" s="13"/>
    </row>
    <row r="6" spans="2:20">
      <c r="B6" s="42">
        <f t="shared" si="2"/>
        <v>58</v>
      </c>
      <c r="C6" s="40" t="s">
        <v>40</v>
      </c>
      <c r="D6" s="13"/>
      <c r="E6" s="43">
        <f t="shared" si="3"/>
        <v>73</v>
      </c>
      <c r="F6" s="41">
        <f t="shared" si="0"/>
        <v>3.593031911292579</v>
      </c>
      <c r="G6" s="13"/>
      <c r="H6" s="20">
        <f t="shared" si="7"/>
        <v>88</v>
      </c>
      <c r="I6" s="34">
        <f t="shared" si="1"/>
        <v>21.185539858339659</v>
      </c>
      <c r="J6" s="13"/>
      <c r="K6" s="19">
        <f t="shared" si="8"/>
        <v>103</v>
      </c>
      <c r="L6" s="26">
        <f t="shared" si="4"/>
        <v>57.925970943910301</v>
      </c>
      <c r="M6" s="13"/>
      <c r="N6" s="27">
        <f t="shared" si="9"/>
        <v>118</v>
      </c>
      <c r="O6" s="28">
        <f>NORMDIST(N6,100,15,TRUE)*100</f>
        <v>88.493032977829174</v>
      </c>
      <c r="P6" s="13"/>
      <c r="Q6" s="29">
        <f t="shared" si="10"/>
        <v>133</v>
      </c>
      <c r="R6" s="30">
        <f t="shared" si="6"/>
        <v>98.609655248650142</v>
      </c>
      <c r="S6" s="13"/>
      <c r="T6" s="13"/>
    </row>
    <row r="7" spans="2:20">
      <c r="B7" s="42">
        <f t="shared" si="2"/>
        <v>59</v>
      </c>
      <c r="C7" s="40" t="s">
        <v>40</v>
      </c>
      <c r="D7" s="13"/>
      <c r="E7" s="43">
        <f t="shared" si="3"/>
        <v>74</v>
      </c>
      <c r="F7" s="41">
        <f t="shared" si="0"/>
        <v>4.1518219688779103</v>
      </c>
      <c r="G7" s="13"/>
      <c r="H7" s="20">
        <f t="shared" si="7"/>
        <v>89</v>
      </c>
      <c r="I7" s="34">
        <f t="shared" si="1"/>
        <v>23.16775746347982</v>
      </c>
      <c r="J7" s="13"/>
      <c r="K7" s="19">
        <f t="shared" si="8"/>
        <v>104</v>
      </c>
      <c r="L7" s="26">
        <f t="shared" si="4"/>
        <v>60.513708953597487</v>
      </c>
      <c r="M7" s="13"/>
      <c r="N7" s="27">
        <f t="shared" si="9"/>
        <v>119</v>
      </c>
      <c r="O7" s="28">
        <f>NORMDIST(N7,100,15,TRUE)*100</f>
        <v>89.73627481678642</v>
      </c>
      <c r="P7" s="13"/>
      <c r="Q7" s="29">
        <f t="shared" si="10"/>
        <v>134</v>
      </c>
      <c r="R7" s="30">
        <f t="shared" si="6"/>
        <v>98.829470191944168</v>
      </c>
      <c r="S7" s="13"/>
      <c r="T7" s="13"/>
    </row>
    <row r="8" spans="2:20">
      <c r="B8" s="42">
        <f t="shared" si="2"/>
        <v>60</v>
      </c>
      <c r="C8" s="40" t="s">
        <v>40</v>
      </c>
      <c r="D8" s="13"/>
      <c r="E8" s="43">
        <f t="shared" si="3"/>
        <v>75</v>
      </c>
      <c r="F8" s="41">
        <f t="shared" si="0"/>
        <v>4.7790352272814705</v>
      </c>
      <c r="G8" s="13"/>
      <c r="H8" s="44">
        <f t="shared" si="7"/>
        <v>90</v>
      </c>
      <c r="I8" s="26">
        <f t="shared" ref="I8:I17" si="11">NORMDIST(H8,100,15,TRUE)*100</f>
        <v>25.24925375469229</v>
      </c>
      <c r="J8" s="13"/>
      <c r="K8" s="19">
        <f t="shared" si="8"/>
        <v>105</v>
      </c>
      <c r="L8" s="26">
        <f t="shared" si="4"/>
        <v>63.055865981823644</v>
      </c>
      <c r="M8" s="13"/>
      <c r="N8" s="31">
        <f t="shared" si="9"/>
        <v>120</v>
      </c>
      <c r="O8" s="32">
        <f>NORMDIST(N8,100,15,TRUE)*100</f>
        <v>90.878878027413208</v>
      </c>
      <c r="P8" s="13"/>
      <c r="Q8" s="29">
        <f t="shared" si="10"/>
        <v>135</v>
      </c>
      <c r="R8" s="30">
        <f t="shared" si="6"/>
        <v>99.018467137135474</v>
      </c>
      <c r="S8" s="13"/>
      <c r="T8" s="13"/>
    </row>
    <row r="9" spans="2:20">
      <c r="B9" s="42">
        <f t="shared" si="2"/>
        <v>61</v>
      </c>
      <c r="C9" s="40" t="s">
        <v>40</v>
      </c>
      <c r="D9" s="13"/>
      <c r="E9" s="43">
        <f t="shared" si="3"/>
        <v>76</v>
      </c>
      <c r="F9" s="41">
        <f t="shared" si="0"/>
        <v>5.4799291699557964</v>
      </c>
      <c r="G9" s="13"/>
      <c r="H9" s="44">
        <f t="shared" si="7"/>
        <v>91</v>
      </c>
      <c r="I9" s="26">
        <f t="shared" si="11"/>
        <v>27.425311775007355</v>
      </c>
      <c r="J9" s="13"/>
      <c r="K9" s="19">
        <f t="shared" si="8"/>
        <v>106</v>
      </c>
      <c r="L9" s="26">
        <f t="shared" si="4"/>
        <v>65.542174161032435</v>
      </c>
      <c r="M9" s="13"/>
      <c r="N9" s="31">
        <f t="shared" si="9"/>
        <v>121</v>
      </c>
      <c r="O9" s="32">
        <f t="shared" ref="O9:O17" si="12">NORMDIST(N9,100,15,TRUE)*100</f>
        <v>91.924334076622898</v>
      </c>
      <c r="P9" s="13"/>
      <c r="Q9" s="29">
        <f t="shared" si="10"/>
        <v>136</v>
      </c>
      <c r="R9" s="30">
        <f>NORMDIST(Q9,100,15,TRUE)*100</f>
        <v>99.18024640754038</v>
      </c>
      <c r="S9" s="13"/>
      <c r="T9" s="13"/>
    </row>
    <row r="10" spans="2:20">
      <c r="B10" s="42">
        <f t="shared" si="2"/>
        <v>62</v>
      </c>
      <c r="C10" s="40">
        <f t="shared" ref="C10:C17" si="13">NORMDIST(B10,100,15,TRUE)*100</f>
        <v>0.56491727555606386</v>
      </c>
      <c r="D10" s="13"/>
      <c r="E10" s="43">
        <f t="shared" si="3"/>
        <v>77</v>
      </c>
      <c r="F10" s="41">
        <f t="shared" si="0"/>
        <v>6.2596872790906799</v>
      </c>
      <c r="G10" s="13"/>
      <c r="H10" s="44">
        <f t="shared" si="7"/>
        <v>92</v>
      </c>
      <c r="I10" s="26">
        <f t="shared" si="11"/>
        <v>29.690142860385123</v>
      </c>
      <c r="J10" s="13"/>
      <c r="K10" s="19">
        <f t="shared" si="8"/>
        <v>107</v>
      </c>
      <c r="L10" s="26">
        <f t="shared" si="4"/>
        <v>67.963080909872957</v>
      </c>
      <c r="M10" s="13"/>
      <c r="N10" s="31">
        <f t="shared" si="9"/>
        <v>122</v>
      </c>
      <c r="O10" s="32">
        <f t="shared" si="12"/>
        <v>92.876662258601399</v>
      </c>
      <c r="P10" s="13"/>
      <c r="Q10" s="29">
        <f t="shared" si="10"/>
        <v>137</v>
      </c>
      <c r="R10" s="30">
        <f>NORMDIST(Q10,100,15,TRUE)*100</f>
        <v>99.318113772982386</v>
      </c>
      <c r="S10" s="13"/>
      <c r="T10" s="13"/>
    </row>
    <row r="11" spans="2:20">
      <c r="B11" s="42">
        <f t="shared" si="2"/>
        <v>63</v>
      </c>
      <c r="C11" s="40">
        <f t="shared" si="13"/>
        <v>0.68188622701760959</v>
      </c>
      <c r="D11" s="13"/>
      <c r="E11" s="43">
        <f t="shared" si="3"/>
        <v>78</v>
      </c>
      <c r="F11" s="41">
        <f t="shared" si="0"/>
        <v>7.1233377413986094</v>
      </c>
      <c r="G11" s="13"/>
      <c r="H11" s="44">
        <f t="shared" si="7"/>
        <v>93</v>
      </c>
      <c r="I11" s="26">
        <f t="shared" si="11"/>
        <v>32.036919090127036</v>
      </c>
      <c r="J11" s="13"/>
      <c r="K11" s="19">
        <f t="shared" si="8"/>
        <v>108</v>
      </c>
      <c r="L11" s="26">
        <f t="shared" si="4"/>
        <v>70.309857139614877</v>
      </c>
      <c r="M11" s="13"/>
      <c r="N11" s="31">
        <f t="shared" si="9"/>
        <v>123</v>
      </c>
      <c r="O11" s="32">
        <f t="shared" si="12"/>
        <v>93.74031272090933</v>
      </c>
      <c r="P11" s="13"/>
      <c r="Q11" s="29">
        <f t="shared" si="10"/>
        <v>138</v>
      </c>
      <c r="R11" s="30">
        <f>NORMDIST(Q11,100,15,TRUE)*100</f>
        <v>99.43508272444393</v>
      </c>
      <c r="S11" s="13"/>
      <c r="T11" s="13"/>
    </row>
    <row r="12" spans="2:20">
      <c r="B12" s="42">
        <f t="shared" si="2"/>
        <v>64</v>
      </c>
      <c r="C12" s="40">
        <f t="shared" si="13"/>
        <v>0.8197535924596131</v>
      </c>
      <c r="D12" s="13"/>
      <c r="E12" s="43">
        <f t="shared" si="3"/>
        <v>79</v>
      </c>
      <c r="F12" s="41">
        <f t="shared" si="0"/>
        <v>8.0756659233771053</v>
      </c>
      <c r="G12" s="13"/>
      <c r="H12" s="44">
        <f t="shared" si="7"/>
        <v>94</v>
      </c>
      <c r="I12" s="26">
        <f t="shared" si="11"/>
        <v>34.45782583896758</v>
      </c>
      <c r="J12" s="13"/>
      <c r="K12" s="45">
        <f t="shared" si="8"/>
        <v>109</v>
      </c>
      <c r="L12" s="46">
        <f>NORMDIST(K12,100,15,TRUE)*100</f>
        <v>72.574688224992641</v>
      </c>
      <c r="M12" s="13"/>
      <c r="N12" s="31">
        <f t="shared" si="9"/>
        <v>124</v>
      </c>
      <c r="O12" s="32">
        <f t="shared" si="12"/>
        <v>94.520070830044205</v>
      </c>
      <c r="P12" s="13"/>
      <c r="Q12" s="29">
        <f t="shared" si="10"/>
        <v>139</v>
      </c>
      <c r="R12" s="30" t="s">
        <v>28</v>
      </c>
      <c r="S12" s="13"/>
      <c r="T12" s="13"/>
    </row>
    <row r="13" spans="2:20">
      <c r="B13" s="42">
        <f t="shared" si="2"/>
        <v>65</v>
      </c>
      <c r="C13" s="40">
        <f t="shared" si="13"/>
        <v>0.98153286286453356</v>
      </c>
      <c r="D13" s="13"/>
      <c r="E13" s="20">
        <f t="shared" si="3"/>
        <v>80</v>
      </c>
      <c r="F13" s="34">
        <f t="shared" si="0"/>
        <v>9.1211219725867885</v>
      </c>
      <c r="G13" s="13"/>
      <c r="H13" s="44">
        <f t="shared" si="7"/>
        <v>95</v>
      </c>
      <c r="I13" s="26">
        <f t="shared" si="11"/>
        <v>36.944134018176364</v>
      </c>
      <c r="J13" s="13"/>
      <c r="K13" s="27">
        <f t="shared" si="8"/>
        <v>110</v>
      </c>
      <c r="L13" s="28">
        <f t="shared" ref="L13:L17" si="14">NORMDIST(K13,100,15,TRUE)*100</f>
        <v>74.75074624530771</v>
      </c>
      <c r="M13" s="13"/>
      <c r="N13" s="31">
        <f t="shared" si="9"/>
        <v>125</v>
      </c>
      <c r="O13" s="32">
        <f t="shared" si="12"/>
        <v>95.220964772718531</v>
      </c>
      <c r="P13" s="13"/>
      <c r="Q13" s="29">
        <f t="shared" si="10"/>
        <v>140</v>
      </c>
      <c r="R13" s="30" t="s">
        <v>28</v>
      </c>
      <c r="S13" s="13"/>
      <c r="T13" s="13"/>
    </row>
    <row r="14" spans="2:20" s="13" customFormat="1">
      <c r="B14" s="42">
        <f t="shared" si="2"/>
        <v>66</v>
      </c>
      <c r="C14" s="40">
        <f t="shared" si="13"/>
        <v>1.1705298080558344</v>
      </c>
      <c r="E14" s="20">
        <f t="shared" si="3"/>
        <v>81</v>
      </c>
      <c r="F14" s="34">
        <f t="shared" si="0"/>
        <v>10.263725183213577</v>
      </c>
      <c r="H14" s="44">
        <f t="shared" si="7"/>
        <v>96</v>
      </c>
      <c r="I14" s="26">
        <f t="shared" si="11"/>
        <v>39.486291046402513</v>
      </c>
      <c r="K14" s="27">
        <f t="shared" si="8"/>
        <v>111</v>
      </c>
      <c r="L14" s="28">
        <f t="shared" si="14"/>
        <v>76.832242536520184</v>
      </c>
      <c r="N14" s="31">
        <f t="shared" si="9"/>
        <v>126</v>
      </c>
      <c r="O14" s="32">
        <f t="shared" si="12"/>
        <v>95.848178031122089</v>
      </c>
      <c r="Q14" s="29">
        <f t="shared" si="10"/>
        <v>141</v>
      </c>
      <c r="R14" s="30" t="s">
        <v>28</v>
      </c>
    </row>
    <row r="15" spans="2:20">
      <c r="B15" s="42">
        <f t="shared" si="2"/>
        <v>67</v>
      </c>
      <c r="C15" s="40">
        <f t="shared" si="13"/>
        <v>1.3903447513498597</v>
      </c>
      <c r="D15" s="13"/>
      <c r="E15" s="20">
        <f t="shared" si="3"/>
        <v>82</v>
      </c>
      <c r="F15" s="34">
        <f t="shared" si="0"/>
        <v>11.506967022170828</v>
      </c>
      <c r="G15" s="13"/>
      <c r="H15" s="44">
        <f t="shared" si="7"/>
        <v>97</v>
      </c>
      <c r="I15" s="26">
        <f t="shared" si="11"/>
        <v>42.074029056089692</v>
      </c>
      <c r="J15" s="13"/>
      <c r="K15" s="27">
        <f t="shared" si="8"/>
        <v>112</v>
      </c>
      <c r="L15" s="28">
        <f t="shared" si="14"/>
        <v>78.814460141660334</v>
      </c>
      <c r="M15" s="13"/>
      <c r="N15" s="31">
        <f t="shared" si="9"/>
        <v>127</v>
      </c>
      <c r="O15" s="32">
        <f t="shared" si="12"/>
        <v>96.40696808870743</v>
      </c>
      <c r="P15" s="13"/>
      <c r="Q15" s="29">
        <f t="shared" si="10"/>
        <v>142</v>
      </c>
      <c r="R15" s="30" t="s">
        <v>28</v>
      </c>
      <c r="S15" s="13"/>
      <c r="T15" s="13"/>
    </row>
    <row r="16" spans="2:20">
      <c r="B16" s="42">
        <f t="shared" si="2"/>
        <v>68</v>
      </c>
      <c r="C16" s="40">
        <f t="shared" si="13"/>
        <v>1.6448695822745323</v>
      </c>
      <c r="D16" s="13"/>
      <c r="E16" s="20">
        <f t="shared" si="3"/>
        <v>83</v>
      </c>
      <c r="F16" s="34">
        <f t="shared" si="0"/>
        <v>12.853714934241495</v>
      </c>
      <c r="G16" s="13"/>
      <c r="H16" s="44">
        <f t="shared" si="7"/>
        <v>98</v>
      </c>
      <c r="I16" s="26">
        <f t="shared" si="11"/>
        <v>44.696488337638598</v>
      </c>
      <c r="J16" s="13"/>
      <c r="K16" s="27">
        <f t="shared" si="8"/>
        <v>113</v>
      </c>
      <c r="L16" s="28">
        <f t="shared" si="14"/>
        <v>80.693766285809303</v>
      </c>
      <c r="M16" s="13"/>
      <c r="N16" s="31">
        <f t="shared" si="9"/>
        <v>128</v>
      </c>
      <c r="O16" s="32">
        <f t="shared" si="12"/>
        <v>96.902592429325935</v>
      </c>
      <c r="P16" s="13"/>
      <c r="Q16" s="29">
        <f t="shared" si="10"/>
        <v>143</v>
      </c>
      <c r="R16" s="30" t="s">
        <v>28</v>
      </c>
      <c r="S16" s="13"/>
      <c r="T16" s="13"/>
    </row>
    <row r="17" spans="2:20">
      <c r="B17" s="42">
        <f t="shared" si="2"/>
        <v>69</v>
      </c>
      <c r="C17" s="40">
        <f t="shared" si="13"/>
        <v>1.9382787088818594</v>
      </c>
      <c r="D17" s="13"/>
      <c r="E17" s="20">
        <f t="shared" si="3"/>
        <v>84</v>
      </c>
      <c r="F17" s="34">
        <f t="shared" si="0"/>
        <v>14.306119219550908</v>
      </c>
      <c r="G17" s="13"/>
      <c r="H17" s="44">
        <f t="shared" si="7"/>
        <v>99</v>
      </c>
      <c r="I17" s="26">
        <f t="shared" si="11"/>
        <v>47.342353569963493</v>
      </c>
      <c r="J17" s="13"/>
      <c r="K17" s="27">
        <f t="shared" si="8"/>
        <v>114</v>
      </c>
      <c r="L17" s="28">
        <f t="shared" si="14"/>
        <v>82.467605514777048</v>
      </c>
      <c r="M17" s="13"/>
      <c r="N17" s="31">
        <f t="shared" si="9"/>
        <v>129</v>
      </c>
      <c r="O17" s="32">
        <f t="shared" si="12"/>
        <v>97.340242597899035</v>
      </c>
      <c r="P17" s="13"/>
      <c r="Q17" s="29">
        <f t="shared" si="10"/>
        <v>144</v>
      </c>
      <c r="R17" s="30" t="s">
        <v>28</v>
      </c>
      <c r="S17" s="13"/>
      <c r="T17" s="13"/>
    </row>
    <row r="18" spans="2:20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2:20" s="13" customFormat="1"/>
    <row r="20" spans="2:20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2:20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2:20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2:20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2:20">
      <c r="B24" s="55" t="s">
        <v>31</v>
      </c>
      <c r="C24" s="55"/>
      <c r="D24" s="13"/>
      <c r="E24" s="54" t="s">
        <v>32</v>
      </c>
      <c r="F24" s="54"/>
      <c r="G24" s="13"/>
      <c r="H24" s="53" t="s">
        <v>33</v>
      </c>
      <c r="I24" s="53"/>
      <c r="J24" s="13"/>
      <c r="K24" s="56" t="s">
        <v>34</v>
      </c>
      <c r="L24" s="56"/>
      <c r="M24" s="13"/>
      <c r="N24" s="50" t="s">
        <v>35</v>
      </c>
      <c r="O24" s="50"/>
      <c r="P24" s="13"/>
      <c r="Q24" s="49" t="s">
        <v>36</v>
      </c>
      <c r="R24" s="49"/>
      <c r="S24" s="13"/>
      <c r="T24" s="13"/>
    </row>
    <row r="25" spans="2:20">
      <c r="B25" s="13"/>
      <c r="C25" s="13"/>
      <c r="D25" s="13"/>
      <c r="E25" s="53" t="s">
        <v>33</v>
      </c>
      <c r="F25" s="53"/>
      <c r="G25" s="13"/>
      <c r="H25" s="52" t="s">
        <v>34</v>
      </c>
      <c r="I25" s="52"/>
      <c r="J25" s="13"/>
      <c r="K25" s="50" t="s">
        <v>35</v>
      </c>
      <c r="L25" s="50"/>
      <c r="M25" s="13"/>
      <c r="N25" s="51" t="s">
        <v>37</v>
      </c>
      <c r="O25" s="51"/>
      <c r="P25" s="13"/>
      <c r="Q25" s="13"/>
      <c r="R25" s="13"/>
      <c r="S25" s="13"/>
      <c r="T25" s="13"/>
    </row>
    <row r="26" spans="2:20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2:20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2:20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2:20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8" spans="5:5">
      <c r="E38" t="s">
        <v>38</v>
      </c>
    </row>
  </sheetData>
  <mergeCells count="10">
    <mergeCell ref="Q24:R24"/>
    <mergeCell ref="E25:F25"/>
    <mergeCell ref="H25:I25"/>
    <mergeCell ref="K25:L25"/>
    <mergeCell ref="N25:O25"/>
    <mergeCell ref="B24:C24"/>
    <mergeCell ref="E24:F24"/>
    <mergeCell ref="H24:I24"/>
    <mergeCell ref="K24:L24"/>
    <mergeCell ref="N24:O24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90b294c-5736-49fe-b90e-53d6be5e8a40}" enabled="1" method="Privileged" siteId="{c57d1a73-0e5c-464b-afb7-086dc67f3d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WPAHS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Page</dc:creator>
  <cp:keywords/>
  <dc:description/>
  <cp:lastModifiedBy>Bross, Hannah (AHN)</cp:lastModifiedBy>
  <cp:revision/>
  <dcterms:created xsi:type="dcterms:W3CDTF">2014-01-08T19:20:01Z</dcterms:created>
  <dcterms:modified xsi:type="dcterms:W3CDTF">2026-06-15T18:12:04Z</dcterms:modified>
  <cp:category/>
  <cp:contentStatus/>
</cp:coreProperties>
</file>