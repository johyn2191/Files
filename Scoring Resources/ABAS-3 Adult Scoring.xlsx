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25"/>
  <workbookPr/>
  <mc:AlternateContent xmlns:mc="http://schemas.openxmlformats.org/markup-compatibility/2006">
    <mc:Choice Requires="x15">
      <x15ac:absPath xmlns:x15ac="http://schemas.microsoft.com/office/spreadsheetml/2010/11/ac" url="R:\Neuropsychology\Scoring\"/>
    </mc:Choice>
  </mc:AlternateContent>
  <xr:revisionPtr revIDLastSave="22" documentId="13_ncr:1_{70D01C20-5614-4F18-8F14-0A71574BD499}" xr6:coauthVersionLast="47" xr6:coauthVersionMax="47" xr10:uidLastSave="{D41103E2-6A34-4942-BCE1-EBE1973E5E24}"/>
  <workbookProtection workbookAlgorithmName="SHA-512" workbookHashValue="y2JPLMk/fjSpnJyzL+F9e0+Ay+CecsC0MmvN6ry4pONOLMLj0peoS2samOoGsjSZAhPhE0k4a+y/wLGOnABLfg==" workbookSaltValue="5RAiu4lwhiExikJjUu9qow==" workbookSpinCount="100000" lockStructure="1"/>
  <bookViews>
    <workbookView xWindow="-120" yWindow="-120" windowWidth="29040" windowHeight="15720" xr2:uid="{00000000-000D-0000-FFFF-FFFF00000000}"/>
  </bookViews>
  <sheets>
    <sheet name="Score Summary" sheetId="1" r:id="rId1"/>
    <sheet name="Optional" sheetId="4" r:id="rId2"/>
    <sheet name="Calculation" sheetId="2" state="hidden" r:id="rId3"/>
    <sheet name="Calc2" sheetId="3" state="hidden" r:id="rId4"/>
    <sheet name="Calc3" sheetId="5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4" l="1"/>
  <c r="AB10" i="5"/>
  <c r="AL22" i="5" s="1"/>
  <c r="Y10" i="5"/>
  <c r="B5" i="5"/>
  <c r="AL28" i="5" l="1"/>
  <c r="AL35" i="5"/>
  <c r="AL21" i="5" a="1"/>
  <c r="AL21" i="5" s="1"/>
  <c r="AL32" i="5" a="1"/>
  <c r="AL32" i="5" s="1"/>
  <c r="AL34" i="5" a="1"/>
  <c r="AL34" i="5" s="1"/>
  <c r="AL18" i="5" a="1"/>
  <c r="AL18" i="5" s="1"/>
  <c r="AL16" i="5"/>
  <c r="AL31" i="5" a="1"/>
  <c r="AL31" i="5" s="1"/>
  <c r="AL29" i="5"/>
  <c r="AL26" i="5"/>
  <c r="AL19" i="5" a="1"/>
  <c r="AL19" i="5" s="1"/>
  <c r="AL14" i="5"/>
  <c r="AL17" i="5"/>
  <c r="AL27" i="5"/>
  <c r="AL30" i="5"/>
  <c r="AL20" i="5" a="1"/>
  <c r="AL20" i="5" s="1"/>
  <c r="AL33" i="5" a="1"/>
  <c r="AL33" i="5" s="1"/>
  <c r="AL15" i="5"/>
  <c r="AL13" i="5"/>
  <c r="I19" i="4"/>
  <c r="A35" i="4" l="1"/>
  <c r="B7" i="5"/>
  <c r="B6" i="5"/>
  <c r="B4" i="5"/>
  <c r="AL39" i="5" s="1"/>
  <c r="BY5" i="3"/>
  <c r="BY6" i="3" s="1"/>
  <c r="BY7" i="3" s="1"/>
  <c r="BY9" i="3" s="1"/>
  <c r="BY10" i="3" s="1"/>
  <c r="BY11" i="3" s="1"/>
  <c r="BY12" i="3" s="1"/>
  <c r="BY14" i="3" s="1"/>
  <c r="BY15" i="3" s="1"/>
  <c r="BY16" i="3" s="1"/>
  <c r="BY18" i="3" s="1"/>
  <c r="BY19" i="3" s="1"/>
  <c r="BY20" i="3" s="1"/>
  <c r="BY22" i="3" s="1"/>
  <c r="BY23" i="3" s="1"/>
  <c r="BY24" i="3" s="1"/>
  <c r="BY25" i="3" s="1"/>
  <c r="BY27" i="3" s="1"/>
  <c r="BY28" i="3" s="1"/>
  <c r="BY29" i="3" s="1"/>
  <c r="BY31" i="3" s="1"/>
  <c r="BY32" i="3" s="1"/>
  <c r="BY33" i="3" s="1"/>
  <c r="BY35" i="3" s="1"/>
  <c r="BY36" i="3" s="1"/>
  <c r="BY37" i="3" s="1"/>
  <c r="BY38" i="3" s="1"/>
  <c r="BY40" i="3" s="1"/>
  <c r="BY41" i="3" s="1"/>
  <c r="BY42" i="3" s="1"/>
  <c r="BY44" i="3" s="1"/>
  <c r="BY45" i="3" s="1"/>
  <c r="BY46" i="3" s="1"/>
  <c r="BY47" i="3" s="1"/>
  <c r="BY48" i="3" s="1"/>
  <c r="BK8" i="3"/>
  <c r="BK9" i="3" s="1"/>
  <c r="BK10" i="3" s="1"/>
  <c r="BK11" i="3" s="1"/>
  <c r="BK12" i="3" s="1"/>
  <c r="BK14" i="3" s="1"/>
  <c r="BK15" i="3" s="1"/>
  <c r="BK16" i="3" s="1"/>
  <c r="BK17" i="3" s="1"/>
  <c r="BK18" i="3" s="1"/>
  <c r="BK20" i="3" s="1"/>
  <c r="BK21" i="3" s="1"/>
  <c r="BK22" i="3" s="1"/>
  <c r="BK23" i="3" s="1"/>
  <c r="BK24" i="3" s="1"/>
  <c r="BK25" i="3" s="1"/>
  <c r="BK26" i="3" s="1"/>
  <c r="BK29" i="3" s="1"/>
  <c r="BK5" i="3"/>
  <c r="BK6" i="3" s="1"/>
  <c r="U108" i="3"/>
  <c r="U109" i="3" s="1"/>
  <c r="U110" i="3" s="1"/>
  <c r="U111" i="3" s="1"/>
  <c r="U112" i="3" s="1"/>
  <c r="U113" i="3" s="1"/>
  <c r="U114" i="3" s="1"/>
  <c r="U115" i="3" s="1"/>
  <c r="U116" i="3" s="1"/>
  <c r="U117" i="3" s="1"/>
  <c r="U118" i="3" s="1"/>
  <c r="U119" i="3" s="1"/>
  <c r="U120" i="3" s="1"/>
  <c r="U121" i="3" s="1"/>
  <c r="U107" i="3"/>
  <c r="U8" i="3"/>
  <c r="U10" i="3" s="1"/>
  <c r="U12" i="3" s="1"/>
  <c r="U14" i="3" s="1"/>
  <c r="U18" i="3" s="1"/>
  <c r="U20" i="3" s="1"/>
  <c r="U22" i="3" s="1"/>
  <c r="U24" i="3" s="1"/>
  <c r="U28" i="3" s="1"/>
  <c r="U30" i="3" s="1"/>
  <c r="U32" i="3" s="1"/>
  <c r="U36" i="3" s="1"/>
  <c r="U52" i="3" s="1"/>
  <c r="U58" i="3" s="1"/>
  <c r="U60" i="3" s="1"/>
  <c r="U64" i="3" s="1"/>
  <c r="U66" i="3" s="1"/>
  <c r="U68" i="3" s="1"/>
  <c r="U70" i="3" s="1"/>
  <c r="U74" i="3" s="1"/>
  <c r="U76" i="3" s="1"/>
  <c r="U78" i="3" s="1"/>
  <c r="U82" i="3" s="1"/>
  <c r="U84" i="3" s="1"/>
  <c r="U86" i="3" s="1"/>
  <c r="U88" i="3" s="1"/>
  <c r="U92" i="3" s="1"/>
  <c r="U94" i="3" s="1"/>
  <c r="U96" i="3" s="1"/>
  <c r="U98" i="3" s="1"/>
  <c r="U102" i="3" s="1"/>
  <c r="U7" i="3"/>
  <c r="U9" i="3" s="1"/>
  <c r="U13" i="3" s="1"/>
  <c r="U15" i="3" s="1"/>
  <c r="U17" i="3" s="1"/>
  <c r="U19" i="3" s="1"/>
  <c r="U23" i="3" s="1"/>
  <c r="U25" i="3" s="1"/>
  <c r="U27" i="3" s="1"/>
  <c r="U29" i="3" s="1"/>
  <c r="U33" i="3" s="1"/>
  <c r="U35" i="3" s="1"/>
  <c r="U55" i="3" s="1"/>
  <c r="U59" i="3" s="1"/>
  <c r="U61" i="3" s="1"/>
  <c r="U63" i="3" s="1"/>
  <c r="U65" i="3" s="1"/>
  <c r="U69" i="3" s="1"/>
  <c r="U71" i="3" s="1"/>
  <c r="U73" i="3" s="1"/>
  <c r="U75" i="3" s="1"/>
  <c r="U79" i="3" s="1"/>
  <c r="U81" i="3" s="1"/>
  <c r="U83" i="3" s="1"/>
  <c r="U87" i="3" s="1"/>
  <c r="U89" i="3" s="1"/>
  <c r="U91" i="3" s="1"/>
  <c r="U93" i="3" s="1"/>
  <c r="U97" i="3" s="1"/>
  <c r="U99" i="3" s="1"/>
  <c r="U101" i="3" s="1"/>
  <c r="CL65" i="3"/>
  <c r="CL5" i="3"/>
  <c r="CL6" i="3" s="1"/>
  <c r="CL7" i="3" s="1"/>
  <c r="CL8" i="3" s="1"/>
  <c r="CL10" i="3" s="1"/>
  <c r="CL11" i="3" s="1"/>
  <c r="CL12" i="3" s="1"/>
  <c r="CL13" i="3" s="1"/>
  <c r="CL14" i="3" s="1"/>
  <c r="CL15" i="3" s="1"/>
  <c r="CL16" i="3" s="1"/>
  <c r="CL17" i="3" s="1"/>
  <c r="CL18" i="3" s="1"/>
  <c r="CL19" i="3" s="1"/>
  <c r="CL20" i="3" s="1"/>
  <c r="CL21" i="3" s="1"/>
  <c r="CL22" i="3" s="1"/>
  <c r="BX8" i="3"/>
  <c r="BX9" i="3" s="1"/>
  <c r="BX10" i="3" s="1"/>
  <c r="BX11" i="3" s="1"/>
  <c r="BX12" i="3" s="1"/>
  <c r="BX13" i="3" s="1"/>
  <c r="BX15" i="3" s="1"/>
  <c r="BX16" i="3" s="1"/>
  <c r="BX17" i="3" s="1"/>
  <c r="BX18" i="3" s="1"/>
  <c r="BX19" i="3" s="1"/>
  <c r="BX20" i="3" s="1"/>
  <c r="BX21" i="3" s="1"/>
  <c r="BX23" i="3" s="1"/>
  <c r="BX24" i="3" s="1"/>
  <c r="BX25" i="3" s="1"/>
  <c r="BX26" i="3" s="1"/>
  <c r="BX27" i="3" s="1"/>
  <c r="BX28" i="3" s="1"/>
  <c r="BX29" i="3" s="1"/>
  <c r="BX31" i="3" s="1"/>
  <c r="BX32" i="3" s="1"/>
  <c r="BX33" i="3" s="1"/>
  <c r="BX34" i="3" s="1"/>
  <c r="BX35" i="3" s="1"/>
  <c r="BX36" i="3" s="1"/>
  <c r="BX37" i="3" s="1"/>
  <c r="BX39" i="3" s="1"/>
  <c r="BX40" i="3" s="1"/>
  <c r="BX41" i="3" s="1"/>
  <c r="BX42" i="3" s="1"/>
  <c r="BX43" i="3" s="1"/>
  <c r="BX44" i="3" s="1"/>
  <c r="BX46" i="3" s="1"/>
  <c r="BX47" i="3" s="1"/>
  <c r="BX48" i="3" s="1"/>
  <c r="BX49" i="3" s="1"/>
  <c r="BX51" i="3" s="1"/>
  <c r="BX54" i="3" s="1"/>
  <c r="BX56" i="3" s="1"/>
  <c r="BJ6" i="3"/>
  <c r="BJ7" i="3" s="1"/>
  <c r="BJ8" i="3" s="1"/>
  <c r="BJ9" i="3" s="1"/>
  <c r="BJ10" i="3" s="1"/>
  <c r="BJ11" i="3" s="1"/>
  <c r="BJ12" i="3" s="1"/>
  <c r="BJ13" i="3" s="1"/>
  <c r="BJ14" i="3" s="1"/>
  <c r="BJ15" i="3" s="1"/>
  <c r="BJ16" i="3" s="1"/>
  <c r="BJ17" i="3" s="1"/>
  <c r="BJ18" i="3" s="1"/>
  <c r="BJ19" i="3" s="1"/>
  <c r="BJ20" i="3" s="1"/>
  <c r="BJ21" i="3" s="1"/>
  <c r="BJ22" i="3" s="1"/>
  <c r="BJ23" i="3" s="1"/>
  <c r="BJ24" i="3" s="1"/>
  <c r="BJ25" i="3" s="1"/>
  <c r="BJ26" i="3" s="1"/>
  <c r="BJ5" i="3"/>
  <c r="AH117" i="3"/>
  <c r="AH118" i="3" s="1"/>
  <c r="AH119" i="3" s="1"/>
  <c r="AH121" i="3" s="1"/>
  <c r="AH122" i="3" s="1"/>
  <c r="AH124" i="3" s="1"/>
  <c r="AH125" i="3" s="1"/>
  <c r="AH126" i="3" s="1"/>
  <c r="AH128" i="3" s="1"/>
  <c r="AH129" i="3" s="1"/>
  <c r="AH130" i="3" s="1"/>
  <c r="AH132" i="3" s="1"/>
  <c r="AH133" i="3" s="1"/>
  <c r="AH134" i="3" s="1"/>
  <c r="AH136" i="3" s="1"/>
  <c r="AH137" i="3" s="1"/>
  <c r="AH8" i="3"/>
  <c r="AH10" i="3" s="1"/>
  <c r="AH12" i="3" s="1"/>
  <c r="AH14" i="3" s="1"/>
  <c r="AH16" i="3" s="1"/>
  <c r="AH18" i="3" s="1"/>
  <c r="AH20" i="3" s="1"/>
  <c r="AH22" i="3" s="1"/>
  <c r="AH24" i="3" s="1"/>
  <c r="AH26" i="3" s="1"/>
  <c r="AH28" i="3" s="1"/>
  <c r="AH30" i="3" s="1"/>
  <c r="AH32" i="3" s="1"/>
  <c r="AH34" i="3" s="1"/>
  <c r="AH36" i="3" s="1"/>
  <c r="AH38" i="3" s="1"/>
  <c r="AH40" i="3" s="1"/>
  <c r="AH42" i="3" s="1"/>
  <c r="AH44" i="3" s="1"/>
  <c r="AH46" i="3" s="1"/>
  <c r="AH48" i="3" s="1"/>
  <c r="AH50" i="3" s="1"/>
  <c r="AH52" i="3" s="1"/>
  <c r="AH54" i="3" s="1"/>
  <c r="AH56" i="3" s="1"/>
  <c r="AH58" i="3" s="1"/>
  <c r="AH60" i="3" s="1"/>
  <c r="AH62" i="3" s="1"/>
  <c r="AH64" i="3" s="1"/>
  <c r="AH66" i="3" s="1"/>
  <c r="AH68" i="3" s="1"/>
  <c r="AH70" i="3" s="1"/>
  <c r="AH72" i="3" s="1"/>
  <c r="AH74" i="3" s="1"/>
  <c r="AH76" i="3" s="1"/>
  <c r="AH78" i="3" s="1"/>
  <c r="AH80" i="3" s="1"/>
  <c r="AH82" i="3" s="1"/>
  <c r="AH84" i="3" s="1"/>
  <c r="AH86" i="3" s="1"/>
  <c r="AH88" i="3" s="1"/>
  <c r="AH92" i="3" s="1"/>
  <c r="AH94" i="3" s="1"/>
  <c r="AH96" i="3" s="1"/>
  <c r="AH98" i="3" s="1"/>
  <c r="AH100" i="3" s="1"/>
  <c r="AH102" i="3" s="1"/>
  <c r="AH104" i="3" s="1"/>
  <c r="AH106" i="3" s="1"/>
  <c r="AH108" i="3" s="1"/>
  <c r="AH110" i="3" s="1"/>
  <c r="AH112" i="3" s="1"/>
  <c r="AH114" i="3" s="1"/>
  <c r="AH7" i="3"/>
  <c r="AH9" i="3" s="1"/>
  <c r="AH11" i="3" s="1"/>
  <c r="AH13" i="3" s="1"/>
  <c r="AH15" i="3" s="1"/>
  <c r="AH17" i="3" s="1"/>
  <c r="AH19" i="3" s="1"/>
  <c r="AH21" i="3" s="1"/>
  <c r="AH23" i="3" s="1"/>
  <c r="AH25" i="3" s="1"/>
  <c r="AH27" i="3" s="1"/>
  <c r="AH29" i="3" s="1"/>
  <c r="AH31" i="3" s="1"/>
  <c r="AH33" i="3" s="1"/>
  <c r="AH35" i="3" s="1"/>
  <c r="AH37" i="3" s="1"/>
  <c r="AH39" i="3" s="1"/>
  <c r="AH41" i="3" s="1"/>
  <c r="AH45" i="3" s="1"/>
  <c r="AH47" i="3" s="1"/>
  <c r="AH49" i="3" s="1"/>
  <c r="AH51" i="3" s="1"/>
  <c r="AH53" i="3" s="1"/>
  <c r="AH55" i="3" s="1"/>
  <c r="AH57" i="3" s="1"/>
  <c r="AH59" i="3" s="1"/>
  <c r="AH61" i="3" s="1"/>
  <c r="AH63" i="3" s="1"/>
  <c r="AH65" i="3" s="1"/>
  <c r="AH67" i="3" s="1"/>
  <c r="AH69" i="3" s="1"/>
  <c r="AH71" i="3" s="1"/>
  <c r="AH73" i="3" s="1"/>
  <c r="AH75" i="3" s="1"/>
  <c r="AH77" i="3" s="1"/>
  <c r="AH79" i="3" s="1"/>
  <c r="AH81" i="3" s="1"/>
  <c r="AH83" i="3" s="1"/>
  <c r="AH85" i="3" s="1"/>
  <c r="AH87" i="3" s="1"/>
  <c r="AH89" i="3" s="1"/>
  <c r="AH91" i="3" s="1"/>
  <c r="AH93" i="3" s="1"/>
  <c r="AH95" i="3" s="1"/>
  <c r="AH97" i="3" s="1"/>
  <c r="AH99" i="3" s="1"/>
  <c r="AH101" i="3" s="1"/>
  <c r="AH103" i="3" s="1"/>
  <c r="AH105" i="3" s="1"/>
  <c r="AH107" i="3" s="1"/>
  <c r="AH109" i="3" s="1"/>
  <c r="AH111" i="3" s="1"/>
  <c r="AH113" i="3" s="1"/>
  <c r="T15" i="3"/>
  <c r="T17" i="3" s="1"/>
  <c r="T19" i="3" s="1"/>
  <c r="T21" i="3" s="1"/>
  <c r="T23" i="3" s="1"/>
  <c r="T25" i="3" s="1"/>
  <c r="T27" i="3" s="1"/>
  <c r="T31" i="3" s="1"/>
  <c r="T33" i="3" s="1"/>
  <c r="T35" i="3" s="1"/>
  <c r="T37" i="3" s="1"/>
  <c r="T39" i="3" s="1"/>
  <c r="T41" i="3" s="1"/>
  <c r="T45" i="3" s="1"/>
  <c r="T47" i="3" s="1"/>
  <c r="T49" i="3" s="1"/>
  <c r="T51" i="3" s="1"/>
  <c r="T53" i="3" s="1"/>
  <c r="T55" i="3" s="1"/>
  <c r="T59" i="3" s="1"/>
  <c r="T61" i="3" s="1"/>
  <c r="T63" i="3" s="1"/>
  <c r="T65" i="3" s="1"/>
  <c r="T67" i="3" s="1"/>
  <c r="T69" i="3" s="1"/>
  <c r="T71" i="3" s="1"/>
  <c r="T75" i="3" s="1"/>
  <c r="T77" i="3" s="1"/>
  <c r="T79" i="3" s="1"/>
  <c r="T81" i="3" s="1"/>
  <c r="T83" i="3" s="1"/>
  <c r="T85" i="3" s="1"/>
  <c r="T89" i="3" s="1"/>
  <c r="T91" i="3" s="1"/>
  <c r="T93" i="3" s="1"/>
  <c r="T95" i="3" s="1"/>
  <c r="T97" i="3" s="1"/>
  <c r="T99" i="3" s="1"/>
  <c r="T101" i="3" s="1"/>
  <c r="T10" i="3"/>
  <c r="T12" i="3" s="1"/>
  <c r="T14" i="3" s="1"/>
  <c r="T16" i="3" s="1"/>
  <c r="T18" i="3" s="1"/>
  <c r="T22" i="3" s="1"/>
  <c r="T24" i="3" s="1"/>
  <c r="T26" i="3" s="1"/>
  <c r="T28" i="3" s="1"/>
  <c r="T30" i="3" s="1"/>
  <c r="T32" i="3" s="1"/>
  <c r="T34" i="3" s="1"/>
  <c r="T38" i="3" s="1"/>
  <c r="T40" i="3" s="1"/>
  <c r="T42" i="3" s="1"/>
  <c r="T44" i="3" s="1"/>
  <c r="T46" i="3" s="1"/>
  <c r="T48" i="3" s="1"/>
  <c r="T52" i="3" s="1"/>
  <c r="T54" i="3" s="1"/>
  <c r="T56" i="3" s="1"/>
  <c r="T58" i="3" s="1"/>
  <c r="T60" i="3" s="1"/>
  <c r="T62" i="3" s="1"/>
  <c r="T64" i="3" s="1"/>
  <c r="T68" i="3" s="1"/>
  <c r="T70" i="3" s="1"/>
  <c r="T72" i="3" s="1"/>
  <c r="T74" i="3" s="1"/>
  <c r="T76" i="3" s="1"/>
  <c r="T78" i="3" s="1"/>
  <c r="T82" i="3" s="1"/>
  <c r="T84" i="3" s="1"/>
  <c r="T86" i="3" s="1"/>
  <c r="T88" i="3" s="1"/>
  <c r="T90" i="3" s="1"/>
  <c r="T92" i="3" s="1"/>
  <c r="T94" i="3" s="1"/>
  <c r="T98" i="3" s="1"/>
  <c r="T100" i="3" s="1"/>
  <c r="T102" i="3" s="1"/>
  <c r="T104" i="3" s="1"/>
  <c r="T106" i="3" s="1"/>
  <c r="T112" i="3" s="1"/>
  <c r="T9" i="3"/>
  <c r="T11" i="3" s="1"/>
  <c r="CK5" i="3"/>
  <c r="CK6" i="3" s="1"/>
  <c r="CK7" i="3" s="1"/>
  <c r="CK8" i="3" s="1"/>
  <c r="CK10" i="3" s="1"/>
  <c r="CK11" i="3" s="1"/>
  <c r="CK12" i="3" s="1"/>
  <c r="CK13" i="3" s="1"/>
  <c r="CK14" i="3" s="1"/>
  <c r="CK16" i="3" s="1"/>
  <c r="CK17" i="3" s="1"/>
  <c r="CK18" i="3" s="1"/>
  <c r="CK19" i="3" s="1"/>
  <c r="CK20" i="3" s="1"/>
  <c r="CK21" i="3" s="1"/>
  <c r="CK23" i="3" s="1"/>
  <c r="CK24" i="3" s="1"/>
  <c r="CK25" i="3" s="1"/>
  <c r="CK26" i="3" s="1"/>
  <c r="CK27" i="3" s="1"/>
  <c r="CK29" i="3" s="1"/>
  <c r="CK30" i="3" s="1"/>
  <c r="CK31" i="3" s="1"/>
  <c r="CK32" i="3" s="1"/>
  <c r="CK33" i="3" s="1"/>
  <c r="CK34" i="3" s="1"/>
  <c r="CK36" i="3" s="1"/>
  <c r="CK37" i="3" s="1"/>
  <c r="CK38" i="3" s="1"/>
  <c r="CK39" i="3" s="1"/>
  <c r="CK40" i="3" s="1"/>
  <c r="CK42" i="3" s="1"/>
  <c r="CK43" i="3" s="1"/>
  <c r="CK44" i="3" s="1"/>
  <c r="CK45" i="3" s="1"/>
  <c r="CK46" i="3" s="1"/>
  <c r="CK47" i="3" s="1"/>
  <c r="CK49" i="3" s="1"/>
  <c r="CK50" i="3" s="1"/>
  <c r="CK51" i="3" s="1"/>
  <c r="CK52" i="3" s="1"/>
  <c r="CK53" i="3" s="1"/>
  <c r="CK55" i="3" s="1"/>
  <c r="CK56" i="3" s="1"/>
  <c r="CK57" i="3" s="1"/>
  <c r="CK58" i="3" s="1"/>
  <c r="CK59" i="3" s="1"/>
  <c r="CK61" i="3" s="1"/>
  <c r="CK62" i="3" s="1"/>
  <c r="CK64" i="3" s="1"/>
  <c r="CK65" i="3" s="1"/>
  <c r="CK67" i="3" s="1"/>
  <c r="CK68" i="3" s="1"/>
  <c r="CK70" i="3" s="1"/>
  <c r="CK71" i="3" s="1"/>
  <c r="CK72" i="3" s="1"/>
  <c r="CK74" i="3" s="1"/>
  <c r="BW6" i="3"/>
  <c r="BW7" i="3" s="1"/>
  <c r="BW8" i="3" s="1"/>
  <c r="BW9" i="3" s="1"/>
  <c r="BW10" i="3" s="1"/>
  <c r="BW11" i="3" s="1"/>
  <c r="BW12" i="3" s="1"/>
  <c r="BW13" i="3" s="1"/>
  <c r="BW14" i="3" s="1"/>
  <c r="BW15" i="3" s="1"/>
  <c r="BW16" i="3" s="1"/>
  <c r="BW17" i="3" s="1"/>
  <c r="BW18" i="3" s="1"/>
  <c r="BW19" i="3" s="1"/>
  <c r="BW20" i="3" s="1"/>
  <c r="BW21" i="3" s="1"/>
  <c r="BW22" i="3" s="1"/>
  <c r="BW23" i="3" s="1"/>
  <c r="BW24" i="3" s="1"/>
  <c r="BW25" i="3" s="1"/>
  <c r="BW26" i="3" s="1"/>
  <c r="BW27" i="3" s="1"/>
  <c r="BW28" i="3" s="1"/>
  <c r="BW29" i="3" s="1"/>
  <c r="BW30" i="3" s="1"/>
  <c r="BW31" i="3" s="1"/>
  <c r="BW32" i="3" s="1"/>
  <c r="BW33" i="3" s="1"/>
  <c r="BW34" i="3" s="1"/>
  <c r="BW35" i="3" s="1"/>
  <c r="BW36" i="3" s="1"/>
  <c r="BW37" i="3" s="1"/>
  <c r="BW39" i="3" s="1"/>
  <c r="BW40" i="3" s="1"/>
  <c r="BW41" i="3" s="1"/>
  <c r="BW42" i="3" s="1"/>
  <c r="BW43" i="3" s="1"/>
  <c r="BW44" i="3" s="1"/>
  <c r="BW45" i="3" s="1"/>
  <c r="BW46" i="3" s="1"/>
  <c r="BW47" i="3" s="1"/>
  <c r="BW48" i="3" s="1"/>
  <c r="BW49" i="3" s="1"/>
  <c r="BW50" i="3" s="1"/>
  <c r="BW52" i="3" s="1"/>
  <c r="BW54" i="3" s="1"/>
  <c r="BW56" i="3" s="1"/>
  <c r="BW5" i="3"/>
  <c r="BI5" i="3"/>
  <c r="BI6" i="3" s="1"/>
  <c r="BI8" i="3" s="1"/>
  <c r="BI9" i="3" s="1"/>
  <c r="BI10" i="3" s="1"/>
  <c r="BI11" i="3" s="1"/>
  <c r="BI12" i="3" s="1"/>
  <c r="BI13" i="3" s="1"/>
  <c r="BI15" i="3" s="1"/>
  <c r="BI16" i="3" s="1"/>
  <c r="BI17" i="3" s="1"/>
  <c r="BI18" i="3" s="1"/>
  <c r="BI19" i="3" s="1"/>
  <c r="BI20" i="3" s="1"/>
  <c r="BI21" i="3" s="1"/>
  <c r="BI23" i="3" s="1"/>
  <c r="BI24" i="3" s="1"/>
  <c r="BI25" i="3" s="1"/>
  <c r="AG13" i="3"/>
  <c r="AG15" i="3" s="1"/>
  <c r="AG17" i="3" s="1"/>
  <c r="AG19" i="3" s="1"/>
  <c r="AG21" i="3" s="1"/>
  <c r="AG23" i="3" s="1"/>
  <c r="AG27" i="3" s="1"/>
  <c r="AG29" i="3" s="1"/>
  <c r="AG31" i="3" s="1"/>
  <c r="AG33" i="3" s="1"/>
  <c r="AG35" i="3" s="1"/>
  <c r="AG37" i="3" s="1"/>
  <c r="AG39" i="3" s="1"/>
  <c r="AG41" i="3" s="1"/>
  <c r="AG43" i="3" s="1"/>
  <c r="AG47" i="3" s="1"/>
  <c r="AG49" i="3" s="1"/>
  <c r="AG51" i="3" s="1"/>
  <c r="AG53" i="3" s="1"/>
  <c r="AG55" i="3" s="1"/>
  <c r="AG57" i="3" s="1"/>
  <c r="AG59" i="3" s="1"/>
  <c r="AG61" i="3" s="1"/>
  <c r="AG63" i="3" s="1"/>
  <c r="AG67" i="3" s="1"/>
  <c r="AG69" i="3" s="1"/>
  <c r="AG71" i="3" s="1"/>
  <c r="AG73" i="3" s="1"/>
  <c r="AG75" i="3" s="1"/>
  <c r="AG77" i="3" s="1"/>
  <c r="AG79" i="3" s="1"/>
  <c r="AG81" i="3" s="1"/>
  <c r="AG85" i="3" s="1"/>
  <c r="AG87" i="3" s="1"/>
  <c r="AG89" i="3" s="1"/>
  <c r="AG91" i="3" s="1"/>
  <c r="AG93" i="3" s="1"/>
  <c r="AG95" i="3" s="1"/>
  <c r="AG97" i="3" s="1"/>
  <c r="AG99" i="3" s="1"/>
  <c r="AG101" i="3" s="1"/>
  <c r="AG105" i="3" s="1"/>
  <c r="AG107" i="3" s="1"/>
  <c r="AG109" i="3" s="1"/>
  <c r="AG111" i="3" s="1"/>
  <c r="AG113" i="3" s="1"/>
  <c r="AG115" i="3" s="1"/>
  <c r="AG117" i="3" s="1"/>
  <c r="AG11" i="3"/>
  <c r="AG10" i="3"/>
  <c r="AG12" i="3" s="1"/>
  <c r="AG14" i="3" s="1"/>
  <c r="AG18" i="3" s="1"/>
  <c r="AG20" i="3" s="1"/>
  <c r="AG22" i="3" s="1"/>
  <c r="AG24" i="3" s="1"/>
  <c r="AG26" i="3" s="1"/>
  <c r="AG28" i="3" s="1"/>
  <c r="AG30" i="3" s="1"/>
  <c r="AG32" i="3" s="1"/>
  <c r="AG34" i="3" s="1"/>
  <c r="AG38" i="3" s="1"/>
  <c r="AG40" i="3" s="1"/>
  <c r="AG42" i="3" s="1"/>
  <c r="AG44" i="3" s="1"/>
  <c r="AG46" i="3" s="1"/>
  <c r="AG48" i="3" s="1"/>
  <c r="AG50" i="3" s="1"/>
  <c r="AG52" i="3" s="1"/>
  <c r="AG56" i="3" s="1"/>
  <c r="AG58" i="3" s="1"/>
  <c r="AG60" i="3" s="1"/>
  <c r="AG62" i="3" s="1"/>
  <c r="AG64" i="3" s="1"/>
  <c r="AG66" i="3" s="1"/>
  <c r="AG68" i="3" s="1"/>
  <c r="AG70" i="3" s="1"/>
  <c r="AG72" i="3" s="1"/>
  <c r="AG76" i="3" s="1"/>
  <c r="AG78" i="3" s="1"/>
  <c r="AG80" i="3" s="1"/>
  <c r="AG82" i="3" s="1"/>
  <c r="AG84" i="3" s="1"/>
  <c r="AG86" i="3" s="1"/>
  <c r="AG88" i="3" s="1"/>
  <c r="AG90" i="3" s="1"/>
  <c r="AG92" i="3" s="1"/>
  <c r="AG96" i="3" s="1"/>
  <c r="AG98" i="3" s="1"/>
  <c r="AG100" i="3" s="1"/>
  <c r="AG102" i="3" s="1"/>
  <c r="AG104" i="3" s="1"/>
  <c r="AG106" i="3" s="1"/>
  <c r="AG108" i="3" s="1"/>
  <c r="AG110" i="3" s="1"/>
  <c r="AG114" i="3" s="1"/>
  <c r="AG116" i="3" s="1"/>
  <c r="AG118" i="3" s="1"/>
  <c r="S7" i="3"/>
  <c r="S9" i="3" s="1"/>
  <c r="S11" i="3" s="1"/>
  <c r="S13" i="3" s="1"/>
  <c r="S15" i="3" s="1"/>
  <c r="S17" i="3" s="1"/>
  <c r="S19" i="3" s="1"/>
  <c r="S21" i="3" s="1"/>
  <c r="S23" i="3" s="1"/>
  <c r="S25" i="3" s="1"/>
  <c r="S27" i="3" s="1"/>
  <c r="S29" i="3" s="1"/>
  <c r="S31" i="3" s="1"/>
  <c r="S35" i="3" s="1"/>
  <c r="S37" i="3" s="1"/>
  <c r="S39" i="3" s="1"/>
  <c r="S41" i="3" s="1"/>
  <c r="S43" i="3" s="1"/>
  <c r="S45" i="3" s="1"/>
  <c r="S47" i="3" s="1"/>
  <c r="S49" i="3" s="1"/>
  <c r="S51" i="3" s="1"/>
  <c r="S53" i="3" s="1"/>
  <c r="S55" i="3" s="1"/>
  <c r="S57" i="3" s="1"/>
  <c r="S59" i="3" s="1"/>
  <c r="S61" i="3" s="1"/>
  <c r="S63" i="3" s="1"/>
  <c r="S65" i="3" s="1"/>
  <c r="S67" i="3" s="1"/>
  <c r="S69" i="3" s="1"/>
  <c r="S73" i="3" s="1"/>
  <c r="S75" i="3" s="1"/>
  <c r="S77" i="3" s="1"/>
  <c r="S79" i="3" s="1"/>
  <c r="S81" i="3" s="1"/>
  <c r="S83" i="3" s="1"/>
  <c r="S85" i="3" s="1"/>
  <c r="S87" i="3" s="1"/>
  <c r="S89" i="3" s="1"/>
  <c r="S91" i="3" s="1"/>
  <c r="S93" i="3" s="1"/>
  <c r="S95" i="3" s="1"/>
  <c r="S97" i="3" s="1"/>
  <c r="S99" i="3" s="1"/>
  <c r="S101" i="3" s="1"/>
  <c r="S103" i="3" s="1"/>
  <c r="S105" i="3" s="1"/>
  <c r="S107" i="3" s="1"/>
  <c r="S109" i="3" s="1"/>
  <c r="S113" i="3" s="1"/>
  <c r="S117" i="3" s="1"/>
  <c r="S121" i="3" s="1"/>
  <c r="S6" i="3"/>
  <c r="S8" i="3" s="1"/>
  <c r="S10" i="3" s="1"/>
  <c r="S12" i="3" s="1"/>
  <c r="S14" i="3" s="1"/>
  <c r="S18" i="3" s="1"/>
  <c r="S20" i="3" s="1"/>
  <c r="S22" i="3" s="1"/>
  <c r="S24" i="3" s="1"/>
  <c r="S26" i="3" s="1"/>
  <c r="S28" i="3" s="1"/>
  <c r="S30" i="3" s="1"/>
  <c r="S32" i="3" s="1"/>
  <c r="S34" i="3" s="1"/>
  <c r="S36" i="3" s="1"/>
  <c r="S38" i="3" s="1"/>
  <c r="S40" i="3" s="1"/>
  <c r="S42" i="3" s="1"/>
  <c r="S44" i="3" s="1"/>
  <c r="S46" i="3" s="1"/>
  <c r="S48" i="3" s="1"/>
  <c r="S50" i="3" s="1"/>
  <c r="S54" i="3" s="1"/>
  <c r="S56" i="3" s="1"/>
  <c r="S58" i="3" s="1"/>
  <c r="S60" i="3" s="1"/>
  <c r="S62" i="3" s="1"/>
  <c r="S64" i="3" s="1"/>
  <c r="S66" i="3" s="1"/>
  <c r="S68" i="3" s="1"/>
  <c r="S70" i="3" s="1"/>
  <c r="S72" i="3" s="1"/>
  <c r="S74" i="3" s="1"/>
  <c r="S76" i="3" s="1"/>
  <c r="S78" i="3" s="1"/>
  <c r="S80" i="3" s="1"/>
  <c r="S82" i="3" s="1"/>
  <c r="S84" i="3" s="1"/>
  <c r="S86" i="3" s="1"/>
  <c r="S88" i="3" s="1"/>
  <c r="S92" i="3" s="1"/>
  <c r="S94" i="3" s="1"/>
  <c r="S96" i="3" s="1"/>
  <c r="S98" i="3" s="1"/>
  <c r="S100" i="3" s="1"/>
  <c r="S102" i="3" s="1"/>
  <c r="S104" i="3" s="1"/>
  <c r="S106" i="3" s="1"/>
  <c r="S110" i="3" s="1"/>
  <c r="S114" i="3" s="1"/>
  <c r="S122" i="3" s="1"/>
  <c r="CJ7" i="3"/>
  <c r="CJ8" i="3" s="1"/>
  <c r="CJ10" i="3" s="1"/>
  <c r="CJ11" i="3" s="1"/>
  <c r="CJ12" i="3" s="1"/>
  <c r="CJ13" i="3" s="1"/>
  <c r="CJ15" i="3" s="1"/>
  <c r="CJ16" i="3" s="1"/>
  <c r="CJ17" i="3" s="1"/>
  <c r="CJ18" i="3" s="1"/>
  <c r="CJ19" i="3" s="1"/>
  <c r="CJ6" i="3"/>
  <c r="CJ5" i="3"/>
  <c r="BV5" i="3"/>
  <c r="BV6" i="3" s="1"/>
  <c r="BV7" i="3" s="1"/>
  <c r="BV8" i="3" s="1"/>
  <c r="BV10" i="3" s="1"/>
  <c r="BV11" i="3" s="1"/>
  <c r="BV12" i="3" s="1"/>
  <c r="BV13" i="3" s="1"/>
  <c r="BV14" i="3" s="1"/>
  <c r="BV15" i="3" s="1"/>
  <c r="BV16" i="3" s="1"/>
  <c r="BV17" i="3" s="1"/>
  <c r="BV18" i="3" s="1"/>
  <c r="BV19" i="3" s="1"/>
  <c r="BV21" i="3" s="1"/>
  <c r="BV22" i="3" s="1"/>
  <c r="BV23" i="3" s="1"/>
  <c r="BV24" i="3" s="1"/>
  <c r="BV25" i="3" s="1"/>
  <c r="BV26" i="3" s="1"/>
  <c r="BV27" i="3" s="1"/>
  <c r="BV28" i="3" s="1"/>
  <c r="BV29" i="3" s="1"/>
  <c r="BV30" i="3" s="1"/>
  <c r="BV32" i="3" s="1"/>
  <c r="BV33" i="3" s="1"/>
  <c r="BV34" i="3" s="1"/>
  <c r="BV35" i="3" s="1"/>
  <c r="BV36" i="3" s="1"/>
  <c r="BV37" i="3" s="1"/>
  <c r="BV38" i="3" s="1"/>
  <c r="BV39" i="3" s="1"/>
  <c r="BV40" i="3" s="1"/>
  <c r="BV41" i="3" s="1"/>
  <c r="BV43" i="3" s="1"/>
  <c r="BV44" i="3" s="1"/>
  <c r="BV45" i="3" s="1"/>
  <c r="BV46" i="3" s="1"/>
  <c r="BV47" i="3" s="1"/>
  <c r="BV48" i="3" s="1"/>
  <c r="BV49" i="3" s="1"/>
  <c r="BV50" i="3" s="1"/>
  <c r="BV52" i="3" s="1"/>
  <c r="BV54" i="3" s="1"/>
  <c r="BV56" i="3" s="1"/>
  <c r="BV57" i="3" s="1"/>
  <c r="AF14" i="3"/>
  <c r="AF16" i="3" s="1"/>
  <c r="AF18" i="3" s="1"/>
  <c r="AF20" i="3" s="1"/>
  <c r="AF24" i="3" s="1"/>
  <c r="AF26" i="3" s="1"/>
  <c r="AF28" i="3" s="1"/>
  <c r="AF30" i="3" s="1"/>
  <c r="AF32" i="3" s="1"/>
  <c r="AF34" i="3" s="1"/>
  <c r="AF38" i="3" s="1"/>
  <c r="AF40" i="3" s="1"/>
  <c r="AF42" i="3" s="1"/>
  <c r="AF44" i="3" s="1"/>
  <c r="AF46" i="3" s="1"/>
  <c r="AF48" i="3" s="1"/>
  <c r="AF50" i="3" s="1"/>
  <c r="AF54" i="3" s="1"/>
  <c r="AF56" i="3" s="1"/>
  <c r="AF58" i="3" s="1"/>
  <c r="AF60" i="3" s="1"/>
  <c r="AF62" i="3" s="1"/>
  <c r="AF64" i="3" s="1"/>
  <c r="AF68" i="3" s="1"/>
  <c r="AF70" i="3" s="1"/>
  <c r="AF72" i="3" s="1"/>
  <c r="AF74" i="3" s="1"/>
  <c r="AF76" i="3" s="1"/>
  <c r="AF78" i="3" s="1"/>
  <c r="AF82" i="3" s="1"/>
  <c r="AF84" i="3" s="1"/>
  <c r="AF86" i="3" s="1"/>
  <c r="AF88" i="3" s="1"/>
  <c r="AF90" i="3" s="1"/>
  <c r="AF92" i="3" s="1"/>
  <c r="AF96" i="3" s="1"/>
  <c r="AF98" i="3" s="1"/>
  <c r="AF100" i="3" s="1"/>
  <c r="AF102" i="3" s="1"/>
  <c r="AF104" i="3" s="1"/>
  <c r="AF106" i="3" s="1"/>
  <c r="AF108" i="3" s="1"/>
  <c r="AF112" i="3" s="1"/>
  <c r="AF114" i="3" s="1"/>
  <c r="AF116" i="3" s="1"/>
  <c r="AF118" i="3" s="1"/>
  <c r="AF120" i="3" s="1"/>
  <c r="AF121" i="3" s="1"/>
  <c r="AF122" i="3" s="1"/>
  <c r="AF123" i="3" s="1"/>
  <c r="AF125" i="3" s="1"/>
  <c r="AF126" i="3" s="1"/>
  <c r="AF127" i="3" s="1"/>
  <c r="AF129" i="3" s="1"/>
  <c r="AF130" i="3" s="1"/>
  <c r="AF131" i="3" s="1"/>
  <c r="AF132" i="3" s="1"/>
  <c r="AF134" i="3" s="1"/>
  <c r="AF135" i="3" s="1"/>
  <c r="AF136" i="3" s="1"/>
  <c r="AF137" i="3" s="1"/>
  <c r="AF13" i="3"/>
  <c r="AF12" i="3"/>
  <c r="AF11" i="3"/>
  <c r="R7" i="3"/>
  <c r="R9" i="3" s="1"/>
  <c r="R11" i="3" s="1"/>
  <c r="R13" i="3" s="1"/>
  <c r="R15" i="3" s="1"/>
  <c r="R17" i="3" s="1"/>
  <c r="R19" i="3" s="1"/>
  <c r="R21" i="3" s="1"/>
  <c r="R23" i="3" s="1"/>
  <c r="R25" i="3" s="1"/>
  <c r="R29" i="3" s="1"/>
  <c r="R31" i="3" s="1"/>
  <c r="R33" i="3" s="1"/>
  <c r="R35" i="3" s="1"/>
  <c r="R37" i="3" s="1"/>
  <c r="R39" i="3" s="1"/>
  <c r="R41" i="3" s="1"/>
  <c r="R43" i="3" s="1"/>
  <c r="R45" i="3" s="1"/>
  <c r="R47" i="3" s="1"/>
  <c r="R49" i="3" s="1"/>
  <c r="R51" i="3" s="1"/>
  <c r="R53" i="3" s="1"/>
  <c r="R55" i="3" s="1"/>
  <c r="R57" i="3" s="1"/>
  <c r="R59" i="3" s="1"/>
  <c r="R61" i="3" s="1"/>
  <c r="R63" i="3" s="1"/>
  <c r="R65" i="3" s="1"/>
  <c r="R67" i="3" s="1"/>
  <c r="R69" i="3" s="1"/>
  <c r="R71" i="3" s="1"/>
  <c r="R73" i="3" s="1"/>
  <c r="R75" i="3" s="1"/>
  <c r="R77" i="3" s="1"/>
  <c r="R79" i="3" s="1"/>
  <c r="R81" i="3" s="1"/>
  <c r="R83" i="3" s="1"/>
  <c r="R85" i="3" s="1"/>
  <c r="R87" i="3" s="1"/>
  <c r="R89" i="3" s="1"/>
  <c r="R91" i="3" s="1"/>
  <c r="R93" i="3" s="1"/>
  <c r="R95" i="3" s="1"/>
  <c r="R97" i="3" s="1"/>
  <c r="R99" i="3" s="1"/>
  <c r="R101" i="3" s="1"/>
  <c r="R103" i="3" s="1"/>
  <c r="R105" i="3" s="1"/>
  <c r="R107" i="3" s="1"/>
  <c r="R6" i="3"/>
  <c r="R8" i="3" s="1"/>
  <c r="R10" i="3" s="1"/>
  <c r="R12" i="3" s="1"/>
  <c r="R14" i="3" s="1"/>
  <c r="R16" i="3" s="1"/>
  <c r="R18" i="3" s="1"/>
  <c r="R20" i="3" s="1"/>
  <c r="R22" i="3" s="1"/>
  <c r="R24" i="3" s="1"/>
  <c r="R26" i="3" s="1"/>
  <c r="R28" i="3" s="1"/>
  <c r="R30" i="3" s="1"/>
  <c r="R32" i="3" s="1"/>
  <c r="R34" i="3" s="1"/>
  <c r="R36" i="3" s="1"/>
  <c r="R38" i="3" s="1"/>
  <c r="R40" i="3" s="1"/>
  <c r="R42" i="3" s="1"/>
  <c r="R44" i="3" s="1"/>
  <c r="R46" i="3" s="1"/>
  <c r="R48" i="3" s="1"/>
  <c r="R50" i="3" s="1"/>
  <c r="R52" i="3" s="1"/>
  <c r="R54" i="3" s="1"/>
  <c r="R56" i="3" s="1"/>
  <c r="R58" i="3" s="1"/>
  <c r="R60" i="3" s="1"/>
  <c r="R62" i="3" s="1"/>
  <c r="R64" i="3" s="1"/>
  <c r="R66" i="3" s="1"/>
  <c r="R68" i="3" s="1"/>
  <c r="R70" i="3" s="1"/>
  <c r="R72" i="3" s="1"/>
  <c r="R74" i="3" s="1"/>
  <c r="R78" i="3" s="1"/>
  <c r="R80" i="3" s="1"/>
  <c r="R82" i="3" s="1"/>
  <c r="R84" i="3" s="1"/>
  <c r="R86" i="3" s="1"/>
  <c r="R88" i="3" s="1"/>
  <c r="R90" i="3" s="1"/>
  <c r="R92" i="3" s="1"/>
  <c r="R94" i="3" s="1"/>
  <c r="R96" i="3" s="1"/>
  <c r="R98" i="3" s="1"/>
  <c r="R100" i="3" s="1"/>
  <c r="R102" i="3" s="1"/>
  <c r="R104" i="3" s="1"/>
  <c r="R106" i="3" s="1"/>
  <c r="R108" i="3" s="1"/>
  <c r="AL47" i="5" l="1"/>
  <c r="AL46" i="5"/>
  <c r="AL45" i="5"/>
  <c r="AL41" i="5"/>
  <c r="E7" i="4" s="1"/>
  <c r="AL40" i="5"/>
  <c r="E5" i="4"/>
  <c r="CL23" i="3"/>
  <c r="CL25" i="3" s="1"/>
  <c r="CL26" i="3" s="1"/>
  <c r="CL27" i="3" s="1"/>
  <c r="CL28" i="3" s="1"/>
  <c r="CL29" i="3" s="1"/>
  <c r="CL30" i="3" s="1"/>
  <c r="CL31" i="3" s="1"/>
  <c r="CL32" i="3" s="1"/>
  <c r="CL33" i="3" s="1"/>
  <c r="CL34" i="3" s="1"/>
  <c r="CL35" i="3" s="1"/>
  <c r="CL36" i="3" s="1"/>
  <c r="CL37" i="3" s="1"/>
  <c r="CL39" i="3" s="1"/>
  <c r="CL40" i="3" s="1"/>
  <c r="CL41" i="3" s="1"/>
  <c r="CL42" i="3" s="1"/>
  <c r="CL43" i="3" s="1"/>
  <c r="CL44" i="3" s="1"/>
  <c r="CL45" i="3" s="1"/>
  <c r="CL46" i="3" s="1"/>
  <c r="CL47" i="3" s="1"/>
  <c r="CL48" i="3" s="1"/>
  <c r="CL49" i="3" s="1"/>
  <c r="CL50" i="3" s="1"/>
  <c r="CL51" i="3" s="1"/>
  <c r="CL52" i="3" s="1"/>
  <c r="CL54" i="3" s="1"/>
  <c r="CL55" i="3" s="1"/>
  <c r="CL56" i="3" s="1"/>
  <c r="CL57" i="3" s="1"/>
  <c r="CL58" i="3" s="1"/>
  <c r="CL59" i="3" s="1"/>
  <c r="CL60" i="3" s="1"/>
  <c r="CL61" i="3" s="1"/>
  <c r="CL63" i="3" s="1"/>
  <c r="CL66" i="3" s="1"/>
  <c r="CL68" i="3" s="1"/>
  <c r="CL70" i="3" s="1"/>
  <c r="CL71" i="3" s="1"/>
  <c r="CJ21" i="3"/>
  <c r="CJ22" i="3" s="1"/>
  <c r="CJ23" i="3" s="1"/>
  <c r="CJ24" i="3" s="1"/>
  <c r="CJ26" i="3" s="1"/>
  <c r="CJ27" i="3" s="1"/>
  <c r="CJ28" i="3" s="1"/>
  <c r="CJ29" i="3" s="1"/>
  <c r="CJ30" i="3" s="1"/>
  <c r="CJ32" i="3" s="1"/>
  <c r="CJ33" i="3" s="1"/>
  <c r="CJ34" i="3" s="1"/>
  <c r="CJ35" i="3" s="1"/>
  <c r="CJ37" i="3" s="1"/>
  <c r="CJ38" i="3" s="1"/>
  <c r="CJ39" i="3" s="1"/>
  <c r="CJ40" i="3" s="1"/>
  <c r="CJ41" i="3" s="1"/>
  <c r="CJ43" i="3" s="1"/>
  <c r="CJ44" i="3" s="1"/>
  <c r="CJ45" i="3" s="1"/>
  <c r="CJ46" i="3" s="1"/>
  <c r="CJ48" i="3" s="1"/>
  <c r="CJ49" i="3" s="1"/>
  <c r="CJ50" i="3" s="1"/>
  <c r="CJ51" i="3" s="1"/>
  <c r="CJ52" i="3" s="1"/>
  <c r="CJ54" i="3" s="1"/>
  <c r="CJ55" i="3" s="1"/>
  <c r="CJ56" i="3" s="1"/>
  <c r="CJ57" i="3" s="1"/>
  <c r="CJ59" i="3" s="1"/>
  <c r="CJ60" i="3" s="1"/>
  <c r="CJ61" i="3" s="1"/>
  <c r="CJ62" i="3" s="1"/>
  <c r="CJ63" i="3" s="1"/>
  <c r="CJ64" i="3" s="1"/>
  <c r="CJ66" i="3" s="1"/>
  <c r="CJ67" i="3" s="1"/>
  <c r="CJ68" i="3" s="1"/>
  <c r="CJ70" i="3" s="1"/>
  <c r="AF17" i="3"/>
  <c r="AF19" i="3" s="1"/>
  <c r="AF21" i="3" s="1"/>
  <c r="AF23" i="3" s="1"/>
  <c r="AF25" i="3" s="1"/>
  <c r="AF27" i="3" s="1"/>
  <c r="AF31" i="3" s="1"/>
  <c r="AF33" i="3" s="1"/>
  <c r="AF35" i="3" s="1"/>
  <c r="AF37" i="3" s="1"/>
  <c r="AF39" i="3" s="1"/>
  <c r="AF41" i="3" s="1"/>
  <c r="AF45" i="3" s="1"/>
  <c r="AF47" i="3" s="1"/>
  <c r="AF49" i="3" s="1"/>
  <c r="AF51" i="3" s="1"/>
  <c r="AF53" i="3" s="1"/>
  <c r="AF55" i="3" s="1"/>
  <c r="AF57" i="3" s="1"/>
  <c r="AF61" i="3" s="1"/>
  <c r="AF63" i="3" s="1"/>
  <c r="AF65" i="3" s="1"/>
  <c r="AF67" i="3" s="1"/>
  <c r="AF69" i="3" s="1"/>
  <c r="AF71" i="3" s="1"/>
  <c r="AF75" i="3" s="1"/>
  <c r="AF77" i="3" s="1"/>
  <c r="AF79" i="3" s="1"/>
  <c r="AF81" i="3" s="1"/>
  <c r="AF83" i="3" s="1"/>
  <c r="AF85" i="3" s="1"/>
  <c r="AF89" i="3" s="1"/>
  <c r="AF91" i="3" s="1"/>
  <c r="AF93" i="3" s="1"/>
  <c r="AF95" i="3" s="1"/>
  <c r="AF97" i="3" s="1"/>
  <c r="AF99" i="3" s="1"/>
  <c r="AF103" i="3" s="1"/>
  <c r="AF105" i="3" s="1"/>
  <c r="AF107" i="3" s="1"/>
  <c r="AF109" i="3" s="1"/>
  <c r="AF111" i="3" s="1"/>
  <c r="AF113" i="3" s="1"/>
  <c r="AF115" i="3" s="1"/>
  <c r="AF119" i="3" s="1"/>
  <c r="E6" i="4" l="1"/>
  <c r="CI72" i="3"/>
  <c r="CI73" i="3" s="1"/>
  <c r="CI38" i="3"/>
  <c r="CI6" i="3"/>
  <c r="CI7" i="3" s="1"/>
  <c r="CI8" i="3" s="1"/>
  <c r="CI9" i="3" s="1"/>
  <c r="CI10" i="3" s="1"/>
  <c r="CI12" i="3" s="1"/>
  <c r="CI13" i="3" s="1"/>
  <c r="CI14" i="3" s="1"/>
  <c r="CI15" i="3" s="1"/>
  <c r="CI16" i="3" s="1"/>
  <c r="CI17" i="3" s="1"/>
  <c r="CI19" i="3" s="1"/>
  <c r="CI20" i="3" s="1"/>
  <c r="CI21" i="3" s="1"/>
  <c r="CI22" i="3" s="1"/>
  <c r="CI23" i="3" s="1"/>
  <c r="CI25" i="3" s="1"/>
  <c r="CI26" i="3" s="1"/>
  <c r="CI27" i="3" s="1"/>
  <c r="CI28" i="3" s="1"/>
  <c r="CI29" i="3" s="1"/>
  <c r="CI31" i="3" s="1"/>
  <c r="CI32" i="3" s="1"/>
  <c r="CI33" i="3" s="1"/>
  <c r="CI34" i="3" s="1"/>
  <c r="CI35" i="3" s="1"/>
  <c r="CI36" i="3" s="1"/>
  <c r="BU58" i="3"/>
  <c r="BU7" i="3"/>
  <c r="BU8" i="3" s="1"/>
  <c r="BU9" i="3" s="1"/>
  <c r="BU10" i="3" s="1"/>
  <c r="BU12" i="3" s="1"/>
  <c r="BU13" i="3" s="1"/>
  <c r="BU14" i="3" s="1"/>
  <c r="BU15" i="3" s="1"/>
  <c r="BU17" i="3" s="1"/>
  <c r="BU18" i="3" s="1"/>
  <c r="BU19" i="3" s="1"/>
  <c r="BU20" i="3" s="1"/>
  <c r="BU22" i="3" s="1"/>
  <c r="BU23" i="3" s="1"/>
  <c r="BU24" i="3" s="1"/>
  <c r="BU25" i="3" s="1"/>
  <c r="BU26" i="3" s="1"/>
  <c r="BU28" i="3" s="1"/>
  <c r="BU29" i="3" s="1"/>
  <c r="BU30" i="3" s="1"/>
  <c r="BU31" i="3" s="1"/>
  <c r="BU33" i="3" s="1"/>
  <c r="BU34" i="3" s="1"/>
  <c r="BU35" i="3" s="1"/>
  <c r="BU36" i="3" s="1"/>
  <c r="BU38" i="3" s="1"/>
  <c r="BU39" i="3" s="1"/>
  <c r="BU40" i="3" s="1"/>
  <c r="BU41" i="3" s="1"/>
  <c r="BU42" i="3" s="1"/>
  <c r="BU44" i="3" s="1"/>
  <c r="BU45" i="3" s="1"/>
  <c r="BU46" i="3" s="1"/>
  <c r="BU47" i="3" s="1"/>
  <c r="BU49" i="3" s="1"/>
  <c r="BU50" i="3" s="1"/>
  <c r="BU52" i="3" s="1"/>
  <c r="BU5" i="3"/>
  <c r="AE17" i="3"/>
  <c r="AE19" i="3" s="1"/>
  <c r="AE21" i="3" s="1"/>
  <c r="AE23" i="3" s="1"/>
  <c r="AE25" i="3" s="1"/>
  <c r="AE27" i="3" s="1"/>
  <c r="AE29" i="3" s="1"/>
  <c r="AE33" i="3" s="1"/>
  <c r="AE35" i="3" s="1"/>
  <c r="AE37" i="3" s="1"/>
  <c r="AE39" i="3" s="1"/>
  <c r="AE41" i="3" s="1"/>
  <c r="AE43" i="3" s="1"/>
  <c r="AE47" i="3" s="1"/>
  <c r="AE49" i="3" s="1"/>
  <c r="AE51" i="3" s="1"/>
  <c r="AE53" i="3" s="1"/>
  <c r="AE55" i="3" s="1"/>
  <c r="AE57" i="3" s="1"/>
  <c r="AE59" i="3" s="1"/>
  <c r="AE63" i="3" s="1"/>
  <c r="AE65" i="3" s="1"/>
  <c r="AE67" i="3" s="1"/>
  <c r="AE69" i="3" s="1"/>
  <c r="AE71" i="3" s="1"/>
  <c r="AE73" i="3" s="1"/>
  <c r="AE77" i="3" s="1"/>
  <c r="AE79" i="3" s="1"/>
  <c r="AE81" i="3" s="1"/>
  <c r="AE83" i="3" s="1"/>
  <c r="AE85" i="3" s="1"/>
  <c r="AE87" i="3" s="1"/>
  <c r="AE89" i="3" s="1"/>
  <c r="AE93" i="3" s="1"/>
  <c r="AE95" i="3" s="1"/>
  <c r="AE97" i="3" s="1"/>
  <c r="AE99" i="3" s="1"/>
  <c r="AE101" i="3" s="1"/>
  <c r="AE103" i="3" s="1"/>
  <c r="AE107" i="3" s="1"/>
  <c r="AE109" i="3" s="1"/>
  <c r="AE111" i="3" s="1"/>
  <c r="AE113" i="3" s="1"/>
  <c r="AE115" i="3" s="1"/>
  <c r="AE117" i="3" s="1"/>
  <c r="AE119" i="3" s="1"/>
  <c r="AE120" i="3" s="1"/>
  <c r="AE121" i="3" s="1"/>
  <c r="AE122" i="3" s="1"/>
  <c r="AE124" i="3" s="1"/>
  <c r="AE125" i="3" s="1"/>
  <c r="AE126" i="3" s="1"/>
  <c r="AE127" i="3" s="1"/>
  <c r="AE129" i="3" s="1"/>
  <c r="AE130" i="3" s="1"/>
  <c r="AE131" i="3" s="1"/>
  <c r="AE132" i="3" s="1"/>
  <c r="AE133" i="3" s="1"/>
  <c r="AE135" i="3" s="1"/>
  <c r="AE136" i="3" s="1"/>
  <c r="AE137" i="3" s="1"/>
  <c r="AE138" i="3" s="1"/>
  <c r="AE139" i="3" s="1"/>
  <c r="AE12" i="3"/>
  <c r="AE14" i="3" s="1"/>
  <c r="AE16" i="3" s="1"/>
  <c r="AE18" i="3" s="1"/>
  <c r="AE20" i="3" s="1"/>
  <c r="AE22" i="3" s="1"/>
  <c r="AE26" i="3" s="1"/>
  <c r="AE28" i="3" s="1"/>
  <c r="AE30" i="3" s="1"/>
  <c r="AE32" i="3" s="1"/>
  <c r="AE34" i="3" s="1"/>
  <c r="AE36" i="3" s="1"/>
  <c r="AE40" i="3" s="1"/>
  <c r="AE42" i="3" s="1"/>
  <c r="AE44" i="3" s="1"/>
  <c r="AE46" i="3" s="1"/>
  <c r="AE48" i="3" s="1"/>
  <c r="AE50" i="3" s="1"/>
  <c r="AE52" i="3" s="1"/>
  <c r="AE56" i="3" s="1"/>
  <c r="AE58" i="3" s="1"/>
  <c r="AE60" i="3" s="1"/>
  <c r="AE62" i="3" s="1"/>
  <c r="AE64" i="3" s="1"/>
  <c r="AE66" i="3" s="1"/>
  <c r="AE70" i="3" s="1"/>
  <c r="AE72" i="3" s="1"/>
  <c r="AE74" i="3" s="1"/>
  <c r="AE76" i="3" s="1"/>
  <c r="AE78" i="3" s="1"/>
  <c r="AE80" i="3" s="1"/>
  <c r="AE82" i="3" s="1"/>
  <c r="AE86" i="3" s="1"/>
  <c r="AE88" i="3" s="1"/>
  <c r="AE90" i="3" s="1"/>
  <c r="AE92" i="3" s="1"/>
  <c r="AE94" i="3" s="1"/>
  <c r="AE96" i="3" s="1"/>
  <c r="AE100" i="3" s="1"/>
  <c r="AE102" i="3" s="1"/>
  <c r="AE104" i="3" s="1"/>
  <c r="AE106" i="3" s="1"/>
  <c r="AE108" i="3" s="1"/>
  <c r="AE110" i="3" s="1"/>
  <c r="AE114" i="3" s="1"/>
  <c r="AE116" i="3" s="1"/>
  <c r="AE118" i="3" s="1"/>
  <c r="AE11" i="3"/>
  <c r="AE13" i="3" s="1"/>
  <c r="Q8" i="3"/>
  <c r="Q10" i="3" s="1"/>
  <c r="Q12" i="3" s="1"/>
  <c r="Q14" i="3" s="1"/>
  <c r="Q18" i="3" s="1"/>
  <c r="Q20" i="3" s="1"/>
  <c r="Q22" i="3" s="1"/>
  <c r="Q24" i="3" s="1"/>
  <c r="Q26" i="3" s="1"/>
  <c r="Q28" i="3" s="1"/>
  <c r="Q30" i="3" s="1"/>
  <c r="Q32" i="3" s="1"/>
  <c r="Q34" i="3" s="1"/>
  <c r="Q36" i="3" s="1"/>
  <c r="Q38" i="3" s="1"/>
  <c r="Q40" i="3" s="1"/>
  <c r="Q44" i="3" s="1"/>
  <c r="Q46" i="3" s="1"/>
  <c r="Q48" i="3" s="1"/>
  <c r="Q50" i="3" s="1"/>
  <c r="Q52" i="3" s="1"/>
  <c r="Q54" i="3" s="1"/>
  <c r="Q56" i="3" s="1"/>
  <c r="Q58" i="3" s="1"/>
  <c r="Q60" i="3" s="1"/>
  <c r="Q62" i="3" s="1"/>
  <c r="Q64" i="3" s="1"/>
  <c r="Q68" i="3" s="1"/>
  <c r="Q70" i="3" s="1"/>
  <c r="Q72" i="3" s="1"/>
  <c r="Q74" i="3" s="1"/>
  <c r="Q76" i="3" s="1"/>
  <c r="Q78" i="3" s="1"/>
  <c r="Q80" i="3" s="1"/>
  <c r="Q82" i="3" s="1"/>
  <c r="Q84" i="3" s="1"/>
  <c r="Q86" i="3" s="1"/>
  <c r="Q88" i="3" s="1"/>
  <c r="Q90" i="3" s="1"/>
  <c r="Q94" i="3" s="1"/>
  <c r="Q96" i="3" s="1"/>
  <c r="Q98" i="3" s="1"/>
  <c r="Q100" i="3" s="1"/>
  <c r="Q102" i="3" s="1"/>
  <c r="Q104" i="3" s="1"/>
  <c r="Q106" i="3" s="1"/>
  <c r="Q7" i="3"/>
  <c r="Q9" i="3" s="1"/>
  <c r="Q11" i="3" s="1"/>
  <c r="Q13" i="3" s="1"/>
  <c r="Q15" i="3" s="1"/>
  <c r="Q17" i="3" s="1"/>
  <c r="Q19" i="3" s="1"/>
  <c r="Q21" i="3" s="1"/>
  <c r="Q23" i="3" s="1"/>
  <c r="Q25" i="3" s="1"/>
  <c r="Q27" i="3" s="1"/>
  <c r="Q31" i="3" s="1"/>
  <c r="Q33" i="3" s="1"/>
  <c r="Q35" i="3" s="1"/>
  <c r="Q37" i="3" s="1"/>
  <c r="Q39" i="3" s="1"/>
  <c r="Q41" i="3" s="1"/>
  <c r="Q43" i="3" s="1"/>
  <c r="Q45" i="3" s="1"/>
  <c r="Q47" i="3" s="1"/>
  <c r="Q49" i="3" s="1"/>
  <c r="Q51" i="3" s="1"/>
  <c r="Q55" i="3" s="1"/>
  <c r="Q57" i="3" s="1"/>
  <c r="Q59" i="3" s="1"/>
  <c r="Q61" i="3" s="1"/>
  <c r="Q63" i="3" s="1"/>
  <c r="Q65" i="3" s="1"/>
  <c r="Q67" i="3" s="1"/>
  <c r="Q69" i="3" s="1"/>
  <c r="Q71" i="3" s="1"/>
  <c r="Q73" i="3" s="1"/>
  <c r="Q75" i="3" s="1"/>
  <c r="Q77" i="3" s="1"/>
  <c r="Q81" i="3" s="1"/>
  <c r="Q83" i="3" s="1"/>
  <c r="Q85" i="3" s="1"/>
  <c r="Q87" i="3" s="1"/>
  <c r="Q89" i="3" s="1"/>
  <c r="Q91" i="3" s="1"/>
  <c r="Q93" i="3" s="1"/>
  <c r="Q95" i="3" s="1"/>
  <c r="Q97" i="3" s="1"/>
  <c r="Q99" i="3" s="1"/>
  <c r="Q101" i="3" s="1"/>
  <c r="Q105" i="3" s="1"/>
  <c r="Q107" i="3" s="1"/>
  <c r="Q108" i="3" s="1"/>
  <c r="Q109" i="3" s="1"/>
  <c r="Q111" i="3" s="1"/>
  <c r="Q112" i="3" s="1"/>
  <c r="Q113" i="3" s="1"/>
  <c r="Q115" i="3" s="1"/>
  <c r="Q116" i="3" s="1"/>
  <c r="Q117" i="3" s="1"/>
  <c r="Q118" i="3" s="1"/>
  <c r="Q120" i="3" s="1"/>
  <c r="Q121" i="3" s="1"/>
  <c r="Q122" i="3" s="1"/>
  <c r="Q123" i="3" s="1"/>
  <c r="CH6" i="3"/>
  <c r="CH7" i="3" s="1"/>
  <c r="CH8" i="3" s="1"/>
  <c r="CH5" i="3"/>
  <c r="BT6" i="3"/>
  <c r="BT7" i="3" s="1"/>
  <c r="BT9" i="3" s="1"/>
  <c r="BT10" i="3" s="1"/>
  <c r="BT11" i="3" s="1"/>
  <c r="BT13" i="3" s="1"/>
  <c r="BT14" i="3" s="1"/>
  <c r="BT15" i="3" s="1"/>
  <c r="BT17" i="3" s="1"/>
  <c r="BT18" i="3" s="1"/>
  <c r="BT19" i="3" s="1"/>
  <c r="BT21" i="3" s="1"/>
  <c r="BT22" i="3" s="1"/>
  <c r="BT24" i="3" s="1"/>
  <c r="BT25" i="3" s="1"/>
  <c r="BT26" i="3" s="1"/>
  <c r="BT28" i="3" s="1"/>
  <c r="BT29" i="3" s="1"/>
  <c r="BT30" i="3" s="1"/>
  <c r="BT32" i="3" s="1"/>
  <c r="BT33" i="3" s="1"/>
  <c r="BT34" i="3" s="1"/>
  <c r="BT36" i="3" s="1"/>
  <c r="BT37" i="3" s="1"/>
  <c r="BT38" i="3" s="1"/>
  <c r="BT40" i="3" s="1"/>
  <c r="BT41" i="3" s="1"/>
  <c r="BT43" i="3" s="1"/>
  <c r="BT44" i="3" s="1"/>
  <c r="BT45" i="3" s="1"/>
  <c r="BT47" i="3" s="1"/>
  <c r="BT48" i="3" s="1"/>
  <c r="BT51" i="3" s="1"/>
  <c r="BT54" i="3" s="1"/>
  <c r="BT56" i="3" s="1"/>
  <c r="BT59" i="3" s="1"/>
  <c r="AD13" i="3"/>
  <c r="AD15" i="3" s="1"/>
  <c r="AD17" i="3" s="1"/>
  <c r="AD19" i="3" s="1"/>
  <c r="AD21" i="3" s="1"/>
  <c r="AD23" i="3" s="1"/>
  <c r="AD25" i="3" s="1"/>
  <c r="AD27" i="3" s="1"/>
  <c r="AD31" i="3" s="1"/>
  <c r="AD33" i="3" s="1"/>
  <c r="AD35" i="3" s="1"/>
  <c r="AD37" i="3" s="1"/>
  <c r="AD39" i="3" s="1"/>
  <c r="AD41" i="3" s="1"/>
  <c r="AD43" i="3" s="1"/>
  <c r="AD45" i="3" s="1"/>
  <c r="AD47" i="3" s="1"/>
  <c r="AD49" i="3" s="1"/>
  <c r="AD51" i="3" s="1"/>
  <c r="AD55" i="3" s="1"/>
  <c r="AD57" i="3" s="1"/>
  <c r="AD59" i="3" s="1"/>
  <c r="AD61" i="3" s="1"/>
  <c r="AD63" i="3" s="1"/>
  <c r="AD65" i="3" s="1"/>
  <c r="AD67" i="3" s="1"/>
  <c r="AD69" i="3" s="1"/>
  <c r="AD71" i="3" s="1"/>
  <c r="AD73" i="3" s="1"/>
  <c r="AD77" i="3" s="1"/>
  <c r="AD79" i="3" s="1"/>
  <c r="AD81" i="3" s="1"/>
  <c r="AD83" i="3" s="1"/>
  <c r="AD85" i="3" s="1"/>
  <c r="AD87" i="3" s="1"/>
  <c r="AD89" i="3" s="1"/>
  <c r="AD91" i="3" s="1"/>
  <c r="AD93" i="3" s="1"/>
  <c r="AD95" i="3" s="1"/>
  <c r="AD99" i="3" s="1"/>
  <c r="AD101" i="3" s="1"/>
  <c r="AD103" i="3" s="1"/>
  <c r="AD105" i="3" s="1"/>
  <c r="AD107" i="3" s="1"/>
  <c r="AD109" i="3" s="1"/>
  <c r="AD111" i="3" s="1"/>
  <c r="AD113" i="3" s="1"/>
  <c r="AD115" i="3" s="1"/>
  <c r="AD117" i="3" s="1"/>
  <c r="AD118" i="3" s="1"/>
  <c r="AD119" i="3" s="1"/>
  <c r="AD120" i="3" s="1"/>
  <c r="AD121" i="3" s="1"/>
  <c r="AD122" i="3" s="1"/>
  <c r="AD123" i="3" s="1"/>
  <c r="AD125" i="3" s="1"/>
  <c r="AD126" i="3" s="1"/>
  <c r="AD127" i="3" s="1"/>
  <c r="AD128" i="3" s="1"/>
  <c r="AD129" i="3" s="1"/>
  <c r="AD130" i="3" s="1"/>
  <c r="AD131" i="3" s="1"/>
  <c r="AD132" i="3" s="1"/>
  <c r="AD133" i="3" s="1"/>
  <c r="AD134" i="3" s="1"/>
  <c r="AD136" i="3" s="1"/>
  <c r="AD137" i="3" s="1"/>
  <c r="AD138" i="3" s="1"/>
  <c r="AD11" i="3"/>
  <c r="AD10" i="3"/>
  <c r="AD12" i="3" s="1"/>
  <c r="AD14" i="3" s="1"/>
  <c r="AD16" i="3" s="1"/>
  <c r="AD20" i="3" s="1"/>
  <c r="AD22" i="3" s="1"/>
  <c r="AD24" i="3" s="1"/>
  <c r="AD26" i="3" s="1"/>
  <c r="AD28" i="3" s="1"/>
  <c r="AD30" i="3" s="1"/>
  <c r="AD32" i="3" s="1"/>
  <c r="AD34" i="3" s="1"/>
  <c r="AD36" i="3" s="1"/>
  <c r="AD38" i="3" s="1"/>
  <c r="AD40" i="3" s="1"/>
  <c r="AD44" i="3" s="1"/>
  <c r="AD46" i="3" s="1"/>
  <c r="AD48" i="3" s="1"/>
  <c r="AD50" i="3" s="1"/>
  <c r="AD52" i="3" s="1"/>
  <c r="AD54" i="3" s="1"/>
  <c r="AD56" i="3" s="1"/>
  <c r="AD58" i="3" s="1"/>
  <c r="AD60" i="3" s="1"/>
  <c r="AD62" i="3" s="1"/>
  <c r="AD66" i="3" s="1"/>
  <c r="AD68" i="3" s="1"/>
  <c r="AD70" i="3" s="1"/>
  <c r="AD72" i="3" s="1"/>
  <c r="AD74" i="3" s="1"/>
  <c r="AD76" i="3" s="1"/>
  <c r="AD78" i="3" s="1"/>
  <c r="AD80" i="3" s="1"/>
  <c r="AD82" i="3" s="1"/>
  <c r="AD84" i="3" s="1"/>
  <c r="AD88" i="3" s="1"/>
  <c r="AD90" i="3" s="1"/>
  <c r="AD92" i="3" s="1"/>
  <c r="AD94" i="3" s="1"/>
  <c r="AD96" i="3" s="1"/>
  <c r="AD98" i="3" s="1"/>
  <c r="AD100" i="3" s="1"/>
  <c r="AD102" i="3" s="1"/>
  <c r="AD104" i="3" s="1"/>
  <c r="AD106" i="3" s="1"/>
  <c r="AD110" i="3" s="1"/>
  <c r="AD112" i="3" s="1"/>
  <c r="AD114" i="3" s="1"/>
  <c r="AD116" i="3" s="1"/>
  <c r="P8" i="3"/>
  <c r="P10" i="3" s="1"/>
  <c r="P14" i="3" s="1"/>
  <c r="P16" i="3" s="1"/>
  <c r="P18" i="3" s="1"/>
  <c r="P20" i="3" s="1"/>
  <c r="P22" i="3" s="1"/>
  <c r="P24" i="3" s="1"/>
  <c r="P26" i="3" s="1"/>
  <c r="P28" i="3" s="1"/>
  <c r="P32" i="3" s="1"/>
  <c r="P34" i="3" s="1"/>
  <c r="P36" i="3" s="1"/>
  <c r="P38" i="3" s="1"/>
  <c r="P40" i="3" s="1"/>
  <c r="P42" i="3" s="1"/>
  <c r="P44" i="3" s="1"/>
  <c r="P48" i="3" s="1"/>
  <c r="P50" i="3" s="1"/>
  <c r="P52" i="3" s="1"/>
  <c r="P54" i="3" s="1"/>
  <c r="P56" i="3" s="1"/>
  <c r="P58" i="3" s="1"/>
  <c r="P60" i="3" s="1"/>
  <c r="P62" i="3" s="1"/>
  <c r="P66" i="3" s="1"/>
  <c r="P68" i="3" s="1"/>
  <c r="P70" i="3" s="1"/>
  <c r="P72" i="3" s="1"/>
  <c r="P74" i="3" s="1"/>
  <c r="P76" i="3" s="1"/>
  <c r="P78" i="3" s="1"/>
  <c r="P82" i="3" s="1"/>
  <c r="P84" i="3" s="1"/>
  <c r="P86" i="3" s="1"/>
  <c r="P88" i="3" s="1"/>
  <c r="P90" i="3" s="1"/>
  <c r="P92" i="3" s="1"/>
  <c r="P94" i="3" s="1"/>
  <c r="P96" i="3" s="1"/>
  <c r="P100" i="3" s="1"/>
  <c r="P102" i="3" s="1"/>
  <c r="P104" i="3" s="1"/>
  <c r="P105" i="3" s="1"/>
  <c r="P106" i="3" s="1"/>
  <c r="P107" i="3" s="1"/>
  <c r="P108" i="3" s="1"/>
  <c r="P110" i="3" s="1"/>
  <c r="P111" i="3" s="1"/>
  <c r="P112" i="3" s="1"/>
  <c r="P113" i="3" s="1"/>
  <c r="P114" i="3" s="1"/>
  <c r="P115" i="3" s="1"/>
  <c r="P116" i="3" s="1"/>
  <c r="P117" i="3" s="1"/>
  <c r="P118" i="3" s="1"/>
  <c r="P119" i="3" s="1"/>
  <c r="P120" i="3" s="1"/>
  <c r="P122" i="3" s="1"/>
  <c r="P123" i="3" s="1"/>
  <c r="P124" i="3" s="1"/>
  <c r="P125" i="3" s="1"/>
  <c r="P126" i="3" s="1"/>
  <c r="P7" i="3"/>
  <c r="P9" i="3" s="1"/>
  <c r="P11" i="3" s="1"/>
  <c r="P13" i="3" s="1"/>
  <c r="P15" i="3" s="1"/>
  <c r="P17" i="3" s="1"/>
  <c r="P19" i="3" s="1"/>
  <c r="P23" i="3" s="1"/>
  <c r="P25" i="3" s="1"/>
  <c r="P27" i="3" s="1"/>
  <c r="P29" i="3" s="1"/>
  <c r="P31" i="3" s="1"/>
  <c r="P33" i="3" s="1"/>
  <c r="P35" i="3" s="1"/>
  <c r="P39" i="3" s="1"/>
  <c r="P41" i="3" s="1"/>
  <c r="P43" i="3" s="1"/>
  <c r="P45" i="3" s="1"/>
  <c r="P47" i="3" s="1"/>
  <c r="P49" i="3" s="1"/>
  <c r="P51" i="3" s="1"/>
  <c r="P53" i="3" s="1"/>
  <c r="P57" i="3" s="1"/>
  <c r="P59" i="3" s="1"/>
  <c r="P61" i="3" s="1"/>
  <c r="P63" i="3" s="1"/>
  <c r="P65" i="3" s="1"/>
  <c r="P67" i="3" s="1"/>
  <c r="P69" i="3" s="1"/>
  <c r="P73" i="3" s="1"/>
  <c r="P75" i="3" s="1"/>
  <c r="P77" i="3" s="1"/>
  <c r="P79" i="3" s="1"/>
  <c r="P81" i="3" s="1"/>
  <c r="P83" i="3" s="1"/>
  <c r="P85" i="3" s="1"/>
  <c r="P87" i="3" s="1"/>
  <c r="P91" i="3" s="1"/>
  <c r="P93" i="3" s="1"/>
  <c r="P95" i="3" s="1"/>
  <c r="P97" i="3" s="1"/>
  <c r="P99" i="3" s="1"/>
  <c r="P101" i="3" s="1"/>
  <c r="P103" i="3" s="1"/>
  <c r="CI39" i="3" l="1"/>
  <c r="CI40" i="3" s="1"/>
  <c r="CI41" i="3" s="1"/>
  <c r="CI42" i="3" s="1"/>
  <c r="CI44" i="3" s="1"/>
  <c r="CI45" i="3" s="1"/>
  <c r="CI46" i="3" s="1"/>
  <c r="CI47" i="3" s="1"/>
  <c r="CI48" i="3" s="1"/>
  <c r="CI50" i="3" s="1"/>
  <c r="CI51" i="3" s="1"/>
  <c r="CI52" i="3" s="1"/>
  <c r="CI53" i="3" s="1"/>
  <c r="CI54" i="3" s="1"/>
  <c r="CI56" i="3" s="1"/>
  <c r="CI57" i="3" s="1"/>
  <c r="CI58" i="3" s="1"/>
  <c r="CI59" i="3" s="1"/>
  <c r="CI60" i="3" s="1"/>
  <c r="CI61" i="3" s="1"/>
  <c r="CI62" i="3" s="1"/>
  <c r="CI63" i="3" s="1"/>
  <c r="CI64" i="3" s="1"/>
  <c r="CI66" i="3" s="1"/>
  <c r="CI67" i="3" s="1"/>
  <c r="CI69" i="3" s="1"/>
  <c r="CI70" i="3" s="1"/>
  <c r="CH10" i="3"/>
  <c r="CH11" i="3" s="1"/>
  <c r="CH12" i="3" s="1"/>
  <c r="CH13" i="3" s="1"/>
  <c r="CH14" i="3" s="1"/>
  <c r="CH15" i="3" s="1"/>
  <c r="CH16" i="3" s="1"/>
  <c r="CH17" i="3" s="1"/>
  <c r="CH18" i="3" l="1"/>
  <c r="CH19" i="3" s="1"/>
  <c r="CH20" i="3" s="1"/>
  <c r="CH22" i="3" s="1"/>
  <c r="CH23" i="3" s="1"/>
  <c r="CH24" i="3" s="1"/>
  <c r="CH25" i="3" s="1"/>
  <c r="CH26" i="3" s="1"/>
  <c r="CH27" i="3" s="1"/>
  <c r="CH28" i="3" s="1"/>
  <c r="CH29" i="3" s="1"/>
  <c r="CH30" i="3" s="1"/>
  <c r="CH31" i="3" s="1"/>
  <c r="CH32" i="3" s="1"/>
  <c r="CH33" i="3" s="1"/>
  <c r="CH35" i="3" s="1"/>
  <c r="CH36" i="3" s="1"/>
  <c r="CH37" i="3" s="1"/>
  <c r="CH38" i="3" s="1"/>
  <c r="CH39" i="3" s="1"/>
  <c r="CH40" i="3" s="1"/>
  <c r="CH41" i="3" s="1"/>
  <c r="CH42" i="3" s="1"/>
  <c r="CH43" i="3" s="1"/>
  <c r="CH44" i="3" s="1"/>
  <c r="CH45" i="3" s="1"/>
  <c r="CH46" i="3" s="1"/>
  <c r="CH48" i="3" s="1"/>
  <c r="CH49" i="3" s="1"/>
  <c r="CH50" i="3" s="1"/>
  <c r="CH51" i="3" s="1"/>
  <c r="CH52" i="3" s="1"/>
  <c r="CH53" i="3" s="1"/>
  <c r="CH54" i="3" s="1"/>
  <c r="CH55" i="3" s="1"/>
  <c r="CH56" i="3" s="1"/>
  <c r="CH57" i="3" s="1"/>
  <c r="CH58" i="3" s="1"/>
  <c r="CH59" i="3" s="1"/>
  <c r="CH60" i="3" s="1"/>
  <c r="CH61" i="3" s="1"/>
  <c r="CH63" i="3" s="1"/>
  <c r="CH64" i="3" s="1"/>
  <c r="CH66" i="3" s="1"/>
  <c r="CH68" i="3" s="1"/>
  <c r="CH70" i="3" s="1"/>
  <c r="CH72" i="3" s="1"/>
  <c r="CG61" i="3" l="1"/>
  <c r="CG62" i="3" s="1"/>
  <c r="CG64" i="3" s="1"/>
  <c r="CG65" i="3" s="1"/>
  <c r="CG67" i="3" s="1"/>
  <c r="CG59" i="3"/>
  <c r="CG5" i="3"/>
  <c r="CG6" i="3" s="1"/>
  <c r="CG7" i="3" s="1"/>
  <c r="CG8" i="3" s="1"/>
  <c r="CG9" i="3" s="1"/>
  <c r="CG10" i="3" s="1"/>
  <c r="CG11" i="3" s="1"/>
  <c r="CG12" i="3" s="1"/>
  <c r="CG13" i="3" s="1"/>
  <c r="CG15" i="3" s="1"/>
  <c r="CG16" i="3" s="1"/>
  <c r="CG17" i="3" s="1"/>
  <c r="CG18" i="3" s="1"/>
  <c r="CG19" i="3" s="1"/>
  <c r="CG20" i="3" s="1"/>
  <c r="CG21" i="3" s="1"/>
  <c r="CG22" i="3" s="1"/>
  <c r="CG23" i="3" s="1"/>
  <c r="CG25" i="3" s="1"/>
  <c r="CG26" i="3" s="1"/>
  <c r="CG27" i="3" s="1"/>
  <c r="CG28" i="3" s="1"/>
  <c r="CG29" i="3" s="1"/>
  <c r="CG30" i="3" s="1"/>
  <c r="CG31" i="3" s="1"/>
  <c r="CG32" i="3" s="1"/>
  <c r="CG33" i="3" s="1"/>
  <c r="CG35" i="3" s="1"/>
  <c r="CG36" i="3" s="1"/>
  <c r="CG37" i="3" s="1"/>
  <c r="CG38" i="3" s="1"/>
  <c r="CG39" i="3" s="1"/>
  <c r="CG40" i="3" s="1"/>
  <c r="CG41" i="3" s="1"/>
  <c r="CG42" i="3" s="1"/>
  <c r="CG43" i="3" s="1"/>
  <c r="CG45" i="3" s="1"/>
  <c r="CG46" i="3" s="1"/>
  <c r="CG47" i="3" s="1"/>
  <c r="CG48" i="3" s="1"/>
  <c r="CG49" i="3" s="1"/>
  <c r="CG50" i="3" s="1"/>
  <c r="CG51" i="3" s="1"/>
  <c r="CG52" i="3" s="1"/>
  <c r="CG53" i="3" s="1"/>
  <c r="CG55" i="3" s="1"/>
  <c r="CG56" i="3" s="1"/>
  <c r="CG57" i="3" s="1"/>
  <c r="BS7" i="3"/>
  <c r="BS8" i="3" s="1"/>
  <c r="BS10" i="3" s="1"/>
  <c r="BS11" i="3" s="1"/>
  <c r="BS13" i="3" s="1"/>
  <c r="BS14" i="3" s="1"/>
  <c r="BS16" i="3" s="1"/>
  <c r="BS17" i="3" s="1"/>
  <c r="BS18" i="3" s="1"/>
  <c r="BS20" i="3" s="1"/>
  <c r="BS21" i="3" s="1"/>
  <c r="BS23" i="3" s="1"/>
  <c r="BS24" i="3" s="1"/>
  <c r="BS26" i="3" s="1"/>
  <c r="BS27" i="3" s="1"/>
  <c r="BS29" i="3" s="1"/>
  <c r="BS30" i="3" s="1"/>
  <c r="BS31" i="3" s="1"/>
  <c r="BS33" i="3" s="1"/>
  <c r="BS34" i="3" s="1"/>
  <c r="BS36" i="3" s="1"/>
  <c r="BS37" i="3" s="1"/>
  <c r="BS39" i="3" s="1"/>
  <c r="BS40" i="3" s="1"/>
  <c r="BS42" i="3" s="1"/>
  <c r="BS43" i="3" s="1"/>
  <c r="BS44" i="3" s="1"/>
  <c r="BS46" i="3" s="1"/>
  <c r="AC8" i="3"/>
  <c r="AC10" i="3" s="1"/>
  <c r="AC12" i="3" s="1"/>
  <c r="AC14" i="3" s="1"/>
  <c r="AC16" i="3" s="1"/>
  <c r="AC18" i="3" s="1"/>
  <c r="AC20" i="3" s="1"/>
  <c r="AC22" i="3" s="1"/>
  <c r="AC24" i="3" s="1"/>
  <c r="AC26" i="3" s="1"/>
  <c r="AC28" i="3" s="1"/>
  <c r="AC30" i="3" s="1"/>
  <c r="AC32" i="3" s="1"/>
  <c r="AC36" i="3" s="1"/>
  <c r="AC38" i="3" s="1"/>
  <c r="AC40" i="3" s="1"/>
  <c r="AC42" i="3" s="1"/>
  <c r="AC44" i="3" s="1"/>
  <c r="AC46" i="3" s="1"/>
  <c r="AC48" i="3" s="1"/>
  <c r="AC50" i="3" s="1"/>
  <c r="AC52" i="3" s="1"/>
  <c r="AC54" i="3" s="1"/>
  <c r="AC56" i="3" s="1"/>
  <c r="AC58" i="3" s="1"/>
  <c r="AC60" i="3" s="1"/>
  <c r="AC62" i="3" s="1"/>
  <c r="AC64" i="3" s="1"/>
  <c r="AC66" i="3" s="1"/>
  <c r="AC68" i="3" s="1"/>
  <c r="AC70" i="3" s="1"/>
  <c r="AC72" i="3" s="1"/>
  <c r="AC74" i="3" s="1"/>
  <c r="AC76" i="3" s="1"/>
  <c r="AC78" i="3" s="1"/>
  <c r="AC80" i="3" s="1"/>
  <c r="AC82" i="3" s="1"/>
  <c r="AC84" i="3" s="1"/>
  <c r="AC86" i="3" s="1"/>
  <c r="AC88" i="3" s="1"/>
  <c r="AC90" i="3" s="1"/>
  <c r="AC92" i="3" s="1"/>
  <c r="AC94" i="3" s="1"/>
  <c r="AC96" i="3" s="1"/>
  <c r="AC98" i="3" s="1"/>
  <c r="AC100" i="3" s="1"/>
  <c r="AC102" i="3" s="1"/>
  <c r="AC104" i="3" s="1"/>
  <c r="AC106" i="3" s="1"/>
  <c r="AC108" i="3" s="1"/>
  <c r="AC110" i="3" s="1"/>
  <c r="AC112" i="3" s="1"/>
  <c r="AC113" i="3" s="1"/>
  <c r="AC114" i="3" s="1"/>
  <c r="AC115" i="3" s="1"/>
  <c r="AC116" i="3" s="1"/>
  <c r="AC117" i="3" s="1"/>
  <c r="AC118" i="3" s="1"/>
  <c r="AC119" i="3" s="1"/>
  <c r="AC120" i="3" s="1"/>
  <c r="AC121" i="3" s="1"/>
  <c r="AC122" i="3" s="1"/>
  <c r="AC123" i="3" s="1"/>
  <c r="AC124" i="3" s="1"/>
  <c r="AC125" i="3" s="1"/>
  <c r="AC126" i="3" s="1"/>
  <c r="AC127" i="3" s="1"/>
  <c r="AC128" i="3" s="1"/>
  <c r="AC129" i="3" s="1"/>
  <c r="AC130" i="3" s="1"/>
  <c r="AC131" i="3" s="1"/>
  <c r="AC132" i="3" s="1"/>
  <c r="AC7" i="3"/>
  <c r="AC9" i="3" s="1"/>
  <c r="AC11" i="3" s="1"/>
  <c r="AC13" i="3" s="1"/>
  <c r="AC15" i="3" s="1"/>
  <c r="AC17" i="3" s="1"/>
  <c r="AC19" i="3" s="1"/>
  <c r="AC21" i="3" s="1"/>
  <c r="AC23" i="3" s="1"/>
  <c r="AC25" i="3" s="1"/>
  <c r="AC27" i="3" s="1"/>
  <c r="AC29" i="3" s="1"/>
  <c r="AC31" i="3" s="1"/>
  <c r="AC33" i="3" s="1"/>
  <c r="AC35" i="3" s="1"/>
  <c r="AC37" i="3" s="1"/>
  <c r="AC39" i="3" s="1"/>
  <c r="AC41" i="3" s="1"/>
  <c r="AC43" i="3" s="1"/>
  <c r="AC45" i="3" s="1"/>
  <c r="AC47" i="3" s="1"/>
  <c r="AC49" i="3" s="1"/>
  <c r="AC51" i="3" s="1"/>
  <c r="AC53" i="3" s="1"/>
  <c r="AC55" i="3" s="1"/>
  <c r="AC57" i="3" s="1"/>
  <c r="AC59" i="3" s="1"/>
  <c r="AC61" i="3" s="1"/>
  <c r="AC63" i="3" s="1"/>
  <c r="AC65" i="3" s="1"/>
  <c r="AC67" i="3" s="1"/>
  <c r="AC69" i="3" s="1"/>
  <c r="AC71" i="3" s="1"/>
  <c r="AC73" i="3" s="1"/>
  <c r="AC75" i="3" s="1"/>
  <c r="AC77" i="3" s="1"/>
  <c r="AC79" i="3" s="1"/>
  <c r="AC81" i="3" s="1"/>
  <c r="AC83" i="3" s="1"/>
  <c r="AC85" i="3" s="1"/>
  <c r="AC87" i="3" s="1"/>
  <c r="AC89" i="3" s="1"/>
  <c r="AC91" i="3" s="1"/>
  <c r="AC93" i="3" s="1"/>
  <c r="AC95" i="3" s="1"/>
  <c r="AC97" i="3" s="1"/>
  <c r="AC99" i="3" s="1"/>
  <c r="AC101" i="3" s="1"/>
  <c r="AC103" i="3" s="1"/>
  <c r="AC105" i="3" s="1"/>
  <c r="AC107" i="3" s="1"/>
  <c r="AC109" i="3" s="1"/>
  <c r="AC111" i="3" s="1"/>
  <c r="O102" i="3"/>
  <c r="O103" i="3" s="1"/>
  <c r="O104" i="3" s="1"/>
  <c r="O106" i="3" s="1"/>
  <c r="O107" i="3" s="1"/>
  <c r="O108" i="3" s="1"/>
  <c r="O110" i="3" s="1"/>
  <c r="O111" i="3" s="1"/>
  <c r="O112" i="3" s="1"/>
  <c r="O114" i="3" s="1"/>
  <c r="O115" i="3" s="1"/>
  <c r="O116" i="3" s="1"/>
  <c r="O9" i="3"/>
  <c r="O11" i="3" s="1"/>
  <c r="O13" i="3" s="1"/>
  <c r="O15" i="3" s="1"/>
  <c r="O17" i="3" s="1"/>
  <c r="O21" i="3" s="1"/>
  <c r="O23" i="3" s="1"/>
  <c r="O25" i="3" s="1"/>
  <c r="O27" i="3" s="1"/>
  <c r="O29" i="3" s="1"/>
  <c r="O31" i="3" s="1"/>
  <c r="O33" i="3" s="1"/>
  <c r="O37" i="3" s="1"/>
  <c r="O39" i="3" s="1"/>
  <c r="O41" i="3" s="1"/>
  <c r="O43" i="3" s="1"/>
  <c r="O45" i="3" s="1"/>
  <c r="O47" i="3" s="1"/>
  <c r="O49" i="3" s="1"/>
  <c r="O53" i="3" s="1"/>
  <c r="O55" i="3" s="1"/>
  <c r="O57" i="3" s="1"/>
  <c r="O59" i="3" s="1"/>
  <c r="O61" i="3" s="1"/>
  <c r="O63" i="3" s="1"/>
  <c r="O65" i="3" s="1"/>
  <c r="O69" i="3" s="1"/>
  <c r="O71" i="3" s="1"/>
  <c r="O73" i="3" s="1"/>
  <c r="O75" i="3" s="1"/>
  <c r="O77" i="3" s="1"/>
  <c r="O79" i="3" s="1"/>
  <c r="O83" i="3" s="1"/>
  <c r="O85" i="3" s="1"/>
  <c r="O87" i="3" s="1"/>
  <c r="O89" i="3" s="1"/>
  <c r="O91" i="3" s="1"/>
  <c r="O93" i="3" s="1"/>
  <c r="O95" i="3" s="1"/>
  <c r="O99" i="3" s="1"/>
  <c r="O8" i="3"/>
  <c r="O10" i="3" s="1"/>
  <c r="O14" i="3" s="1"/>
  <c r="O16" i="3" s="1"/>
  <c r="O18" i="3" s="1"/>
  <c r="O20" i="3" s="1"/>
  <c r="O22" i="3" s="1"/>
  <c r="O24" i="3" s="1"/>
  <c r="O26" i="3" s="1"/>
  <c r="O30" i="3" s="1"/>
  <c r="O32" i="3" s="1"/>
  <c r="O34" i="3" s="1"/>
  <c r="O36" i="3" s="1"/>
  <c r="O38" i="3" s="1"/>
  <c r="O40" i="3" s="1"/>
  <c r="O44" i="3" s="1"/>
  <c r="O46" i="3" s="1"/>
  <c r="O48" i="3" s="1"/>
  <c r="O50" i="3" s="1"/>
  <c r="O52" i="3" s="1"/>
  <c r="O54" i="3" s="1"/>
  <c r="O56" i="3" s="1"/>
  <c r="O60" i="3" s="1"/>
  <c r="O62" i="3" s="1"/>
  <c r="O64" i="3" s="1"/>
  <c r="O66" i="3" s="1"/>
  <c r="O68" i="3" s="1"/>
  <c r="O70" i="3" s="1"/>
  <c r="O72" i="3" s="1"/>
  <c r="O76" i="3" s="1"/>
  <c r="O78" i="3" s="1"/>
  <c r="O80" i="3" s="1"/>
  <c r="O82" i="3" s="1"/>
  <c r="O84" i="3" s="1"/>
  <c r="O86" i="3" s="1"/>
  <c r="O88" i="3" s="1"/>
  <c r="O92" i="3" s="1"/>
  <c r="O94" i="3" s="1"/>
  <c r="O96" i="3" s="1"/>
  <c r="O98" i="3" s="1"/>
  <c r="O100" i="3" s="1"/>
  <c r="O7" i="3"/>
  <c r="BR6" i="3"/>
  <c r="BR7" i="3" s="1"/>
  <c r="BR8" i="3" s="1"/>
  <c r="BR9" i="3" s="1"/>
  <c r="BR10" i="3" s="1"/>
  <c r="BR11" i="3" s="1"/>
  <c r="BR13" i="3" s="1"/>
  <c r="BR14" i="3" s="1"/>
  <c r="BR15" i="3" s="1"/>
  <c r="BR16" i="3" s="1"/>
  <c r="BR17" i="3" s="1"/>
  <c r="BR18" i="3" s="1"/>
  <c r="BR20" i="3" s="1"/>
  <c r="BR21" i="3" s="1"/>
  <c r="BR22" i="3" s="1"/>
  <c r="BR23" i="3" s="1"/>
  <c r="BR24" i="3" s="1"/>
  <c r="BR25" i="3" s="1"/>
  <c r="BR27" i="3" s="1"/>
  <c r="BR28" i="3" s="1"/>
  <c r="BR29" i="3" s="1"/>
  <c r="BR30" i="3" s="1"/>
  <c r="BR31" i="3" s="1"/>
  <c r="BR32" i="3" s="1"/>
  <c r="BR33" i="3" s="1"/>
  <c r="BR35" i="3" s="1"/>
  <c r="BR36" i="3" s="1"/>
  <c r="BR37" i="3" s="1"/>
  <c r="BR38" i="3" s="1"/>
  <c r="BR39" i="3" s="1"/>
  <c r="BR40" i="3" s="1"/>
  <c r="BR42" i="3" s="1"/>
  <c r="BR43" i="3" s="1"/>
  <c r="BR44" i="3" s="1"/>
  <c r="BR45" i="3" s="1"/>
  <c r="BR46" i="3" s="1"/>
  <c r="BR47" i="3" s="1"/>
  <c r="BR49" i="3" s="1"/>
  <c r="BR50" i="3" s="1"/>
  <c r="BR51" i="3" s="1"/>
  <c r="BR53" i="3" s="1"/>
  <c r="BR54" i="3" s="1"/>
  <c r="BR56" i="3" s="1"/>
  <c r="BR57" i="3" s="1"/>
  <c r="BD5" i="3"/>
  <c r="BD6" i="3" s="1"/>
  <c r="BD7" i="3" s="1"/>
  <c r="BD9" i="3" s="1"/>
  <c r="BD10" i="3" s="1"/>
  <c r="BD11" i="3" s="1"/>
  <c r="BD12" i="3" s="1"/>
  <c r="BD14" i="3" s="1"/>
  <c r="BD15" i="3" s="1"/>
  <c r="BD16" i="3" s="1"/>
  <c r="BD17" i="3" s="1"/>
  <c r="BD18" i="3" s="1"/>
  <c r="BD20" i="3" s="1"/>
  <c r="BD21" i="3" s="1"/>
  <c r="BD22" i="3" s="1"/>
  <c r="BD23" i="3" s="1"/>
  <c r="BD25" i="3" s="1"/>
  <c r="BD26" i="3" s="1"/>
  <c r="N8" i="3"/>
  <c r="N12" i="3" s="1"/>
  <c r="N14" i="3" s="1"/>
  <c r="N16" i="3" s="1"/>
  <c r="N18" i="3" s="1"/>
  <c r="N20" i="3" s="1"/>
  <c r="N22" i="3" s="1"/>
  <c r="N24" i="3" s="1"/>
  <c r="N26" i="3" s="1"/>
  <c r="N28" i="3" s="1"/>
  <c r="N30" i="3" s="1"/>
  <c r="N32" i="3" s="1"/>
  <c r="N34" i="3" s="1"/>
  <c r="N36" i="3" s="1"/>
  <c r="N38" i="3" s="1"/>
  <c r="N40" i="3" s="1"/>
  <c r="N42" i="3" s="1"/>
  <c r="N44" i="3" s="1"/>
  <c r="N46" i="3" s="1"/>
  <c r="N50" i="3" s="1"/>
  <c r="N52" i="3" s="1"/>
  <c r="N54" i="3" s="1"/>
  <c r="N56" i="3" s="1"/>
  <c r="N58" i="3" s="1"/>
  <c r="N60" i="3" s="1"/>
  <c r="N62" i="3" s="1"/>
  <c r="N64" i="3" s="1"/>
  <c r="N66" i="3" s="1"/>
  <c r="N68" i="3" s="1"/>
  <c r="N70" i="3" s="1"/>
  <c r="N72" i="3" s="1"/>
  <c r="N74" i="3" s="1"/>
  <c r="N76" i="3" s="1"/>
  <c r="N78" i="3" s="1"/>
  <c r="N80" i="3" s="1"/>
  <c r="N82" i="3" s="1"/>
  <c r="N84" i="3" s="1"/>
  <c r="N86" i="3" s="1"/>
  <c r="N90" i="3" s="1"/>
  <c r="N92" i="3" s="1"/>
  <c r="N94" i="3" s="1"/>
  <c r="N96" i="3" s="1"/>
  <c r="N98" i="3" s="1"/>
  <c r="N100" i="3" s="1"/>
  <c r="N102" i="3" s="1"/>
  <c r="N104" i="3" s="1"/>
  <c r="N106" i="3" s="1"/>
  <c r="N107" i="3" s="1"/>
  <c r="N108" i="3" s="1"/>
  <c r="N109" i="3" s="1"/>
  <c r="N110" i="3" s="1"/>
  <c r="N111" i="3" s="1"/>
  <c r="N112" i="3" s="1"/>
  <c r="N113" i="3" s="1"/>
  <c r="N114" i="3" s="1"/>
  <c r="N116" i="3" s="1"/>
  <c r="N117" i="3" s="1"/>
  <c r="N118" i="3" s="1"/>
  <c r="N119" i="3" s="1"/>
  <c r="N120" i="3" s="1"/>
  <c r="N121" i="3" s="1"/>
  <c r="N122" i="3" s="1"/>
  <c r="N123" i="3" s="1"/>
  <c r="N124" i="3" s="1"/>
  <c r="N125" i="3" s="1"/>
  <c r="N126" i="3" s="1"/>
  <c r="N127" i="3" s="1"/>
  <c r="N7" i="3"/>
  <c r="N9" i="3" s="1"/>
  <c r="N11" i="3" s="1"/>
  <c r="N13" i="3" s="1"/>
  <c r="N15" i="3" s="1"/>
  <c r="N17" i="3" s="1"/>
  <c r="N19" i="3" s="1"/>
  <c r="N21" i="3" s="1"/>
  <c r="N23" i="3" s="1"/>
  <c r="N25" i="3" s="1"/>
  <c r="N27" i="3" s="1"/>
  <c r="N31" i="3" s="1"/>
  <c r="N33" i="3" s="1"/>
  <c r="N35" i="3" s="1"/>
  <c r="N37" i="3" s="1"/>
  <c r="N39" i="3" s="1"/>
  <c r="N41" i="3" s="1"/>
  <c r="N43" i="3" s="1"/>
  <c r="N45" i="3" s="1"/>
  <c r="N47" i="3" s="1"/>
  <c r="N49" i="3" s="1"/>
  <c r="N51" i="3" s="1"/>
  <c r="N53" i="3" s="1"/>
  <c r="N55" i="3" s="1"/>
  <c r="N57" i="3" s="1"/>
  <c r="N59" i="3" s="1"/>
  <c r="N61" i="3" s="1"/>
  <c r="N63" i="3" s="1"/>
  <c r="N65" i="3" s="1"/>
  <c r="N69" i="3" s="1"/>
  <c r="N71" i="3" s="1"/>
  <c r="N73" i="3" s="1"/>
  <c r="N75" i="3" s="1"/>
  <c r="N77" i="3" s="1"/>
  <c r="N79" i="3" s="1"/>
  <c r="N81" i="3" s="1"/>
  <c r="N83" i="3" s="1"/>
  <c r="N85" i="3" s="1"/>
  <c r="N87" i="3" s="1"/>
  <c r="N89" i="3" s="1"/>
  <c r="N91" i="3" s="1"/>
  <c r="N93" i="3" s="1"/>
  <c r="N95" i="3" s="1"/>
  <c r="N97" i="3" s="1"/>
  <c r="N99" i="3" s="1"/>
  <c r="N101" i="3" s="1"/>
  <c r="N103" i="3" s="1"/>
  <c r="N105" i="3" s="1"/>
  <c r="CE8" i="3"/>
  <c r="CE9" i="3" s="1"/>
  <c r="CE10" i="3" s="1"/>
  <c r="CE11" i="3" s="1"/>
  <c r="CE12" i="3" s="1"/>
  <c r="CE13" i="3" s="1"/>
  <c r="CE14" i="3" s="1"/>
  <c r="CE15" i="3" s="1"/>
  <c r="CE17" i="3" s="1"/>
  <c r="CE18" i="3" s="1"/>
  <c r="CE19" i="3" s="1"/>
  <c r="CE20" i="3" s="1"/>
  <c r="CE21" i="3" s="1"/>
  <c r="CE22" i="3" s="1"/>
  <c r="CE23" i="3" s="1"/>
  <c r="CE25" i="3" s="1"/>
  <c r="CE26" i="3" s="1"/>
  <c r="CE27" i="3" s="1"/>
  <c r="CE28" i="3" s="1"/>
  <c r="CE29" i="3" s="1"/>
  <c r="CE30" i="3" s="1"/>
  <c r="CE31" i="3" s="1"/>
  <c r="CE32" i="3" s="1"/>
  <c r="CE34" i="3" s="1"/>
  <c r="CE35" i="3" s="1"/>
  <c r="CE36" i="3" s="1"/>
  <c r="CE37" i="3" s="1"/>
  <c r="CE38" i="3" s="1"/>
  <c r="CE39" i="3" s="1"/>
  <c r="CE40" i="3" s="1"/>
  <c r="CE42" i="3" s="1"/>
  <c r="CE43" i="3" s="1"/>
  <c r="CE44" i="3" s="1"/>
  <c r="CE45" i="3" s="1"/>
  <c r="CE46" i="3" s="1"/>
  <c r="CE47" i="3" s="1"/>
  <c r="CE48" i="3" s="1"/>
  <c r="CE49" i="3" s="1"/>
  <c r="CE51" i="3" s="1"/>
  <c r="CE52" i="3" s="1"/>
  <c r="CE53" i="3" s="1"/>
  <c r="CE54" i="3" s="1"/>
  <c r="CE55" i="3" s="1"/>
  <c r="CE56" i="3" s="1"/>
  <c r="CE57" i="3" s="1"/>
  <c r="CE59" i="3" s="1"/>
  <c r="CE60" i="3" s="1"/>
  <c r="CE62" i="3" s="1"/>
  <c r="CE63" i="3" s="1"/>
  <c r="CE64" i="3" s="1"/>
  <c r="CE66" i="3" s="1"/>
  <c r="CE67" i="3" s="1"/>
  <c r="CE68" i="3" s="1"/>
  <c r="CE70" i="3" s="1"/>
  <c r="BQ6" i="3"/>
  <c r="BQ7" i="3" s="1"/>
  <c r="BQ8" i="3" s="1"/>
  <c r="BQ9" i="3" s="1"/>
  <c r="BQ10" i="3" s="1"/>
  <c r="BQ11" i="3" s="1"/>
  <c r="BQ12" i="3" s="1"/>
  <c r="BQ13" i="3" s="1"/>
  <c r="BQ14" i="3" s="1"/>
  <c r="BQ15" i="3" s="1"/>
  <c r="BQ16" i="3" s="1"/>
  <c r="BQ18" i="3" s="1"/>
  <c r="BQ19" i="3" s="1"/>
  <c r="BQ20" i="3" s="1"/>
  <c r="BQ21" i="3" s="1"/>
  <c r="BQ22" i="3" s="1"/>
  <c r="BQ23" i="3" s="1"/>
  <c r="BQ24" i="3" s="1"/>
  <c r="BQ25" i="3" s="1"/>
  <c r="BQ26" i="3" s="1"/>
  <c r="BQ27" i="3" s="1"/>
  <c r="BQ28" i="3" s="1"/>
  <c r="BQ29" i="3" s="1"/>
  <c r="BQ30" i="3" s="1"/>
  <c r="BQ31" i="3" s="1"/>
  <c r="BQ32" i="3" s="1"/>
  <c r="BQ33" i="3" s="1"/>
  <c r="BQ34" i="3" s="1"/>
  <c r="BQ35" i="3" s="1"/>
  <c r="BQ37" i="3" s="1"/>
  <c r="BQ38" i="3" s="1"/>
  <c r="BQ39" i="3" s="1"/>
  <c r="BQ40" i="3" s="1"/>
  <c r="BQ41" i="3" s="1"/>
  <c r="BQ42" i="3" s="1"/>
  <c r="BQ43" i="3" s="1"/>
  <c r="BQ44" i="3" s="1"/>
  <c r="BQ45" i="3" s="1"/>
  <c r="BQ46" i="3" s="1"/>
  <c r="BQ47" i="3" s="1"/>
  <c r="BQ48" i="3" s="1"/>
  <c r="BQ49" i="3" s="1"/>
  <c r="BQ51" i="3" s="1"/>
  <c r="BQ52" i="3" s="1"/>
  <c r="BQ53" i="3" s="1"/>
  <c r="BQ55" i="3" s="1"/>
  <c r="BQ56" i="3" s="1"/>
  <c r="BQ5" i="3"/>
  <c r="AA9" i="3"/>
  <c r="AA11" i="3" s="1"/>
  <c r="AA13" i="3" s="1"/>
  <c r="AA15" i="3" s="1"/>
  <c r="AA17" i="3" s="1"/>
  <c r="AA19" i="3" s="1"/>
  <c r="AA21" i="3" s="1"/>
  <c r="AA23" i="3" s="1"/>
  <c r="AA25" i="3" s="1"/>
  <c r="AA27" i="3" s="1"/>
  <c r="AA29" i="3" s="1"/>
  <c r="AA31" i="3" s="1"/>
  <c r="AA33" i="3" s="1"/>
  <c r="AA35" i="3" s="1"/>
  <c r="AA37" i="3" s="1"/>
  <c r="AA39" i="3" s="1"/>
  <c r="AA41" i="3" s="1"/>
  <c r="AA43" i="3" s="1"/>
  <c r="AA45" i="3" s="1"/>
  <c r="AA47" i="3" s="1"/>
  <c r="AA49" i="3" s="1"/>
  <c r="AA51" i="3" s="1"/>
  <c r="AA53" i="3" s="1"/>
  <c r="AA57" i="3" s="1"/>
  <c r="AA59" i="3" s="1"/>
  <c r="AA61" i="3" s="1"/>
  <c r="AA63" i="3" s="1"/>
  <c r="AA65" i="3" s="1"/>
  <c r="AA67" i="3" s="1"/>
  <c r="AA69" i="3" s="1"/>
  <c r="AA71" i="3" s="1"/>
  <c r="AA73" i="3" s="1"/>
  <c r="AA75" i="3" s="1"/>
  <c r="AA77" i="3" s="1"/>
  <c r="AA79" i="3" s="1"/>
  <c r="AA81" i="3" s="1"/>
  <c r="AA83" i="3" s="1"/>
  <c r="AA85" i="3" s="1"/>
  <c r="AA87" i="3" s="1"/>
  <c r="AA89" i="3" s="1"/>
  <c r="AA91" i="3" s="1"/>
  <c r="AA93" i="3" s="1"/>
  <c r="AA95" i="3" s="1"/>
  <c r="AA97" i="3" s="1"/>
  <c r="AA99" i="3" s="1"/>
  <c r="AA101" i="3" s="1"/>
  <c r="AA103" i="3" s="1"/>
  <c r="AA105" i="3" s="1"/>
  <c r="AA107" i="3" s="1"/>
  <c r="AA111" i="3" s="1"/>
  <c r="AA113" i="3" s="1"/>
  <c r="AA8" i="3"/>
  <c r="AA10" i="3" s="1"/>
  <c r="AA12" i="3" s="1"/>
  <c r="AA14" i="3" s="1"/>
  <c r="AA16" i="3" s="1"/>
  <c r="AA18" i="3" s="1"/>
  <c r="AA20" i="3" s="1"/>
  <c r="AA22" i="3" s="1"/>
  <c r="AA24" i="3" s="1"/>
  <c r="AA26" i="3" s="1"/>
  <c r="AA30" i="3" s="1"/>
  <c r="AA32" i="3" s="1"/>
  <c r="AA34" i="3" s="1"/>
  <c r="AA36" i="3" s="1"/>
  <c r="AA38" i="3" s="1"/>
  <c r="AA40" i="3" s="1"/>
  <c r="AA42" i="3" s="1"/>
  <c r="AA44" i="3" s="1"/>
  <c r="AA46" i="3" s="1"/>
  <c r="AA48" i="3" s="1"/>
  <c r="AA50" i="3" s="1"/>
  <c r="AA52" i="3" s="1"/>
  <c r="AA54" i="3" s="1"/>
  <c r="AA56" i="3" s="1"/>
  <c r="AA58" i="3" s="1"/>
  <c r="AA60" i="3" s="1"/>
  <c r="AA62" i="3" s="1"/>
  <c r="AA64" i="3" s="1"/>
  <c r="AA66" i="3" s="1"/>
  <c r="AA68" i="3" s="1"/>
  <c r="AA70" i="3" s="1"/>
  <c r="AA72" i="3" s="1"/>
  <c r="AA74" i="3" s="1"/>
  <c r="AA76" i="3" s="1"/>
  <c r="AA78" i="3" s="1"/>
  <c r="AA80" i="3" s="1"/>
  <c r="AA84" i="3" s="1"/>
  <c r="AA86" i="3" s="1"/>
  <c r="AA88" i="3" s="1"/>
  <c r="AA90" i="3" s="1"/>
  <c r="AA92" i="3" s="1"/>
  <c r="AA94" i="3" s="1"/>
  <c r="AA96" i="3" s="1"/>
  <c r="AA98" i="3" s="1"/>
  <c r="AA100" i="3" s="1"/>
  <c r="AA102" i="3" s="1"/>
  <c r="AA104" i="3" s="1"/>
  <c r="AA106" i="3" s="1"/>
  <c r="AA108" i="3" s="1"/>
  <c r="AA110" i="3" s="1"/>
  <c r="AA112" i="3" s="1"/>
  <c r="AA114" i="3" s="1"/>
  <c r="AA7" i="3"/>
  <c r="M108" i="3"/>
  <c r="M109" i="3" s="1"/>
  <c r="M110" i="3" s="1"/>
  <c r="M111" i="3" s="1"/>
  <c r="M112" i="3" s="1"/>
  <c r="M113" i="3" s="1"/>
  <c r="M114" i="3" s="1"/>
  <c r="M116" i="3" s="1"/>
  <c r="M117" i="3" s="1"/>
  <c r="M118" i="3" s="1"/>
  <c r="M119" i="3" s="1"/>
  <c r="M120" i="3" s="1"/>
  <c r="M121" i="3" s="1"/>
  <c r="M122" i="3" s="1"/>
  <c r="M123" i="3" s="1"/>
  <c r="M124" i="3" s="1"/>
  <c r="M8" i="3"/>
  <c r="M10" i="3" s="1"/>
  <c r="M12" i="3" s="1"/>
  <c r="M14" i="3" s="1"/>
  <c r="M16" i="3" s="1"/>
  <c r="M18" i="3" s="1"/>
  <c r="M20" i="3" s="1"/>
  <c r="M22" i="3" s="1"/>
  <c r="M24" i="3" s="1"/>
  <c r="M26" i="3" s="1"/>
  <c r="M28" i="3" s="1"/>
  <c r="M30" i="3" s="1"/>
  <c r="M32" i="3" s="1"/>
  <c r="M34" i="3" s="1"/>
  <c r="M36" i="3" s="1"/>
  <c r="M38" i="3" s="1"/>
  <c r="M40" i="3" s="1"/>
  <c r="M42" i="3" s="1"/>
  <c r="M44" i="3" s="1"/>
  <c r="M46" i="3" s="1"/>
  <c r="M48" i="3" s="1"/>
  <c r="M50" i="3" s="1"/>
  <c r="M52" i="3" s="1"/>
  <c r="M54" i="3" s="1"/>
  <c r="M56" i="3" s="1"/>
  <c r="M58" i="3" s="1"/>
  <c r="M60" i="3" s="1"/>
  <c r="M62" i="3" s="1"/>
  <c r="M64" i="3" s="1"/>
  <c r="M66" i="3" s="1"/>
  <c r="M68" i="3" s="1"/>
  <c r="M70" i="3" s="1"/>
  <c r="M72" i="3" s="1"/>
  <c r="M74" i="3" s="1"/>
  <c r="M76" i="3" s="1"/>
  <c r="M78" i="3" s="1"/>
  <c r="M80" i="3" s="1"/>
  <c r="M82" i="3" s="1"/>
  <c r="M84" i="3" s="1"/>
  <c r="M86" i="3" s="1"/>
  <c r="M88" i="3" s="1"/>
  <c r="M90" i="3" s="1"/>
  <c r="M92" i="3" s="1"/>
  <c r="M94" i="3" s="1"/>
  <c r="M96" i="3" s="1"/>
  <c r="M98" i="3" s="1"/>
  <c r="M100" i="3" s="1"/>
  <c r="M102" i="3" s="1"/>
  <c r="M104" i="3" s="1"/>
  <c r="M106" i="3" s="1"/>
  <c r="M7" i="3"/>
  <c r="M9" i="3" s="1"/>
  <c r="M11" i="3" s="1"/>
  <c r="M13" i="3" s="1"/>
  <c r="M15" i="3" s="1"/>
  <c r="M17" i="3" s="1"/>
  <c r="M19" i="3" s="1"/>
  <c r="M21" i="3" s="1"/>
  <c r="M23" i="3" s="1"/>
  <c r="M25" i="3" s="1"/>
  <c r="M27" i="3" s="1"/>
  <c r="M29" i="3" s="1"/>
  <c r="M31" i="3" s="1"/>
  <c r="M33" i="3" s="1"/>
  <c r="M35" i="3" s="1"/>
  <c r="M37" i="3" s="1"/>
  <c r="M39" i="3" s="1"/>
  <c r="M41" i="3" s="1"/>
  <c r="M43" i="3" s="1"/>
  <c r="M45" i="3" s="1"/>
  <c r="M47" i="3" s="1"/>
  <c r="M49" i="3" s="1"/>
  <c r="M51" i="3" s="1"/>
  <c r="M53" i="3" s="1"/>
  <c r="M55" i="3" s="1"/>
  <c r="M59" i="3" s="1"/>
  <c r="M61" i="3" s="1"/>
  <c r="M63" i="3" s="1"/>
  <c r="M65" i="3" s="1"/>
  <c r="M67" i="3" s="1"/>
  <c r="M69" i="3" s="1"/>
  <c r="M71" i="3" s="1"/>
  <c r="M73" i="3" s="1"/>
  <c r="M75" i="3" s="1"/>
  <c r="M77" i="3" s="1"/>
  <c r="M79" i="3" s="1"/>
  <c r="M81" i="3" s="1"/>
  <c r="M83" i="3" s="1"/>
  <c r="M85" i="3" s="1"/>
  <c r="M87" i="3" s="1"/>
  <c r="M89" i="3" s="1"/>
  <c r="M91" i="3" s="1"/>
  <c r="M93" i="3" s="1"/>
  <c r="M95" i="3" s="1"/>
  <c r="M97" i="3" s="1"/>
  <c r="M99" i="3" s="1"/>
  <c r="M101" i="3" s="1"/>
  <c r="M103" i="3" s="1"/>
  <c r="M105" i="3" s="1"/>
  <c r="M6" i="3"/>
  <c r="CD6" i="3"/>
  <c r="CD7" i="3"/>
  <c r="CD8" i="3" s="1"/>
  <c r="CD9" i="3" s="1"/>
  <c r="CD10" i="3" s="1"/>
  <c r="CD12" i="3" s="1"/>
  <c r="CD13" i="3" s="1"/>
  <c r="CD14" i="3" s="1"/>
  <c r="CD15" i="3" s="1"/>
  <c r="CD16" i="3" s="1"/>
  <c r="CD18" i="3" s="1"/>
  <c r="CD19" i="3" s="1"/>
  <c r="CD20" i="3" s="1"/>
  <c r="CD21" i="3" s="1"/>
  <c r="CD22" i="3" s="1"/>
  <c r="CD24" i="3" s="1"/>
  <c r="CD25" i="3" s="1"/>
  <c r="CD26" i="3" s="1"/>
  <c r="CD27" i="3" s="1"/>
  <c r="CD28" i="3" s="1"/>
  <c r="CD29" i="3" s="1"/>
  <c r="CD31" i="3" s="1"/>
  <c r="CD32" i="3" s="1"/>
  <c r="CD33" i="3" s="1"/>
  <c r="CD34" i="3" s="1"/>
  <c r="CD35" i="3" s="1"/>
  <c r="CD37" i="3" s="1"/>
  <c r="CD38" i="3" s="1"/>
  <c r="CD39" i="3" s="1"/>
  <c r="CD40" i="3" s="1"/>
  <c r="CD41" i="3" s="1"/>
  <c r="CD43" i="3" s="1"/>
  <c r="CD44" i="3" s="1"/>
  <c r="CD45" i="3" s="1"/>
  <c r="CD46" i="3" s="1"/>
  <c r="CD47" i="3" s="1"/>
  <c r="CD48" i="3" s="1"/>
  <c r="CD50" i="3" s="1"/>
  <c r="CD51" i="3" s="1"/>
  <c r="CD52" i="3" s="1"/>
  <c r="CD53" i="3" s="1"/>
  <c r="CD54" i="3" s="1"/>
  <c r="CD56" i="3" s="1"/>
  <c r="CD57" i="3" s="1"/>
  <c r="CD58" i="3" s="1"/>
  <c r="CD59" i="3" s="1"/>
  <c r="CD60" i="3" s="1"/>
  <c r="CD61" i="3" s="1"/>
  <c r="CD62" i="3" s="1"/>
  <c r="CD63" i="3" s="1"/>
  <c r="CD64" i="3" s="1"/>
  <c r="CD66" i="3" s="1"/>
  <c r="CD67" i="3" s="1"/>
  <c r="CD68" i="3" s="1"/>
  <c r="CD69" i="3" s="1"/>
  <c r="CD70" i="3" s="1"/>
  <c r="CD71" i="3" s="1"/>
  <c r="CD73" i="3" s="1"/>
  <c r="CD74" i="3" s="1"/>
  <c r="CD5" i="3"/>
  <c r="BP5" i="3"/>
  <c r="BP6" i="3" s="1"/>
  <c r="BP7" i="3" s="1"/>
  <c r="BP8" i="3" s="1"/>
  <c r="BP9" i="3" s="1"/>
  <c r="BP10" i="3" s="1"/>
  <c r="BP11" i="3" s="1"/>
  <c r="BP12" i="3" s="1"/>
  <c r="BP13" i="3" s="1"/>
  <c r="BP14" i="3" s="1"/>
  <c r="BP15" i="3" s="1"/>
  <c r="BP16" i="3" s="1"/>
  <c r="BP17" i="3" s="1"/>
  <c r="BP18" i="3" s="1"/>
  <c r="BP19" i="3" s="1"/>
  <c r="BP20" i="3" s="1"/>
  <c r="BP21" i="3" s="1"/>
  <c r="BP22" i="3" s="1"/>
  <c r="BP23" i="3" s="1"/>
  <c r="BP24" i="3" s="1"/>
  <c r="BP25" i="3" s="1"/>
  <c r="BP26" i="3" s="1"/>
  <c r="BP27" i="3" s="1"/>
  <c r="BP28" i="3" s="1"/>
  <c r="BP29" i="3" s="1"/>
  <c r="BP30" i="3" s="1"/>
  <c r="BP31" i="3" s="1"/>
  <c r="BP32" i="3" s="1"/>
  <c r="BP33" i="3" s="1"/>
  <c r="BP34" i="3" s="1"/>
  <c r="BP35" i="3" s="1"/>
  <c r="BP36" i="3" s="1"/>
  <c r="BP37" i="3" s="1"/>
  <c r="BP38" i="3" s="1"/>
  <c r="BP39" i="3" s="1"/>
  <c r="BP40" i="3" s="1"/>
  <c r="BP41" i="3" s="1"/>
  <c r="BP42" i="3" s="1"/>
  <c r="BP43" i="3" s="1"/>
  <c r="BP44" i="3" s="1"/>
  <c r="BP45" i="3" s="1"/>
  <c r="BP46" i="3" s="1"/>
  <c r="BP47" i="3" s="1"/>
  <c r="BP48" i="3" s="1"/>
  <c r="BP49" i="3" s="1"/>
  <c r="BP51" i="3" s="1"/>
  <c r="BP52" i="3" s="1"/>
  <c r="BP54" i="3" s="1"/>
  <c r="BP56" i="3" s="1"/>
  <c r="BP57" i="3" s="1"/>
  <c r="BB7" i="3"/>
  <c r="BB8" i="3" s="1"/>
  <c r="BB9" i="3" s="1"/>
  <c r="BB11" i="3" s="1"/>
  <c r="BB12" i="3" s="1"/>
  <c r="BB13" i="3" s="1"/>
  <c r="BB14" i="3" s="1"/>
  <c r="BB16" i="3" s="1"/>
  <c r="BB17" i="3" s="1"/>
  <c r="BB18" i="3" s="1"/>
  <c r="BB20" i="3" s="1"/>
  <c r="BB21" i="3" s="1"/>
  <c r="BB22" i="3" s="1"/>
  <c r="BB23" i="3" s="1"/>
  <c r="BB25" i="3" s="1"/>
  <c r="BB26" i="3" s="1"/>
  <c r="BB5" i="3"/>
  <c r="Z8" i="3"/>
  <c r="Z10" i="3" s="1"/>
  <c r="Z12" i="3" s="1"/>
  <c r="Z16" i="3" s="1"/>
  <c r="Z18" i="3" s="1"/>
  <c r="Z20" i="3" s="1"/>
  <c r="Z22" i="3" s="1"/>
  <c r="Z24" i="3" s="1"/>
  <c r="Z26" i="3" s="1"/>
  <c r="Z28" i="3" s="1"/>
  <c r="Z30" i="3" s="1"/>
  <c r="Z32" i="3" s="1"/>
  <c r="Z34" i="3" s="1"/>
  <c r="Z36" i="3" s="1"/>
  <c r="Z38" i="3" s="1"/>
  <c r="Z40" i="3" s="1"/>
  <c r="Z44" i="3" s="1"/>
  <c r="Z46" i="3" s="1"/>
  <c r="Z48" i="3" s="1"/>
  <c r="Z50" i="3" s="1"/>
  <c r="Z52" i="3" s="1"/>
  <c r="Z54" i="3" s="1"/>
  <c r="Z56" i="3" s="1"/>
  <c r="Z58" i="3" s="1"/>
  <c r="Z60" i="3" s="1"/>
  <c r="Z62" i="3" s="1"/>
  <c r="Z64" i="3" s="1"/>
  <c r="Z66" i="3" s="1"/>
  <c r="Z68" i="3" s="1"/>
  <c r="Z72" i="3" s="1"/>
  <c r="Z74" i="3" s="1"/>
  <c r="Z76" i="3" s="1"/>
  <c r="Z78" i="3" s="1"/>
  <c r="Z80" i="3" s="1"/>
  <c r="Z82" i="3" s="1"/>
  <c r="Z84" i="3" s="1"/>
  <c r="Z86" i="3" s="1"/>
  <c r="Z88" i="3" s="1"/>
  <c r="Z90" i="3" s="1"/>
  <c r="Z92" i="3" s="1"/>
  <c r="Z94" i="3" s="1"/>
  <c r="Z96" i="3" s="1"/>
  <c r="Z100" i="3" s="1"/>
  <c r="Z102" i="3" s="1"/>
  <c r="Z104" i="3" s="1"/>
  <c r="Z106" i="3" s="1"/>
  <c r="Z108" i="3" s="1"/>
  <c r="Z110" i="3" s="1"/>
  <c r="Z112" i="3" s="1"/>
  <c r="Z7" i="3"/>
  <c r="Z9" i="3" s="1"/>
  <c r="Z11" i="3" s="1"/>
  <c r="Z13" i="3" s="1"/>
  <c r="Z15" i="3" s="1"/>
  <c r="Z17" i="3" s="1"/>
  <c r="Z19" i="3" s="1"/>
  <c r="Z21" i="3" s="1"/>
  <c r="Z23" i="3" s="1"/>
  <c r="Z25" i="3" s="1"/>
  <c r="Z27" i="3" s="1"/>
  <c r="Z31" i="3" s="1"/>
  <c r="Z33" i="3" s="1"/>
  <c r="Z35" i="3" s="1"/>
  <c r="Z37" i="3" s="1"/>
  <c r="Z39" i="3" s="1"/>
  <c r="Z41" i="3" s="1"/>
  <c r="Z43" i="3" s="1"/>
  <c r="Z45" i="3" s="1"/>
  <c r="Z47" i="3" s="1"/>
  <c r="Z49" i="3" s="1"/>
  <c r="Z51" i="3" s="1"/>
  <c r="Z53" i="3" s="1"/>
  <c r="Z55" i="3" s="1"/>
  <c r="Z59" i="3" s="1"/>
  <c r="Z61" i="3" s="1"/>
  <c r="Z63" i="3" s="1"/>
  <c r="Z65" i="3" s="1"/>
  <c r="Z67" i="3" s="1"/>
  <c r="Z69" i="3" s="1"/>
  <c r="Z71" i="3" s="1"/>
  <c r="Z73" i="3" s="1"/>
  <c r="Z75" i="3" s="1"/>
  <c r="Z77" i="3" s="1"/>
  <c r="Z79" i="3" s="1"/>
  <c r="Z81" i="3" s="1"/>
  <c r="Z83" i="3" s="1"/>
  <c r="Z87" i="3" s="1"/>
  <c r="Z89" i="3" s="1"/>
  <c r="Z91" i="3" s="1"/>
  <c r="Z93" i="3" s="1"/>
  <c r="Z95" i="3" s="1"/>
  <c r="Z97" i="3" s="1"/>
  <c r="Z99" i="3" s="1"/>
  <c r="Z101" i="3" s="1"/>
  <c r="Z103" i="3" s="1"/>
  <c r="Z105" i="3" s="1"/>
  <c r="Z107" i="3" s="1"/>
  <c r="Z109" i="3" s="1"/>
  <c r="Z111" i="3" s="1"/>
  <c r="Z6" i="3"/>
  <c r="L9" i="3"/>
  <c r="L11" i="3" s="1"/>
  <c r="L13" i="3" s="1"/>
  <c r="L15" i="3" s="1"/>
  <c r="L17" i="3" s="1"/>
  <c r="L19" i="3" s="1"/>
  <c r="L21" i="3" s="1"/>
  <c r="L23" i="3" s="1"/>
  <c r="L27" i="3" s="1"/>
  <c r="L29" i="3" s="1"/>
  <c r="L31" i="3" s="1"/>
  <c r="L33" i="3" s="1"/>
  <c r="L35" i="3" s="1"/>
  <c r="L37" i="3" s="1"/>
  <c r="L39" i="3" s="1"/>
  <c r="L41" i="3" s="1"/>
  <c r="L43" i="3" s="1"/>
  <c r="L45" i="3" s="1"/>
  <c r="L47" i="3" s="1"/>
  <c r="L49" i="3" s="1"/>
  <c r="L51" i="3" s="1"/>
  <c r="L53" i="3" s="1"/>
  <c r="L55" i="3" s="1"/>
  <c r="L57" i="3" s="1"/>
  <c r="L59" i="3" s="1"/>
  <c r="L61" i="3" s="1"/>
  <c r="L63" i="3" s="1"/>
  <c r="L65" i="3" s="1"/>
  <c r="L67" i="3" s="1"/>
  <c r="L69" i="3" s="1"/>
  <c r="L71" i="3" s="1"/>
  <c r="L73" i="3" s="1"/>
  <c r="L75" i="3" s="1"/>
  <c r="L77" i="3" s="1"/>
  <c r="L79" i="3" s="1"/>
  <c r="L81" i="3" s="1"/>
  <c r="L83" i="3" s="1"/>
  <c r="L85" i="3" s="1"/>
  <c r="L87" i="3" s="1"/>
  <c r="L89" i="3" s="1"/>
  <c r="L91" i="3" s="1"/>
  <c r="L93" i="3" s="1"/>
  <c r="L95" i="3" s="1"/>
  <c r="L97" i="3" s="1"/>
  <c r="L99" i="3" s="1"/>
  <c r="L101" i="3" s="1"/>
  <c r="L103" i="3" s="1"/>
  <c r="L105" i="3" s="1"/>
  <c r="L106" i="3" s="1"/>
  <c r="L107" i="3" s="1"/>
  <c r="L109" i="3" s="1"/>
  <c r="L110" i="3" s="1"/>
  <c r="L111" i="3" s="1"/>
  <c r="L112" i="3" s="1"/>
  <c r="L113" i="3" s="1"/>
  <c r="L114" i="3" s="1"/>
  <c r="L115" i="3" s="1"/>
  <c r="L116" i="3" s="1"/>
  <c r="L117" i="3" s="1"/>
  <c r="L118" i="3" s="1"/>
  <c r="L119" i="3" s="1"/>
  <c r="L120" i="3" s="1"/>
  <c r="L121" i="3" s="1"/>
  <c r="L122" i="3" s="1"/>
  <c r="L123" i="3" s="1"/>
  <c r="L8" i="3"/>
  <c r="L10" i="3" s="1"/>
  <c r="L12" i="3" s="1"/>
  <c r="L14" i="3" s="1"/>
  <c r="L16" i="3" s="1"/>
  <c r="L18" i="3" s="1"/>
  <c r="L20" i="3" s="1"/>
  <c r="L22" i="3" s="1"/>
  <c r="L24" i="3" s="1"/>
  <c r="L26" i="3" s="1"/>
  <c r="L28" i="3" s="1"/>
  <c r="L30" i="3" s="1"/>
  <c r="L32" i="3" s="1"/>
  <c r="L34" i="3" s="1"/>
  <c r="L36" i="3" s="1"/>
  <c r="L38" i="3" s="1"/>
  <c r="L40" i="3" s="1"/>
  <c r="L42" i="3" s="1"/>
  <c r="L44" i="3" s="1"/>
  <c r="L46" i="3" s="1"/>
  <c r="L48" i="3" s="1"/>
  <c r="L50" i="3" s="1"/>
  <c r="L52" i="3" s="1"/>
  <c r="L54" i="3" s="1"/>
  <c r="L56" i="3" s="1"/>
  <c r="L58" i="3" s="1"/>
  <c r="L60" i="3" s="1"/>
  <c r="L62" i="3" s="1"/>
  <c r="L64" i="3" s="1"/>
  <c r="L66" i="3" s="1"/>
  <c r="L68" i="3" s="1"/>
  <c r="L70" i="3" s="1"/>
  <c r="L72" i="3" s="1"/>
  <c r="L74" i="3" s="1"/>
  <c r="L76" i="3" s="1"/>
  <c r="L78" i="3" s="1"/>
  <c r="L80" i="3" s="1"/>
  <c r="L82" i="3" s="1"/>
  <c r="L84" i="3" s="1"/>
  <c r="L88" i="3" s="1"/>
  <c r="L90" i="3" s="1"/>
  <c r="L92" i="3" s="1"/>
  <c r="L94" i="3" s="1"/>
  <c r="L96" i="3" s="1"/>
  <c r="L98" i="3" s="1"/>
  <c r="L100" i="3" s="1"/>
  <c r="L102" i="3" s="1"/>
  <c r="L104" i="3" s="1"/>
  <c r="L7" i="3"/>
  <c r="CC8" i="3" l="1"/>
  <c r="CC9" i="3" s="1"/>
  <c r="CC10" i="3" s="1"/>
  <c r="CC11" i="3" s="1"/>
  <c r="CC12" i="3" s="1"/>
  <c r="CC14" i="3" s="1"/>
  <c r="CC15" i="3" s="1"/>
  <c r="CC16" i="3" s="1"/>
  <c r="CC17" i="3" s="1"/>
  <c r="CC18" i="3" s="1"/>
  <c r="CC19" i="3" s="1"/>
  <c r="CC21" i="3" s="1"/>
  <c r="CC22" i="3" s="1"/>
  <c r="CC23" i="3" s="1"/>
  <c r="CC24" i="3" s="1"/>
  <c r="CC25" i="3" s="1"/>
  <c r="CC27" i="3" s="1"/>
  <c r="CC28" i="3" s="1"/>
  <c r="CC29" i="3" s="1"/>
  <c r="CC30" i="3" s="1"/>
  <c r="CC31" i="3" s="1"/>
  <c r="CC32" i="3" s="1"/>
  <c r="CC34" i="3" s="1"/>
  <c r="CC35" i="3" s="1"/>
  <c r="CC36" i="3" s="1"/>
  <c r="CC37" i="3" s="1"/>
  <c r="CC38" i="3" s="1"/>
  <c r="CC40" i="3" s="1"/>
  <c r="CC41" i="3" s="1"/>
  <c r="CC42" i="3" s="1"/>
  <c r="CC43" i="3" s="1"/>
  <c r="CC44" i="3" s="1"/>
  <c r="CC45" i="3" s="1"/>
  <c r="CC47" i="3" s="1"/>
  <c r="CC48" i="3" s="1"/>
  <c r="CC49" i="3" s="1"/>
  <c r="CC50" i="3" s="1"/>
  <c r="CC51" i="3" s="1"/>
  <c r="CC53" i="3" s="1"/>
  <c r="CC54" i="3" s="1"/>
  <c r="CC55" i="3" s="1"/>
  <c r="CC56" i="3" s="1"/>
  <c r="CC57" i="3" s="1"/>
  <c r="CC58" i="3" s="1"/>
  <c r="CC59" i="3" s="1"/>
  <c r="CC60" i="3" s="1"/>
  <c r="CC61" i="3" s="1"/>
  <c r="CC62" i="3" s="1"/>
  <c r="CC63" i="3" s="1"/>
  <c r="CC64" i="3" s="1"/>
  <c r="CC65" i="3" s="1"/>
  <c r="CC66" i="3" s="1"/>
  <c r="CC68" i="3" s="1"/>
  <c r="CC69" i="3" s="1"/>
  <c r="CC70" i="3" s="1"/>
  <c r="CC71" i="3" s="1"/>
  <c r="CC72" i="3" s="1"/>
  <c r="CC73" i="3" s="1"/>
  <c r="CC6" i="3"/>
  <c r="CC5" i="3"/>
  <c r="BO5" i="3"/>
  <c r="BO6" i="3" s="1"/>
  <c r="BO7" i="3" s="1"/>
  <c r="BO8" i="3" s="1"/>
  <c r="BO9" i="3" s="1"/>
  <c r="BO10" i="3" s="1"/>
  <c r="BO11" i="3" s="1"/>
  <c r="BO12" i="3" s="1"/>
  <c r="BO13" i="3" s="1"/>
  <c r="BO14" i="3" s="1"/>
  <c r="BO15" i="3" s="1"/>
  <c r="BO16" i="3" s="1"/>
  <c r="BO17" i="3" s="1"/>
  <c r="BO18" i="3" s="1"/>
  <c r="BO19" i="3" s="1"/>
  <c r="BO20" i="3" s="1"/>
  <c r="BO21" i="3" s="1"/>
  <c r="BO22" i="3" s="1"/>
  <c r="BO23" i="3" s="1"/>
  <c r="BO24" i="3" s="1"/>
  <c r="BO25" i="3" s="1"/>
  <c r="BO26" i="3" s="1"/>
  <c r="BO27" i="3" s="1"/>
  <c r="BO28" i="3" s="1"/>
  <c r="BO29" i="3" s="1"/>
  <c r="BO30" i="3" s="1"/>
  <c r="BO31" i="3" s="1"/>
  <c r="BO32" i="3" s="1"/>
  <c r="BO33" i="3" s="1"/>
  <c r="BO34" i="3" s="1"/>
  <c r="BO35" i="3" s="1"/>
  <c r="BO36" i="3" s="1"/>
  <c r="BO37" i="3" s="1"/>
  <c r="BO38" i="3" s="1"/>
  <c r="BO39" i="3" s="1"/>
  <c r="BO40" i="3" s="1"/>
  <c r="BO41" i="3" s="1"/>
  <c r="BO42" i="3" s="1"/>
  <c r="BO43" i="3" s="1"/>
  <c r="BO44" i="3" s="1"/>
  <c r="BO45" i="3" s="1"/>
  <c r="BO46" i="3" s="1"/>
  <c r="BO47" i="3" s="1"/>
  <c r="BO49" i="3" s="1"/>
  <c r="BO50" i="3" s="1"/>
  <c r="BO51" i="3" s="1"/>
  <c r="BO53" i="3" s="1"/>
  <c r="BO55" i="3" s="1"/>
  <c r="BO57" i="3" s="1"/>
  <c r="AM9" i="3"/>
  <c r="AM11" i="3" s="1"/>
  <c r="AM13" i="3" s="1"/>
  <c r="AM15" i="3" s="1"/>
  <c r="AM17" i="3" s="1"/>
  <c r="AM19" i="3" s="1"/>
  <c r="AM21" i="3" s="1"/>
  <c r="AM23" i="3" s="1"/>
  <c r="AM25" i="3" s="1"/>
  <c r="AM27" i="3" s="1"/>
  <c r="AM29" i="3" s="1"/>
  <c r="AM31" i="3" s="1"/>
  <c r="AM33" i="3" s="1"/>
  <c r="AM35" i="3" s="1"/>
  <c r="AM8" i="3"/>
  <c r="AM10" i="3" s="1"/>
  <c r="AM12" i="3" s="1"/>
  <c r="AM14" i="3" s="1"/>
  <c r="AM18" i="3" s="1"/>
  <c r="AM20" i="3" s="1"/>
  <c r="AM22" i="3" s="1"/>
  <c r="AM24" i="3" s="1"/>
  <c r="AM26" i="3" s="1"/>
  <c r="AM28" i="3" s="1"/>
  <c r="AM30" i="3" s="1"/>
  <c r="AM32" i="3" s="1"/>
  <c r="AM34" i="3" s="1"/>
  <c r="AM36" i="3" s="1"/>
  <c r="Y7" i="3"/>
  <c r="Y9" i="3" s="1"/>
  <c r="Y11" i="3" s="1"/>
  <c r="Y13" i="3" s="1"/>
  <c r="Y15" i="3" s="1"/>
  <c r="Y17" i="3" s="1"/>
  <c r="Y19" i="3" s="1"/>
  <c r="Y21" i="3" s="1"/>
  <c r="Y25" i="3" s="1"/>
  <c r="Y27" i="3" s="1"/>
  <c r="Y29" i="3" s="1"/>
  <c r="Y31" i="3" s="1"/>
  <c r="Y33" i="3" s="1"/>
  <c r="Y35" i="3" s="1"/>
  <c r="Y37" i="3" s="1"/>
  <c r="Y39" i="3" s="1"/>
  <c r="Y41" i="3" s="1"/>
  <c r="Y45" i="3" s="1"/>
  <c r="Y47" i="3" s="1"/>
  <c r="Y49" i="3" s="1"/>
  <c r="Y51" i="3" s="1"/>
  <c r="Y53" i="3" s="1"/>
  <c r="Y55" i="3" s="1"/>
  <c r="Y57" i="3" s="1"/>
  <c r="Y59" i="3" s="1"/>
  <c r="Y63" i="3" s="1"/>
  <c r="Y65" i="3" s="1"/>
  <c r="Y67" i="3" s="1"/>
  <c r="Y69" i="3" s="1"/>
  <c r="Y71" i="3" s="1"/>
  <c r="Y73" i="3" s="1"/>
  <c r="Y75" i="3" s="1"/>
  <c r="Y77" i="3" s="1"/>
  <c r="Y81" i="3" s="1"/>
  <c r="Y83" i="3" s="1"/>
  <c r="Y85" i="3" s="1"/>
  <c r="Y87" i="3" s="1"/>
  <c r="Y89" i="3" s="1"/>
  <c r="Y91" i="3" s="1"/>
  <c r="Y93" i="3" s="1"/>
  <c r="Y95" i="3" s="1"/>
  <c r="Y97" i="3" s="1"/>
  <c r="Y101" i="3" s="1"/>
  <c r="Y103" i="3" s="1"/>
  <c r="Y105" i="3" s="1"/>
  <c r="Y107" i="3" s="1"/>
  <c r="Y109" i="3" s="1"/>
  <c r="Y111" i="3" s="1"/>
  <c r="Y113" i="3" s="1"/>
  <c r="Y6" i="3"/>
  <c r="Y8" i="3" s="1"/>
  <c r="Y10" i="3" s="1"/>
  <c r="Y12" i="3" s="1"/>
  <c r="Y16" i="3" s="1"/>
  <c r="Y18" i="3" s="1"/>
  <c r="Y20" i="3" s="1"/>
  <c r="Y22" i="3" s="1"/>
  <c r="Y24" i="3" s="1"/>
  <c r="Y26" i="3" s="1"/>
  <c r="Y28" i="3" s="1"/>
  <c r="Y30" i="3" s="1"/>
  <c r="Y32" i="3" s="1"/>
  <c r="Y36" i="3" s="1"/>
  <c r="Y38" i="3" s="1"/>
  <c r="Y40" i="3" s="1"/>
  <c r="Y42" i="3" s="1"/>
  <c r="Y44" i="3" s="1"/>
  <c r="Y46" i="3" s="1"/>
  <c r="Y48" i="3" s="1"/>
  <c r="Y50" i="3" s="1"/>
  <c r="Y54" i="3" s="1"/>
  <c r="Y56" i="3" s="1"/>
  <c r="Y58" i="3" s="1"/>
  <c r="Y60" i="3" s="1"/>
  <c r="Y62" i="3" s="1"/>
  <c r="Y64" i="3" s="1"/>
  <c r="Y66" i="3" s="1"/>
  <c r="Y68" i="3" s="1"/>
  <c r="Y72" i="3" s="1"/>
  <c r="Y74" i="3" s="1"/>
  <c r="Y76" i="3" s="1"/>
  <c r="Y78" i="3" s="1"/>
  <c r="Y80" i="3" s="1"/>
  <c r="Y82" i="3" s="1"/>
  <c r="Y84" i="3" s="1"/>
  <c r="Y86" i="3" s="1"/>
  <c r="Y88" i="3" s="1"/>
  <c r="Y92" i="3" s="1"/>
  <c r="Y94" i="3" s="1"/>
  <c r="Y96" i="3" s="1"/>
  <c r="Y98" i="3" s="1"/>
  <c r="Y100" i="3" s="1"/>
  <c r="Y102" i="3" s="1"/>
  <c r="Y104" i="3" s="1"/>
  <c r="Y106" i="3" s="1"/>
  <c r="Y110" i="3" s="1"/>
  <c r="Y112" i="3" s="1"/>
  <c r="Y114" i="3" s="1"/>
  <c r="Y115" i="3" s="1"/>
  <c r="Y116" i="3" s="1"/>
  <c r="Y117" i="3" s="1"/>
  <c r="Y119" i="3" s="1"/>
  <c r="Y120" i="3" s="1"/>
  <c r="Y121" i="3" s="1"/>
  <c r="Y122" i="3" s="1"/>
  <c r="Y124" i="3" s="1"/>
  <c r="Y125" i="3" s="1"/>
  <c r="Y126" i="3" s="1"/>
  <c r="Y127" i="3" s="1"/>
  <c r="Y129" i="3" s="1"/>
  <c r="Y130" i="3" s="1"/>
  <c r="Y131" i="3" s="1"/>
  <c r="Y133" i="3" s="1"/>
  <c r="Y134" i="3" s="1"/>
  <c r="Y135" i="3" s="1"/>
  <c r="Y136" i="3" s="1"/>
  <c r="K10" i="3"/>
  <c r="K12" i="3" s="1"/>
  <c r="K14" i="3" s="1"/>
  <c r="K16" i="3" s="1"/>
  <c r="K18" i="3" s="1"/>
  <c r="K20" i="3" s="1"/>
  <c r="K22" i="3" s="1"/>
  <c r="K24" i="3" s="1"/>
  <c r="K26" i="3" s="1"/>
  <c r="K28" i="3" s="1"/>
  <c r="K30" i="3" s="1"/>
  <c r="K32" i="3" s="1"/>
  <c r="K34" i="3" s="1"/>
  <c r="K36" i="3" s="1"/>
  <c r="K38" i="3" s="1"/>
  <c r="K40" i="3" s="1"/>
  <c r="K42" i="3" s="1"/>
  <c r="K44" i="3" s="1"/>
  <c r="K46" i="3" s="1"/>
  <c r="K48" i="3" s="1"/>
  <c r="K50" i="3" s="1"/>
  <c r="K52" i="3" s="1"/>
  <c r="K54" i="3" s="1"/>
  <c r="K56" i="3" s="1"/>
  <c r="K58" i="3" s="1"/>
  <c r="K60" i="3" s="1"/>
  <c r="K62" i="3" s="1"/>
  <c r="K64" i="3" s="1"/>
  <c r="K66" i="3" s="1"/>
  <c r="K68" i="3" s="1"/>
  <c r="K70" i="3" s="1"/>
  <c r="K72" i="3" s="1"/>
  <c r="K74" i="3" s="1"/>
  <c r="K76" i="3" s="1"/>
  <c r="K78" i="3" s="1"/>
  <c r="K80" i="3" s="1"/>
  <c r="K82" i="3" s="1"/>
  <c r="K84" i="3" s="1"/>
  <c r="K86" i="3" s="1"/>
  <c r="K88" i="3" s="1"/>
  <c r="K90" i="3" s="1"/>
  <c r="K92" i="3" s="1"/>
  <c r="K94" i="3" s="1"/>
  <c r="K96" i="3" s="1"/>
  <c r="K98" i="3" s="1"/>
  <c r="K100" i="3" s="1"/>
  <c r="K102" i="3" s="1"/>
  <c r="K104" i="3" s="1"/>
  <c r="K105" i="3" s="1"/>
  <c r="K106" i="3" s="1"/>
  <c r="K107" i="3" s="1"/>
  <c r="K108" i="3" s="1"/>
  <c r="K109" i="3" s="1"/>
  <c r="K111" i="3" s="1"/>
  <c r="K112" i="3" s="1"/>
  <c r="K113" i="3" s="1"/>
  <c r="K114" i="3" s="1"/>
  <c r="K115" i="3" s="1"/>
  <c r="K116" i="3" s="1"/>
  <c r="K117" i="3" s="1"/>
  <c r="K118" i="3" s="1"/>
  <c r="K119" i="3" s="1"/>
  <c r="K120" i="3" s="1"/>
  <c r="K121" i="3" s="1"/>
  <c r="K122" i="3" s="1"/>
  <c r="K123" i="3" s="1"/>
  <c r="K124" i="3" s="1"/>
  <c r="K9" i="3"/>
  <c r="K11" i="3" s="1"/>
  <c r="K13" i="3" s="1"/>
  <c r="K15" i="3" s="1"/>
  <c r="K17" i="3" s="1"/>
  <c r="K19" i="3" s="1"/>
  <c r="K21" i="3" s="1"/>
  <c r="K23" i="3" s="1"/>
  <c r="K25" i="3" s="1"/>
  <c r="K27" i="3" s="1"/>
  <c r="K29" i="3" s="1"/>
  <c r="K31" i="3" s="1"/>
  <c r="K33" i="3" s="1"/>
  <c r="K35" i="3" s="1"/>
  <c r="K37" i="3" s="1"/>
  <c r="K39" i="3" s="1"/>
  <c r="K41" i="3" s="1"/>
  <c r="K43" i="3" s="1"/>
  <c r="K45" i="3" s="1"/>
  <c r="K47" i="3" s="1"/>
  <c r="K49" i="3" s="1"/>
  <c r="K51" i="3" s="1"/>
  <c r="K53" i="3" s="1"/>
  <c r="K55" i="3" s="1"/>
  <c r="K57" i="3" s="1"/>
  <c r="K59" i="3" s="1"/>
  <c r="K61" i="3" s="1"/>
  <c r="K65" i="3" s="1"/>
  <c r="K67" i="3" s="1"/>
  <c r="K69" i="3" s="1"/>
  <c r="K71" i="3" s="1"/>
  <c r="K73" i="3" s="1"/>
  <c r="K75" i="3" s="1"/>
  <c r="K77" i="3" s="1"/>
  <c r="K79" i="3" s="1"/>
  <c r="K81" i="3" s="1"/>
  <c r="K83" i="3" s="1"/>
  <c r="K85" i="3" s="1"/>
  <c r="K87" i="3" s="1"/>
  <c r="K89" i="3" s="1"/>
  <c r="K91" i="3" s="1"/>
  <c r="K93" i="3" s="1"/>
  <c r="K95" i="3" s="1"/>
  <c r="K97" i="3" s="1"/>
  <c r="K99" i="3" s="1"/>
  <c r="K101" i="3" s="1"/>
  <c r="K103" i="3" s="1"/>
  <c r="K8" i="3"/>
  <c r="K7" i="3"/>
  <c r="CB6" i="3"/>
  <c r="CB7" i="3" s="1"/>
  <c r="CB8" i="3" s="1"/>
  <c r="CB9" i="3" s="1"/>
  <c r="CB11" i="3" s="1"/>
  <c r="CB12" i="3" s="1"/>
  <c r="CB13" i="3" s="1"/>
  <c r="CB14" i="3" s="1"/>
  <c r="CB15" i="3" s="1"/>
  <c r="CB16" i="3" s="1"/>
  <c r="CB17" i="3" s="1"/>
  <c r="CB18" i="3" s="1"/>
  <c r="CB19" i="3" s="1"/>
  <c r="CB21" i="3" s="1"/>
  <c r="CB22" i="3" s="1"/>
  <c r="CB23" i="3" s="1"/>
  <c r="CB24" i="3" s="1"/>
  <c r="CB25" i="3" s="1"/>
  <c r="CB26" i="3" s="1"/>
  <c r="CB27" i="3" s="1"/>
  <c r="CB28" i="3" s="1"/>
  <c r="CB29" i="3" s="1"/>
  <c r="CB31" i="3" s="1"/>
  <c r="CB32" i="3" s="1"/>
  <c r="CB33" i="3" s="1"/>
  <c r="CB34" i="3" s="1"/>
  <c r="CB35" i="3" s="1"/>
  <c r="CB36" i="3" s="1"/>
  <c r="CB37" i="3" s="1"/>
  <c r="CB38" i="3" s="1"/>
  <c r="CB40" i="3" s="1"/>
  <c r="CB41" i="3" s="1"/>
  <c r="CB42" i="3" s="1"/>
  <c r="CB43" i="3" s="1"/>
  <c r="CB44" i="3" s="1"/>
  <c r="CB45" i="3" s="1"/>
  <c r="CB46" i="3" s="1"/>
  <c r="CB47" i="3" s="1"/>
  <c r="CB48" i="3" s="1"/>
  <c r="CB50" i="3" s="1"/>
  <c r="CB51" i="3" s="1"/>
  <c r="CB52" i="3" s="1"/>
  <c r="CB53" i="3" s="1"/>
  <c r="CB54" i="3" s="1"/>
  <c r="CB55" i="3" s="1"/>
  <c r="CB56" i="3" s="1"/>
  <c r="CB57" i="3" s="1"/>
  <c r="CB58" i="3" s="1"/>
  <c r="CB59" i="3" s="1"/>
  <c r="CB60" i="3" s="1"/>
  <c r="CB61" i="3" s="1"/>
  <c r="CB62" i="3" s="1"/>
  <c r="CB64" i="3" s="1"/>
  <c r="CB65" i="3" s="1"/>
  <c r="CB66" i="3" s="1"/>
  <c r="CB67" i="3" s="1"/>
  <c r="CB68" i="3" s="1"/>
  <c r="CB70" i="3" s="1"/>
  <c r="CB71" i="3" s="1"/>
  <c r="CB5" i="3"/>
  <c r="BN5" i="3"/>
  <c r="BN6" i="3" s="1"/>
  <c r="BN7" i="3" s="1"/>
  <c r="BN9" i="3" s="1"/>
  <c r="BN10" i="3" s="1"/>
  <c r="BN11" i="3" s="1"/>
  <c r="BN12" i="3" s="1"/>
  <c r="BN13" i="3" s="1"/>
  <c r="BN14" i="3" s="1"/>
  <c r="BN15" i="3" s="1"/>
  <c r="BN16" i="3" s="1"/>
  <c r="BN17" i="3" s="1"/>
  <c r="BN18" i="3" s="1"/>
  <c r="BN19" i="3" s="1"/>
  <c r="BN20" i="3" s="1"/>
  <c r="BN21" i="3" s="1"/>
  <c r="BN22" i="3" s="1"/>
  <c r="BN24" i="3" s="1"/>
  <c r="BN25" i="3" s="1"/>
  <c r="BN26" i="3" s="1"/>
  <c r="BN27" i="3" s="1"/>
  <c r="BN28" i="3" s="1"/>
  <c r="BN29" i="3" s="1"/>
  <c r="BN30" i="3" s="1"/>
  <c r="BN31" i="3" s="1"/>
  <c r="BN32" i="3" s="1"/>
  <c r="BN33" i="3" s="1"/>
  <c r="BN34" i="3" s="1"/>
  <c r="BN35" i="3" s="1"/>
  <c r="BN36" i="3" s="1"/>
  <c r="BN37" i="3" s="1"/>
  <c r="BN39" i="3" s="1"/>
  <c r="BN40" i="3" s="1"/>
  <c r="BN41" i="3" s="1"/>
  <c r="BN42" i="3" s="1"/>
  <c r="BN43" i="3" s="1"/>
  <c r="BN44" i="3" s="1"/>
  <c r="BN45" i="3" s="1"/>
  <c r="BN46" i="3" s="1"/>
  <c r="BN47" i="3" s="1"/>
  <c r="BN48" i="3" s="1"/>
  <c r="BN49" i="3" s="1"/>
  <c r="BN52" i="3" s="1"/>
  <c r="BN55" i="3" s="1"/>
  <c r="BN57" i="3" s="1"/>
  <c r="X8" i="3"/>
  <c r="X10" i="3" s="1"/>
  <c r="X12" i="3" s="1"/>
  <c r="X14" i="3" s="1"/>
  <c r="X16" i="3" s="1"/>
  <c r="X18" i="3" s="1"/>
  <c r="X20" i="3" s="1"/>
  <c r="X22" i="3" s="1"/>
  <c r="X24" i="3" s="1"/>
  <c r="X26" i="3" s="1"/>
  <c r="X30" i="3" s="1"/>
  <c r="X32" i="3" s="1"/>
  <c r="X34" i="3" s="1"/>
  <c r="X36" i="3" s="1"/>
  <c r="X38" i="3" s="1"/>
  <c r="X40" i="3" s="1"/>
  <c r="X42" i="3" s="1"/>
  <c r="X44" i="3" s="1"/>
  <c r="X46" i="3" s="1"/>
  <c r="X48" i="3" s="1"/>
  <c r="X52" i="3" s="1"/>
  <c r="X54" i="3" s="1"/>
  <c r="X56" i="3" s="1"/>
  <c r="X58" i="3" s="1"/>
  <c r="X60" i="3" s="1"/>
  <c r="X62" i="3" s="1"/>
  <c r="X64" i="3" s="1"/>
  <c r="X66" i="3" s="1"/>
  <c r="X68" i="3" s="1"/>
  <c r="X70" i="3" s="1"/>
  <c r="X72" i="3" s="1"/>
  <c r="X76" i="3" s="1"/>
  <c r="X78" i="3" s="1"/>
  <c r="X80" i="3" s="1"/>
  <c r="X82" i="3" s="1"/>
  <c r="X84" i="3" s="1"/>
  <c r="X86" i="3" s="1"/>
  <c r="X88" i="3" s="1"/>
  <c r="X90" i="3" s="1"/>
  <c r="X92" i="3" s="1"/>
  <c r="X94" i="3" s="1"/>
  <c r="X98" i="3" s="1"/>
  <c r="X100" i="3" s="1"/>
  <c r="X102" i="3" s="1"/>
  <c r="X104" i="3" s="1"/>
  <c r="X106" i="3" s="1"/>
  <c r="X108" i="3" s="1"/>
  <c r="X110" i="3" s="1"/>
  <c r="X112" i="3" s="1"/>
  <c r="X114" i="3" s="1"/>
  <c r="X115" i="3" s="1"/>
  <c r="X116" i="3" s="1"/>
  <c r="X117" i="3" s="1"/>
  <c r="X118" i="3" s="1"/>
  <c r="X120" i="3" s="1"/>
  <c r="X121" i="3" s="1"/>
  <c r="X122" i="3" s="1"/>
  <c r="X123" i="3" s="1"/>
  <c r="X124" i="3" s="1"/>
  <c r="X126" i="3" s="1"/>
  <c r="X127" i="3" s="1"/>
  <c r="X128" i="3" s="1"/>
  <c r="X129" i="3" s="1"/>
  <c r="X130" i="3" s="1"/>
  <c r="X132" i="3" s="1"/>
  <c r="X133" i="3" s="1"/>
  <c r="X134" i="3" s="1"/>
  <c r="X135" i="3" s="1"/>
  <c r="X7" i="3"/>
  <c r="X9" i="3" s="1"/>
  <c r="X11" i="3" s="1"/>
  <c r="X13" i="3" s="1"/>
  <c r="X17" i="3" s="1"/>
  <c r="X19" i="3" s="1"/>
  <c r="X21" i="3" s="1"/>
  <c r="X23" i="3" s="1"/>
  <c r="X25" i="3" s="1"/>
  <c r="X27" i="3" s="1"/>
  <c r="X29" i="3" s="1"/>
  <c r="X31" i="3" s="1"/>
  <c r="X33" i="3" s="1"/>
  <c r="X35" i="3" s="1"/>
  <c r="X37" i="3" s="1"/>
  <c r="X41" i="3" s="1"/>
  <c r="X43" i="3" s="1"/>
  <c r="X45" i="3" s="1"/>
  <c r="X47" i="3" s="1"/>
  <c r="X49" i="3" s="1"/>
  <c r="X51" i="3" s="1"/>
  <c r="X53" i="3" s="1"/>
  <c r="X55" i="3" s="1"/>
  <c r="X57" i="3" s="1"/>
  <c r="X59" i="3" s="1"/>
  <c r="X63" i="3" s="1"/>
  <c r="X65" i="3" s="1"/>
  <c r="X67" i="3" s="1"/>
  <c r="X69" i="3" s="1"/>
  <c r="X71" i="3" s="1"/>
  <c r="X73" i="3" s="1"/>
  <c r="X75" i="3" s="1"/>
  <c r="X77" i="3" s="1"/>
  <c r="X79" i="3" s="1"/>
  <c r="X81" i="3" s="1"/>
  <c r="X83" i="3" s="1"/>
  <c r="X87" i="3" s="1"/>
  <c r="X89" i="3" s="1"/>
  <c r="X91" i="3" s="1"/>
  <c r="X93" i="3" s="1"/>
  <c r="X95" i="3" s="1"/>
  <c r="X97" i="3" s="1"/>
  <c r="X99" i="3" s="1"/>
  <c r="X101" i="3" s="1"/>
  <c r="X103" i="3" s="1"/>
  <c r="X105" i="3" s="1"/>
  <c r="X107" i="3" s="1"/>
  <c r="X111" i="3" s="1"/>
  <c r="X113" i="3" s="1"/>
  <c r="J8" i="3"/>
  <c r="J10" i="3" s="1"/>
  <c r="J12" i="3" s="1"/>
  <c r="J14" i="3" s="1"/>
  <c r="J16" i="3" s="1"/>
  <c r="J18" i="3" s="1"/>
  <c r="J20" i="3" s="1"/>
  <c r="J22" i="3" s="1"/>
  <c r="J24" i="3" s="1"/>
  <c r="J26" i="3" s="1"/>
  <c r="J28" i="3" s="1"/>
  <c r="J30" i="3" s="1"/>
  <c r="J32" i="3" s="1"/>
  <c r="J34" i="3" s="1"/>
  <c r="J36" i="3" s="1"/>
  <c r="J38" i="3" s="1"/>
  <c r="J42" i="3" s="1"/>
  <c r="J44" i="3" s="1"/>
  <c r="J46" i="3" s="1"/>
  <c r="J48" i="3" s="1"/>
  <c r="J50" i="3" s="1"/>
  <c r="J52" i="3" s="1"/>
  <c r="J54" i="3" s="1"/>
  <c r="J56" i="3" s="1"/>
  <c r="J58" i="3" s="1"/>
  <c r="J60" i="3" s="1"/>
  <c r="J62" i="3" s="1"/>
  <c r="J64" i="3" s="1"/>
  <c r="J66" i="3" s="1"/>
  <c r="J68" i="3" s="1"/>
  <c r="J70" i="3" s="1"/>
  <c r="J72" i="3" s="1"/>
  <c r="J74" i="3" s="1"/>
  <c r="J76" i="3" s="1"/>
  <c r="J78" i="3" s="1"/>
  <c r="J80" i="3" s="1"/>
  <c r="J82" i="3" s="1"/>
  <c r="J84" i="3" s="1"/>
  <c r="J86" i="3" s="1"/>
  <c r="J88" i="3" s="1"/>
  <c r="J92" i="3" s="1"/>
  <c r="J94" i="3" s="1"/>
  <c r="J96" i="3" s="1"/>
  <c r="J98" i="3" s="1"/>
  <c r="J100" i="3" s="1"/>
  <c r="J102" i="3" s="1"/>
  <c r="J104" i="3" s="1"/>
  <c r="J7" i="3"/>
  <c r="J9" i="3" s="1"/>
  <c r="J11" i="3" s="1"/>
  <c r="J13" i="3" s="1"/>
  <c r="J17" i="3" s="1"/>
  <c r="J19" i="3" s="1"/>
  <c r="J21" i="3" s="1"/>
  <c r="J23" i="3" s="1"/>
  <c r="J25" i="3" s="1"/>
  <c r="J27" i="3" s="1"/>
  <c r="J29" i="3" s="1"/>
  <c r="J31" i="3" s="1"/>
  <c r="J33" i="3" s="1"/>
  <c r="J35" i="3" s="1"/>
  <c r="J37" i="3" s="1"/>
  <c r="J39" i="3" s="1"/>
  <c r="J41" i="3" s="1"/>
  <c r="J43" i="3" s="1"/>
  <c r="J45" i="3" s="1"/>
  <c r="J47" i="3" s="1"/>
  <c r="J49" i="3" s="1"/>
  <c r="J51" i="3" s="1"/>
  <c r="J53" i="3" s="1"/>
  <c r="J55" i="3" s="1"/>
  <c r="J57" i="3" s="1"/>
  <c r="J59" i="3" s="1"/>
  <c r="J61" i="3" s="1"/>
  <c r="J63" i="3" s="1"/>
  <c r="J67" i="3" s="1"/>
  <c r="J69" i="3" s="1"/>
  <c r="J71" i="3" s="1"/>
  <c r="J73" i="3" s="1"/>
  <c r="J75" i="3" s="1"/>
  <c r="J77" i="3" s="1"/>
  <c r="J79" i="3" s="1"/>
  <c r="J81" i="3" s="1"/>
  <c r="J83" i="3" s="1"/>
  <c r="J85" i="3" s="1"/>
  <c r="J87" i="3" s="1"/>
  <c r="J89" i="3" s="1"/>
  <c r="J91" i="3" s="1"/>
  <c r="J93" i="3" s="1"/>
  <c r="J95" i="3" s="1"/>
  <c r="J97" i="3" s="1"/>
  <c r="J99" i="3" s="1"/>
  <c r="J101" i="3" s="1"/>
  <c r="J105" i="3" s="1"/>
  <c r="J106" i="3" s="1"/>
  <c r="J107" i="3" s="1"/>
  <c r="J108" i="3" s="1"/>
  <c r="J109" i="3" s="1"/>
  <c r="J110" i="3" s="1"/>
  <c r="J111" i="3" s="1"/>
  <c r="J112" i="3" s="1"/>
  <c r="J113" i="3" s="1"/>
  <c r="J114" i="3" s="1"/>
  <c r="J115" i="3" s="1"/>
  <c r="J116" i="3" s="1"/>
  <c r="J117" i="3" s="1"/>
  <c r="J118" i="3" s="1"/>
  <c r="J119" i="3" s="1"/>
  <c r="J120" i="3" s="1"/>
  <c r="J121" i="3" s="1"/>
  <c r="J122" i="3" s="1"/>
  <c r="J6" i="3"/>
  <c r="V110" i="3"/>
  <c r="V111" i="3" s="1"/>
  <c r="V112" i="3" s="1"/>
  <c r="V113" i="3" s="1"/>
  <c r="V114" i="3" s="1"/>
  <c r="V115" i="3" s="1"/>
  <c r="V116" i="3" s="1"/>
  <c r="V117" i="3" s="1"/>
  <c r="V118" i="3" s="1"/>
  <c r="V119" i="3" s="1"/>
  <c r="V120" i="3" s="1"/>
  <c r="V121" i="3" s="1"/>
  <c r="V122" i="3" s="1"/>
  <c r="V123" i="3" s="1"/>
  <c r="V124" i="3" s="1"/>
  <c r="V125" i="3" s="1"/>
  <c r="V126" i="3" s="1"/>
  <c r="V127" i="3" s="1"/>
  <c r="CA5" i="3" l="1"/>
  <c r="CA6" i="3" s="1"/>
  <c r="CA7" i="3" s="1"/>
  <c r="CA8" i="3" s="1"/>
  <c r="CA9" i="3" s="1"/>
  <c r="CA10" i="3" s="1"/>
  <c r="CA11" i="3" s="1"/>
  <c r="CA12" i="3" s="1"/>
  <c r="CA14" i="3" s="1"/>
  <c r="CA15" i="3" s="1"/>
  <c r="CA16" i="3" s="1"/>
  <c r="CA17" i="3" s="1"/>
  <c r="CA18" i="3" s="1"/>
  <c r="CA19" i="3" s="1"/>
  <c r="CA20" i="3" s="1"/>
  <c r="CA21" i="3" s="1"/>
  <c r="CA22" i="3" s="1"/>
  <c r="CA23" i="3" s="1"/>
  <c r="CA24" i="3" s="1"/>
  <c r="CA25" i="3" s="1"/>
  <c r="CA26" i="3" s="1"/>
  <c r="CA27" i="3" s="1"/>
  <c r="CA28" i="3" s="1"/>
  <c r="CA29" i="3" s="1"/>
  <c r="CA30" i="3" s="1"/>
  <c r="CA31" i="3" s="1"/>
  <c r="CA32" i="3" s="1"/>
  <c r="CA33" i="3" s="1"/>
  <c r="CA34" i="3" s="1"/>
  <c r="CA35" i="3" s="1"/>
  <c r="CA36" i="3" s="1"/>
  <c r="CA37" i="3" s="1"/>
  <c r="CA38" i="3" s="1"/>
  <c r="CA39" i="3" s="1"/>
  <c r="CA40" i="3" s="1"/>
  <c r="CA41" i="3" s="1"/>
  <c r="CA42" i="3" s="1"/>
  <c r="CA43" i="3" s="1"/>
  <c r="CA44" i="3" s="1"/>
  <c r="CA45" i="3" s="1"/>
  <c r="CA46" i="3" s="1"/>
  <c r="CA47" i="3" s="1"/>
  <c r="CA48" i="3" s="1"/>
  <c r="CA49" i="3" s="1"/>
  <c r="CA50" i="3" s="1"/>
  <c r="CA51" i="3" s="1"/>
  <c r="CA52" i="3" s="1"/>
  <c r="CA53" i="3" s="1"/>
  <c r="CA54" i="3" s="1"/>
  <c r="CA55" i="3" s="1"/>
  <c r="CA56" i="3" s="1"/>
  <c r="CA57" i="3" s="1"/>
  <c r="CA59" i="3" s="1"/>
  <c r="CA60" i="3" s="1"/>
  <c r="CA62" i="3" s="1"/>
  <c r="CA63" i="3" s="1"/>
  <c r="CA65" i="3" s="1"/>
  <c r="CA66" i="3" s="1"/>
  <c r="CA68" i="3" s="1"/>
  <c r="CA69" i="3" s="1"/>
  <c r="BM7" i="3"/>
  <c r="BM8" i="3" s="1"/>
  <c r="BM9" i="3" s="1"/>
  <c r="BM10" i="3" s="1"/>
  <c r="BM11" i="3" s="1"/>
  <c r="BM13" i="3" s="1"/>
  <c r="BM14" i="3" s="1"/>
  <c r="BM15" i="3" s="1"/>
  <c r="BM16" i="3" s="1"/>
  <c r="BM17" i="3" s="1"/>
  <c r="BM19" i="3" s="1"/>
  <c r="BM20" i="3" s="1"/>
  <c r="BM21" i="3" s="1"/>
  <c r="BM22" i="3" s="1"/>
  <c r="BM24" i="3" s="1"/>
  <c r="BM25" i="3" s="1"/>
  <c r="BM26" i="3" s="1"/>
  <c r="BM27" i="3" s="1"/>
  <c r="BM28" i="3" s="1"/>
  <c r="BM30" i="3" s="1"/>
  <c r="BM31" i="3" s="1"/>
  <c r="BM32" i="3" s="1"/>
  <c r="BM33" i="3" s="1"/>
  <c r="BM34" i="3" s="1"/>
  <c r="BM36" i="3" s="1"/>
  <c r="BM37" i="3" s="1"/>
  <c r="BM38" i="3" s="1"/>
  <c r="BM39" i="3" s="1"/>
  <c r="BM40" i="3" s="1"/>
  <c r="BM42" i="3" s="1"/>
  <c r="BM43" i="3" s="1"/>
  <c r="BM44" i="3" s="1"/>
  <c r="BM45" i="3" s="1"/>
  <c r="BM47" i="3" s="1"/>
  <c r="BM48" i="3" s="1"/>
  <c r="W7" i="3"/>
  <c r="W9" i="3" s="1"/>
  <c r="W11" i="3" s="1"/>
  <c r="W13" i="3" s="1"/>
  <c r="W15" i="3" s="1"/>
  <c r="W17" i="3" s="1"/>
  <c r="W19" i="3" s="1"/>
  <c r="W21" i="3" s="1"/>
  <c r="W23" i="3" s="1"/>
  <c r="W25" i="3" s="1"/>
  <c r="W27" i="3" s="1"/>
  <c r="W29" i="3" s="1"/>
  <c r="W31" i="3" s="1"/>
  <c r="W33" i="3" s="1"/>
  <c r="W35" i="3" s="1"/>
  <c r="W37" i="3" s="1"/>
  <c r="W39" i="3" s="1"/>
  <c r="W41" i="3" s="1"/>
  <c r="W43" i="3" s="1"/>
  <c r="W45" i="3" s="1"/>
  <c r="W47" i="3" s="1"/>
  <c r="W49" i="3" s="1"/>
  <c r="W51" i="3" s="1"/>
  <c r="W53" i="3" s="1"/>
  <c r="W55" i="3" s="1"/>
  <c r="W57" i="3" s="1"/>
  <c r="W59" i="3" s="1"/>
  <c r="W61" i="3" s="1"/>
  <c r="W63" i="3" s="1"/>
  <c r="W65" i="3" s="1"/>
  <c r="W67" i="3" s="1"/>
  <c r="W69" i="3" s="1"/>
  <c r="W71" i="3" s="1"/>
  <c r="W73" i="3" s="1"/>
  <c r="W75" i="3" s="1"/>
  <c r="W77" i="3" s="1"/>
  <c r="W79" i="3" s="1"/>
  <c r="W81" i="3" s="1"/>
  <c r="W83" i="3" s="1"/>
  <c r="W85" i="3" s="1"/>
  <c r="W87" i="3" s="1"/>
  <c r="W89" i="3" s="1"/>
  <c r="W91" i="3" s="1"/>
  <c r="W93" i="3" s="1"/>
  <c r="W95" i="3" s="1"/>
  <c r="W97" i="3" s="1"/>
  <c r="W99" i="3" s="1"/>
  <c r="W101" i="3" s="1"/>
  <c r="W103" i="3" s="1"/>
  <c r="W105" i="3" s="1"/>
  <c r="W107" i="3" s="1"/>
  <c r="W109" i="3" s="1"/>
  <c r="W113" i="3" s="1"/>
  <c r="W114" i="3" s="1"/>
  <c r="W115" i="3" s="1"/>
  <c r="W116" i="3" s="1"/>
  <c r="W117" i="3" s="1"/>
  <c r="W118" i="3" s="1"/>
  <c r="W119" i="3" s="1"/>
  <c r="W120" i="3" s="1"/>
  <c r="W122" i="3" s="1"/>
  <c r="W123" i="3" s="1"/>
  <c r="W124" i="3" s="1"/>
  <c r="W125" i="3" s="1"/>
  <c r="W126" i="3" s="1"/>
  <c r="W127" i="3" s="1"/>
  <c r="W128" i="3" s="1"/>
  <c r="W129" i="3" s="1"/>
  <c r="W130" i="3" s="1"/>
  <c r="W132" i="3" s="1"/>
  <c r="W6" i="3"/>
  <c r="W8" i="3" s="1"/>
  <c r="W10" i="3" s="1"/>
  <c r="W12" i="3" s="1"/>
  <c r="W14" i="3" s="1"/>
  <c r="W16" i="3" s="1"/>
  <c r="W18" i="3" s="1"/>
  <c r="W20" i="3" s="1"/>
  <c r="W22" i="3" s="1"/>
  <c r="W24" i="3" s="1"/>
  <c r="W26" i="3" s="1"/>
  <c r="W28" i="3" s="1"/>
  <c r="W30" i="3" s="1"/>
  <c r="W32" i="3" s="1"/>
  <c r="W34" i="3" s="1"/>
  <c r="W36" i="3" s="1"/>
  <c r="W38" i="3" s="1"/>
  <c r="W40" i="3" s="1"/>
  <c r="W42" i="3" s="1"/>
  <c r="W44" i="3" s="1"/>
  <c r="W46" i="3" s="1"/>
  <c r="W48" i="3" s="1"/>
  <c r="W50" i="3" s="1"/>
  <c r="W52" i="3" s="1"/>
  <c r="W54" i="3" s="1"/>
  <c r="W56" i="3" s="1"/>
  <c r="W58" i="3" s="1"/>
  <c r="W60" i="3" s="1"/>
  <c r="W62" i="3" s="1"/>
  <c r="W64" i="3" s="1"/>
  <c r="W66" i="3" s="1"/>
  <c r="W68" i="3" s="1"/>
  <c r="W70" i="3" s="1"/>
  <c r="W72" i="3" s="1"/>
  <c r="W74" i="3" s="1"/>
  <c r="W76" i="3" s="1"/>
  <c r="W78" i="3" s="1"/>
  <c r="W80" i="3" s="1"/>
  <c r="W82" i="3" s="1"/>
  <c r="W84" i="3" s="1"/>
  <c r="W86" i="3" s="1"/>
  <c r="W88" i="3" s="1"/>
  <c r="W90" i="3" s="1"/>
  <c r="W92" i="3" s="1"/>
  <c r="W94" i="3" s="1"/>
  <c r="W96" i="3" s="1"/>
  <c r="W98" i="3" s="1"/>
  <c r="W100" i="3" s="1"/>
  <c r="W102" i="3" s="1"/>
  <c r="W104" i="3" s="1"/>
  <c r="W106" i="3" s="1"/>
  <c r="W108" i="3" s="1"/>
  <c r="W110" i="3" s="1"/>
  <c r="W112" i="3" s="1"/>
  <c r="I102" i="3"/>
  <c r="I103" i="3" s="1"/>
  <c r="I104" i="3" s="1"/>
  <c r="I105" i="3" s="1"/>
  <c r="I106" i="3" s="1"/>
  <c r="I107" i="3" s="1"/>
  <c r="I108" i="3" s="1"/>
  <c r="I110" i="3" s="1"/>
  <c r="I111" i="3" s="1"/>
  <c r="I112" i="3" s="1"/>
  <c r="I113" i="3" s="1"/>
  <c r="I114" i="3" s="1"/>
  <c r="I115" i="3" s="1"/>
  <c r="I116" i="3" s="1"/>
  <c r="I117" i="3" s="1"/>
  <c r="I118" i="3" s="1"/>
  <c r="I119" i="3" s="1"/>
  <c r="I120" i="3" s="1"/>
  <c r="I121" i="3" s="1"/>
  <c r="I33" i="3"/>
  <c r="I35" i="3" s="1"/>
  <c r="I37" i="3" s="1"/>
  <c r="I41" i="3" s="1"/>
  <c r="I43" i="3" s="1"/>
  <c r="I45" i="3" s="1"/>
  <c r="I47" i="3" s="1"/>
  <c r="I49" i="3" s="1"/>
  <c r="I51" i="3" s="1"/>
  <c r="I53" i="3" s="1"/>
  <c r="I57" i="3" s="1"/>
  <c r="I59" i="3" s="1"/>
  <c r="I61" i="3" s="1"/>
  <c r="I63" i="3" s="1"/>
  <c r="I65" i="3" s="1"/>
  <c r="I67" i="3" s="1"/>
  <c r="I69" i="3" s="1"/>
  <c r="I73" i="3" s="1"/>
  <c r="I75" i="3" s="1"/>
  <c r="I77" i="3" s="1"/>
  <c r="I79" i="3" s="1"/>
  <c r="I81" i="3" s="1"/>
  <c r="I83" i="3" s="1"/>
  <c r="I85" i="3" s="1"/>
  <c r="I89" i="3" s="1"/>
  <c r="I91" i="3" s="1"/>
  <c r="I93" i="3" s="1"/>
  <c r="I95" i="3" s="1"/>
  <c r="I97" i="3" s="1"/>
  <c r="I99" i="3" s="1"/>
  <c r="I32" i="3"/>
  <c r="I34" i="3" s="1"/>
  <c r="I36" i="3" s="1"/>
  <c r="I38" i="3" s="1"/>
  <c r="I40" i="3" s="1"/>
  <c r="I42" i="3" s="1"/>
  <c r="I44" i="3" s="1"/>
  <c r="I48" i="3" s="1"/>
  <c r="I50" i="3" s="1"/>
  <c r="I52" i="3" s="1"/>
  <c r="I54" i="3" s="1"/>
  <c r="I56" i="3" s="1"/>
  <c r="I58" i="3" s="1"/>
  <c r="I60" i="3" s="1"/>
  <c r="I64" i="3" s="1"/>
  <c r="I66" i="3" s="1"/>
  <c r="I68" i="3" s="1"/>
  <c r="I70" i="3" s="1"/>
  <c r="I72" i="3" s="1"/>
  <c r="I74" i="3" s="1"/>
  <c r="I76" i="3" s="1"/>
  <c r="I80" i="3" s="1"/>
  <c r="I82" i="3" s="1"/>
  <c r="I84" i="3" s="1"/>
  <c r="I86" i="3" s="1"/>
  <c r="I88" i="3" s="1"/>
  <c r="I90" i="3" s="1"/>
  <c r="I92" i="3" s="1"/>
  <c r="I96" i="3" s="1"/>
  <c r="I98" i="3" s="1"/>
  <c r="I100" i="3" s="1"/>
  <c r="BZ10" i="3"/>
  <c r="BZ11" i="3" s="1"/>
  <c r="BZ12" i="3" s="1"/>
  <c r="BL48" i="3"/>
  <c r="BL49" i="3" s="1"/>
  <c r="BL50" i="3" s="1"/>
  <c r="BL51" i="3" s="1"/>
  <c r="BL52" i="3" s="1"/>
  <c r="BL53" i="3" s="1"/>
  <c r="BL54" i="3" s="1"/>
  <c r="BL55" i="3" s="1"/>
  <c r="BL8" i="3"/>
  <c r="BL9" i="3" s="1"/>
  <c r="BL11" i="3" s="1"/>
  <c r="BL13" i="3" s="1"/>
  <c r="BL14" i="3" s="1"/>
  <c r="BL16" i="3" s="1"/>
  <c r="BL17" i="3" s="1"/>
  <c r="BL19" i="3" s="1"/>
  <c r="BL21" i="3" s="1"/>
  <c r="BL22" i="3" s="1"/>
  <c r="BL24" i="3" s="1"/>
  <c r="BL25" i="3" s="1"/>
  <c r="BL27" i="3" s="1"/>
  <c r="BL29" i="3" s="1"/>
  <c r="BL30" i="3" s="1"/>
  <c r="BL32" i="3" s="1"/>
  <c r="BL33" i="3" s="1"/>
  <c r="BL35" i="3" s="1"/>
  <c r="BL37" i="3" s="1"/>
  <c r="BL38" i="3" s="1"/>
  <c r="BL40" i="3" s="1"/>
  <c r="BL41" i="3" s="1"/>
  <c r="BL43" i="3" s="1"/>
  <c r="BL45" i="3" s="1"/>
  <c r="AX27" i="3"/>
  <c r="AX6" i="3"/>
  <c r="AX9" i="3" s="1"/>
  <c r="AX11" i="3" s="1"/>
  <c r="AX13" i="3" s="1"/>
  <c r="AX15" i="3" s="1"/>
  <c r="AX18" i="3" s="1"/>
  <c r="AX20" i="3" s="1"/>
  <c r="AX22" i="3" s="1"/>
  <c r="AX25" i="3" s="1"/>
  <c r="AX26" i="3" s="1"/>
  <c r="AX30" i="3" s="1"/>
  <c r="AJ27" i="3"/>
  <c r="AJ28" i="3" s="1"/>
  <c r="AJ29" i="3" s="1"/>
  <c r="AJ30" i="3" s="1"/>
  <c r="AJ31" i="3" s="1"/>
  <c r="AJ33" i="3" s="1"/>
  <c r="AJ34" i="3" s="1"/>
  <c r="AJ35" i="3" s="1"/>
  <c r="AJ37" i="3" s="1"/>
  <c r="AJ39" i="3" s="1"/>
  <c r="AJ41" i="3" s="1"/>
  <c r="AJ26" i="3"/>
  <c r="BZ14" i="3" l="1"/>
  <c r="BZ15" i="3" s="1"/>
  <c r="BZ16" i="3" s="1"/>
  <c r="BZ18" i="3" s="1"/>
  <c r="BZ19" i="3" s="1"/>
  <c r="BZ20" i="3" s="1"/>
  <c r="BZ22" i="3" s="1"/>
  <c r="BZ23" i="3" s="1"/>
  <c r="BZ24" i="3" s="1"/>
  <c r="BZ25" i="3" s="1"/>
  <c r="BZ27" i="3" s="1"/>
  <c r="BZ28" i="3" s="1"/>
  <c r="BZ29" i="3" s="1"/>
  <c r="BZ31" i="3" s="1"/>
  <c r="BZ32" i="3" s="1"/>
  <c r="BZ33" i="3" s="1"/>
  <c r="BZ35" i="3" s="1"/>
  <c r="BZ36" i="3" s="1"/>
  <c r="BZ37" i="3" s="1"/>
  <c r="BZ39" i="3" s="1"/>
  <c r="BZ40" i="3" s="1"/>
  <c r="BZ41" i="3" s="1"/>
  <c r="BZ43" i="3" s="1"/>
  <c r="BZ44" i="3" s="1"/>
  <c r="BZ45" i="3" s="1"/>
  <c r="BZ47" i="3" s="1"/>
  <c r="BZ48" i="3" s="1"/>
  <c r="BZ49" i="3" s="1"/>
  <c r="BZ51" i="3" s="1"/>
  <c r="BZ52" i="3" s="1"/>
  <c r="BZ53" i="3" s="1"/>
  <c r="BZ55" i="3" s="1"/>
  <c r="BZ57" i="3" s="1"/>
  <c r="BZ60" i="3" s="1"/>
  <c r="BZ61" i="3" s="1"/>
  <c r="BZ62" i="3" s="1"/>
  <c r="BZ63" i="3" s="1"/>
  <c r="BZ65" i="3" s="1"/>
  <c r="BZ66" i="3" s="1"/>
  <c r="E11" i="3" l="1"/>
  <c r="E12" i="3" s="1"/>
  <c r="E13" i="3" s="1"/>
  <c r="E14" i="3" s="1"/>
  <c r="E15" i="3" s="1"/>
  <c r="B7" i="3"/>
  <c r="B6" i="3"/>
  <c r="B5" i="3"/>
  <c r="C5" i="3" s="1"/>
  <c r="B4" i="3"/>
  <c r="C4" i="3" s="1"/>
  <c r="I5" i="1"/>
  <c r="C28" i="3" l="1"/>
  <c r="C27" i="3"/>
  <c r="F11" i="3"/>
  <c r="F15" i="3"/>
  <c r="F14" i="3"/>
  <c r="F10" i="3"/>
  <c r="F12" i="3"/>
  <c r="F13" i="3"/>
  <c r="B7" i="2"/>
  <c r="B6" i="2"/>
  <c r="B5" i="2"/>
  <c r="B4" i="2"/>
  <c r="C4" i="2" s="1"/>
  <c r="C5" i="2" l="1"/>
  <c r="G22" i="1"/>
  <c r="C19" i="2"/>
  <c r="C18" i="2"/>
  <c r="C17" i="2"/>
  <c r="C16" i="2"/>
  <c r="C15" i="2"/>
  <c r="C14" i="2"/>
  <c r="C13" i="2"/>
  <c r="C12" i="2"/>
  <c r="C11" i="2"/>
  <c r="C10" i="2"/>
  <c r="D12" i="2" l="1"/>
  <c r="E11" i="1" s="1"/>
  <c r="D16" i="2"/>
  <c r="E15" i="1" s="1"/>
  <c r="D10" i="2"/>
  <c r="E9" i="1" s="1"/>
  <c r="D11" i="2"/>
  <c r="E10" i="1" s="1"/>
  <c r="D15" i="2"/>
  <c r="E14" i="1" s="1"/>
  <c r="D19" i="2"/>
  <c r="E18" i="1" s="1"/>
  <c r="D17" i="2"/>
  <c r="E16" i="1" s="1"/>
  <c r="D14" i="2"/>
  <c r="E13" i="1" s="1"/>
  <c r="D18" i="2"/>
  <c r="E17" i="1" s="1"/>
  <c r="D13" i="2"/>
  <c r="E12" i="1" s="1"/>
  <c r="E19" i="1" l="1"/>
  <c r="D23" i="1" s="1"/>
  <c r="H96" i="5"/>
  <c r="H36" i="5"/>
  <c r="H102" i="5"/>
  <c r="H99" i="5"/>
  <c r="Q87" i="5"/>
  <c r="H81" i="5"/>
  <c r="Q74" i="5"/>
  <c r="Q51" i="5"/>
  <c r="Q101" i="5"/>
  <c r="H87" i="5"/>
  <c r="H74" i="5"/>
  <c r="Q36" i="5"/>
  <c r="Q21" i="5"/>
  <c r="H101" i="5"/>
  <c r="P58" i="5"/>
  <c r="Q47" i="5"/>
  <c r="Q92" i="5"/>
  <c r="Q42" i="5"/>
  <c r="H47" i="5"/>
  <c r="Q81" i="5"/>
  <c r="Q99" i="5"/>
  <c r="H92" i="5"/>
  <c r="Q56" i="5"/>
  <c r="H42" i="5"/>
  <c r="H21" i="5"/>
  <c r="Q124" i="5"/>
  <c r="Q54" i="5"/>
  <c r="H56" i="5"/>
  <c r="Q29" i="5"/>
  <c r="H29" i="5"/>
  <c r="Q102" i="5"/>
  <c r="H124" i="5"/>
  <c r="H54" i="5"/>
  <c r="G58" i="5"/>
  <c r="H51" i="5"/>
  <c r="AB8" i="5"/>
  <c r="Q96" i="5"/>
  <c r="Q52" i="5"/>
  <c r="H22" i="5"/>
  <c r="H138" i="5"/>
  <c r="H48" i="5"/>
  <c r="Q137" i="5"/>
  <c r="Q22" i="5"/>
  <c r="H58" i="5"/>
  <c r="H137" i="5"/>
  <c r="Q48" i="5"/>
  <c r="H57" i="5"/>
  <c r="Q132" i="5"/>
  <c r="Q138" i="5"/>
  <c r="Q58" i="5"/>
  <c r="Q57" i="5"/>
  <c r="Q135" i="5"/>
  <c r="Q55" i="5"/>
  <c r="Q30" i="5"/>
  <c r="Q37" i="5"/>
  <c r="H135" i="5"/>
  <c r="H55" i="5"/>
  <c r="Q43" i="5"/>
  <c r="H43" i="5"/>
  <c r="H37" i="5"/>
  <c r="H132" i="5"/>
  <c r="H52" i="5"/>
  <c r="H30" i="5"/>
  <c r="AB9" i="5"/>
  <c r="P99" i="5"/>
  <c r="Q26" i="5"/>
  <c r="Q84" i="5"/>
  <c r="H78" i="5"/>
  <c r="Q71" i="5"/>
  <c r="Q39" i="5"/>
  <c r="H84" i="5"/>
  <c r="H71" i="5"/>
  <c r="G51" i="5"/>
  <c r="H33" i="5"/>
  <c r="AB5" i="5"/>
  <c r="P98" i="5"/>
  <c r="G50" i="5"/>
  <c r="H18" i="5"/>
  <c r="Q93" i="5"/>
  <c r="G52" i="5"/>
  <c r="G49" i="5"/>
  <c r="H44" i="5"/>
  <c r="G99" i="5"/>
  <c r="Q33" i="5"/>
  <c r="G98" i="5"/>
  <c r="H39" i="5"/>
  <c r="H93" i="5"/>
  <c r="Q18" i="5"/>
  <c r="P97" i="5"/>
  <c r="P124" i="5"/>
  <c r="Q44" i="5"/>
  <c r="P49" i="5"/>
  <c r="H26" i="5"/>
  <c r="Q89" i="5"/>
  <c r="G97" i="5"/>
  <c r="Q78" i="5"/>
  <c r="G124" i="5"/>
  <c r="P52" i="5"/>
  <c r="P50" i="5"/>
  <c r="H89" i="5"/>
  <c r="P51" i="5"/>
  <c r="G150" i="5"/>
  <c r="P91" i="5"/>
  <c r="G88" i="5"/>
  <c r="P134" i="5"/>
  <c r="Q24" i="5"/>
  <c r="P133" i="5"/>
  <c r="Q129" i="5"/>
  <c r="P42" i="5"/>
  <c r="P90" i="5"/>
  <c r="G133" i="5"/>
  <c r="P41" i="5"/>
  <c r="H31" i="5"/>
  <c r="Y8" i="5"/>
  <c r="Q76" i="5"/>
  <c r="H129" i="5"/>
  <c r="P40" i="5"/>
  <c r="P150" i="5"/>
  <c r="Q16" i="5"/>
  <c r="H24" i="5"/>
  <c r="P92" i="5"/>
  <c r="Q69" i="5"/>
  <c r="Q147" i="5"/>
  <c r="G92" i="5"/>
  <c r="H69" i="5"/>
  <c r="G42" i="5"/>
  <c r="P135" i="5"/>
  <c r="Q31" i="5"/>
  <c r="G41" i="5"/>
  <c r="G40" i="5"/>
  <c r="P39" i="5"/>
  <c r="G39" i="5"/>
  <c r="H16" i="5"/>
  <c r="G43" i="5"/>
  <c r="H147" i="5"/>
  <c r="G91" i="5"/>
  <c r="P43" i="5"/>
  <c r="G151" i="5"/>
  <c r="H76" i="5"/>
  <c r="G90" i="5"/>
  <c r="G135" i="5"/>
  <c r="P88" i="5"/>
  <c r="P38" i="5"/>
  <c r="G38" i="5"/>
  <c r="P89" i="5"/>
  <c r="H82" i="5"/>
  <c r="G134" i="5"/>
  <c r="P151" i="5"/>
  <c r="Q82" i="5"/>
  <c r="G89" i="5"/>
  <c r="P81" i="5"/>
  <c r="P78" i="5"/>
  <c r="G75" i="5"/>
  <c r="G131" i="5"/>
  <c r="P29" i="5"/>
  <c r="G25" i="5"/>
  <c r="P130" i="5"/>
  <c r="P28" i="5"/>
  <c r="G24" i="5"/>
  <c r="P77" i="5"/>
  <c r="Q67" i="5"/>
  <c r="P26" i="5"/>
  <c r="G149" i="5"/>
  <c r="P80" i="5"/>
  <c r="G77" i="5"/>
  <c r="P129" i="5"/>
  <c r="P25" i="5"/>
  <c r="P148" i="5"/>
  <c r="H67" i="5"/>
  <c r="P24" i="5"/>
  <c r="G76" i="5"/>
  <c r="G29" i="5"/>
  <c r="P149" i="5"/>
  <c r="P131" i="5"/>
  <c r="G28" i="5"/>
  <c r="G148" i="5"/>
  <c r="G81" i="5"/>
  <c r="P75" i="5"/>
  <c r="Q14" i="5"/>
  <c r="G80" i="5"/>
  <c r="G130" i="5"/>
  <c r="G26" i="5"/>
  <c r="P147" i="5"/>
  <c r="G129" i="5"/>
  <c r="G23" i="5"/>
  <c r="G147" i="5"/>
  <c r="P76" i="5"/>
  <c r="P23" i="5"/>
  <c r="G30" i="5"/>
  <c r="L30" i="5" s="1"/>
  <c r="P79" i="5"/>
  <c r="P27" i="5"/>
  <c r="G79" i="5"/>
  <c r="H14" i="5"/>
  <c r="G27" i="5"/>
  <c r="Y6" i="5"/>
  <c r="G132" i="5"/>
  <c r="G78" i="5"/>
  <c r="P132" i="5"/>
  <c r="P30" i="5"/>
  <c r="H113" i="5"/>
  <c r="P102" i="5"/>
  <c r="Q95" i="5"/>
  <c r="H91" i="5"/>
  <c r="H35" i="5"/>
  <c r="Q98" i="5"/>
  <c r="Q80" i="5"/>
  <c r="P57" i="5"/>
  <c r="H46" i="5"/>
  <c r="P56" i="5"/>
  <c r="Q35" i="5"/>
  <c r="Q114" i="5"/>
  <c r="H98" i="5"/>
  <c r="Q86" i="5"/>
  <c r="H80" i="5"/>
  <c r="Q73" i="5"/>
  <c r="Q20" i="5"/>
  <c r="H100" i="5"/>
  <c r="Q41" i="5"/>
  <c r="H114" i="5"/>
  <c r="H86" i="5"/>
  <c r="Q113" i="5"/>
  <c r="Q91" i="5"/>
  <c r="H41" i="5"/>
  <c r="AB7" i="5"/>
  <c r="H20" i="5"/>
  <c r="H73" i="5"/>
  <c r="Q53" i="5"/>
  <c r="H28" i="5"/>
  <c r="Q50" i="5"/>
  <c r="Q28" i="5"/>
  <c r="G102" i="5"/>
  <c r="H53" i="5"/>
  <c r="G56" i="5"/>
  <c r="H50" i="5"/>
  <c r="Q46" i="5"/>
  <c r="G57" i="5"/>
  <c r="Q100" i="5"/>
  <c r="H95" i="5"/>
  <c r="G113" i="5"/>
  <c r="G72" i="5"/>
  <c r="P68" i="5"/>
  <c r="P21" i="5"/>
  <c r="G18" i="5"/>
  <c r="P20" i="5"/>
  <c r="P18" i="5"/>
  <c r="G15" i="5"/>
  <c r="G112" i="5"/>
  <c r="G74" i="5"/>
  <c r="G71" i="5"/>
  <c r="P67" i="5"/>
  <c r="P17" i="5"/>
  <c r="G14" i="5"/>
  <c r="P70" i="5"/>
  <c r="G70" i="5"/>
  <c r="P69" i="5"/>
  <c r="P22" i="5"/>
  <c r="Y5" i="5"/>
  <c r="P74" i="5"/>
  <c r="G69" i="5"/>
  <c r="P19" i="5"/>
  <c r="G68" i="5"/>
  <c r="G19" i="5"/>
  <c r="G17" i="5"/>
  <c r="G16" i="5"/>
  <c r="P113" i="5"/>
  <c r="P73" i="5"/>
  <c r="P16" i="5"/>
  <c r="P15" i="5"/>
  <c r="G21" i="5"/>
  <c r="L21" i="5" s="1"/>
  <c r="P71" i="5"/>
  <c r="P112" i="5"/>
  <c r="G20" i="5"/>
  <c r="G73" i="5"/>
  <c r="G67" i="5"/>
  <c r="P14" i="5"/>
  <c r="P72" i="5"/>
  <c r="G22" i="5"/>
  <c r="L22" i="5" s="1"/>
  <c r="P138" i="5"/>
  <c r="P55" i="5"/>
  <c r="Q40" i="5"/>
  <c r="G54" i="5"/>
  <c r="H49" i="5"/>
  <c r="Q149" i="5"/>
  <c r="H134" i="5"/>
  <c r="P54" i="5"/>
  <c r="G53" i="5"/>
  <c r="H149" i="5"/>
  <c r="Q94" i="5"/>
  <c r="Q90" i="5"/>
  <c r="Q49" i="5"/>
  <c r="H19" i="5"/>
  <c r="P101" i="5"/>
  <c r="H94" i="5"/>
  <c r="H45" i="5"/>
  <c r="Q152" i="5"/>
  <c r="H90" i="5"/>
  <c r="Q136" i="5"/>
  <c r="Q34" i="5"/>
  <c r="Q131" i="5"/>
  <c r="P53" i="5"/>
  <c r="H27" i="5"/>
  <c r="G100" i="5"/>
  <c r="G138" i="5"/>
  <c r="H136" i="5"/>
  <c r="H131" i="5"/>
  <c r="Q85" i="5"/>
  <c r="Q79" i="5"/>
  <c r="H40" i="5"/>
  <c r="H79" i="5"/>
  <c r="Q97" i="5"/>
  <c r="H85" i="5"/>
  <c r="Q19" i="5"/>
  <c r="G55" i="5"/>
  <c r="AB6" i="5"/>
  <c r="H152" i="5"/>
  <c r="H97" i="5"/>
  <c r="Q134" i="5"/>
  <c r="Q72" i="5"/>
  <c r="Q27" i="5"/>
  <c r="H34" i="5"/>
  <c r="P100" i="5"/>
  <c r="Q151" i="5"/>
  <c r="H72" i="5"/>
  <c r="G101" i="5"/>
  <c r="Q45" i="5"/>
  <c r="H151" i="5"/>
  <c r="G85" i="5"/>
  <c r="P32" i="5"/>
  <c r="G37" i="5"/>
  <c r="Q112" i="5"/>
  <c r="H68" i="5"/>
  <c r="P31" i="5"/>
  <c r="G36" i="5"/>
  <c r="L36" i="5" s="1"/>
  <c r="H112" i="5"/>
  <c r="G34" i="5"/>
  <c r="G87" i="5"/>
  <c r="G84" i="5"/>
  <c r="G33" i="5"/>
  <c r="L33" i="5" s="1"/>
  <c r="P83" i="5"/>
  <c r="P87" i="5"/>
  <c r="G82" i="5"/>
  <c r="P37" i="5"/>
  <c r="P114" i="5"/>
  <c r="P86" i="5"/>
  <c r="Q75" i="5"/>
  <c r="P36" i="5"/>
  <c r="Q15" i="5"/>
  <c r="P35" i="5"/>
  <c r="G114" i="5"/>
  <c r="G86" i="5"/>
  <c r="H75" i="5"/>
  <c r="P34" i="5"/>
  <c r="H23" i="5"/>
  <c r="P33" i="5"/>
  <c r="Q68" i="5"/>
  <c r="P85" i="5"/>
  <c r="G31" i="5"/>
  <c r="P84" i="5"/>
  <c r="H15" i="5"/>
  <c r="G83" i="5"/>
  <c r="G35" i="5"/>
  <c r="P82" i="5"/>
  <c r="Y7" i="5"/>
  <c r="Q23" i="5"/>
  <c r="G32" i="5"/>
  <c r="G94" i="5"/>
  <c r="P152" i="5"/>
  <c r="P47" i="5"/>
  <c r="H17" i="5"/>
  <c r="P95" i="5"/>
  <c r="P136" i="5"/>
  <c r="H77" i="5"/>
  <c r="H133" i="5"/>
  <c r="H38" i="5"/>
  <c r="G136" i="5"/>
  <c r="Q70" i="5"/>
  <c r="G48" i="5"/>
  <c r="G44" i="5"/>
  <c r="P93" i="5"/>
  <c r="G152" i="5"/>
  <c r="G96" i="5"/>
  <c r="G93" i="5"/>
  <c r="G137" i="5"/>
  <c r="P46" i="5"/>
  <c r="P44" i="5"/>
  <c r="Q148" i="5"/>
  <c r="Q83" i="5"/>
  <c r="Q77" i="5"/>
  <c r="Q133" i="5"/>
  <c r="Q130" i="5"/>
  <c r="P45" i="5"/>
  <c r="H83" i="5"/>
  <c r="H130" i="5"/>
  <c r="Q32" i="5"/>
  <c r="H25" i="5"/>
  <c r="L25" i="5" s="1"/>
  <c r="Y9" i="5"/>
  <c r="Q88" i="5"/>
  <c r="Q38" i="5"/>
  <c r="H32" i="5"/>
  <c r="P48" i="5"/>
  <c r="Q25" i="5"/>
  <c r="H148" i="5"/>
  <c r="G95" i="5"/>
  <c r="Q150" i="5"/>
  <c r="P94" i="5"/>
  <c r="Q17" i="5"/>
  <c r="G47" i="5"/>
  <c r="H88" i="5"/>
  <c r="H70" i="5"/>
  <c r="G46" i="5"/>
  <c r="P137" i="5"/>
  <c r="H150" i="5"/>
  <c r="G45" i="5"/>
  <c r="P96" i="5"/>
  <c r="B26" i="4"/>
  <c r="I22" i="5"/>
  <c r="K22" i="5" s="1"/>
  <c r="H13" i="1"/>
  <c r="B33" i="4"/>
  <c r="F16" i="1"/>
  <c r="B28" i="4"/>
  <c r="H18" i="1"/>
  <c r="B35" i="4"/>
  <c r="G14" i="1"/>
  <c r="B29" i="4"/>
  <c r="H12" i="1"/>
  <c r="B32" i="4"/>
  <c r="H15" i="1"/>
  <c r="B34" i="4"/>
  <c r="G17" i="1"/>
  <c r="B30" i="4"/>
  <c r="F11" i="1"/>
  <c r="B27" i="4"/>
  <c r="H10" i="1"/>
  <c r="B31" i="4"/>
  <c r="F9" i="1"/>
  <c r="C11" i="3"/>
  <c r="D11" i="3" s="1"/>
  <c r="C10" i="3"/>
  <c r="D10" i="3" s="1"/>
  <c r="F19" i="1" l="1"/>
  <c r="I14" i="5"/>
  <c r="L17" i="5"/>
  <c r="G19" i="1"/>
  <c r="I19" i="5"/>
  <c r="K19" i="5" s="1"/>
  <c r="I18" i="5"/>
  <c r="K18" i="5" s="1"/>
  <c r="L24" i="5"/>
  <c r="L29" i="5"/>
  <c r="H19" i="1"/>
  <c r="D26" i="1" s="1"/>
  <c r="L35" i="5"/>
  <c r="B21" i="4"/>
  <c r="B22" i="4" s="1"/>
  <c r="E23" i="1"/>
  <c r="F23" i="1" s="1"/>
  <c r="I42" i="5"/>
  <c r="K42" i="5" s="1"/>
  <c r="I34" i="5"/>
  <c r="K34" i="5" s="1"/>
  <c r="I26" i="5"/>
  <c r="K26" i="5" s="1"/>
  <c r="I27" i="5"/>
  <c r="K27" i="5" s="1"/>
  <c r="I24" i="5"/>
  <c r="K24" i="5" s="1"/>
  <c r="L18" i="5"/>
  <c r="I29" i="5"/>
  <c r="K29" i="5" s="1"/>
  <c r="I31" i="5"/>
  <c r="K31" i="5" s="1"/>
  <c r="L28" i="5"/>
  <c r="L32" i="5"/>
  <c r="L15" i="5"/>
  <c r="I28" i="5"/>
  <c r="K28" i="5" s="1"/>
  <c r="I32" i="5"/>
  <c r="K32" i="5" s="1"/>
  <c r="I36" i="5"/>
  <c r="K36" i="5" s="1"/>
  <c r="I35" i="5"/>
  <c r="K35" i="5" s="1"/>
  <c r="I30" i="5"/>
  <c r="K30" i="5" s="1"/>
  <c r="L20" i="5"/>
  <c r="L31" i="5"/>
  <c r="L14" i="5"/>
  <c r="I20" i="5"/>
  <c r="K20" i="5" s="1"/>
  <c r="I21" i="5"/>
  <c r="K21" i="5" s="1"/>
  <c r="I15" i="5"/>
  <c r="K15" i="5" s="1"/>
  <c r="R114" i="5"/>
  <c r="T114" i="5" s="1"/>
  <c r="U114" i="5"/>
  <c r="L68" i="5"/>
  <c r="I68" i="5"/>
  <c r="K68" i="5" s="1"/>
  <c r="L71" i="5"/>
  <c r="I71" i="5"/>
  <c r="K71" i="5" s="1"/>
  <c r="U102" i="5"/>
  <c r="R102" i="5"/>
  <c r="T102" i="5" s="1"/>
  <c r="L81" i="5"/>
  <c r="I81" i="5"/>
  <c r="K81" i="5" s="1"/>
  <c r="L75" i="5"/>
  <c r="I75" i="5"/>
  <c r="K75" i="5" s="1"/>
  <c r="I135" i="5"/>
  <c r="K135" i="5" s="1"/>
  <c r="L135" i="5"/>
  <c r="I41" i="5"/>
  <c r="K41" i="5" s="1"/>
  <c r="L41" i="5"/>
  <c r="U40" i="5"/>
  <c r="R40" i="5"/>
  <c r="T40" i="5" s="1"/>
  <c r="R134" i="5"/>
  <c r="T134" i="5" s="1"/>
  <c r="U134" i="5"/>
  <c r="I97" i="5"/>
  <c r="K97" i="5" s="1"/>
  <c r="L97" i="5"/>
  <c r="I99" i="5"/>
  <c r="K99" i="5" s="1"/>
  <c r="L99" i="5"/>
  <c r="L131" i="5"/>
  <c r="I131" i="5"/>
  <c r="K131" i="5" s="1"/>
  <c r="R33" i="5"/>
  <c r="T33" i="5" s="1"/>
  <c r="U33" i="5"/>
  <c r="R37" i="5"/>
  <c r="T37" i="5" s="1"/>
  <c r="U37" i="5"/>
  <c r="U112" i="5"/>
  <c r="R112" i="5"/>
  <c r="R19" i="5"/>
  <c r="T19" i="5" s="1"/>
  <c r="U19" i="5"/>
  <c r="L74" i="5"/>
  <c r="I74" i="5"/>
  <c r="K74" i="5" s="1"/>
  <c r="I57" i="5"/>
  <c r="K57" i="5" s="1"/>
  <c r="L57" i="5"/>
  <c r="R23" i="5"/>
  <c r="T23" i="5" s="1"/>
  <c r="U23" i="5"/>
  <c r="R80" i="5"/>
  <c r="T80" i="5" s="1"/>
  <c r="U80" i="5"/>
  <c r="U78" i="5"/>
  <c r="R78" i="5"/>
  <c r="T78" i="5" s="1"/>
  <c r="L90" i="5"/>
  <c r="I90" i="5"/>
  <c r="K90" i="5" s="1"/>
  <c r="L58" i="5"/>
  <c r="I58" i="5"/>
  <c r="K58" i="5" s="1"/>
  <c r="R86" i="5"/>
  <c r="T86" i="5" s="1"/>
  <c r="U86" i="5"/>
  <c r="I82" i="5"/>
  <c r="K82" i="5" s="1"/>
  <c r="L82" i="5"/>
  <c r="L37" i="5"/>
  <c r="L54" i="5"/>
  <c r="I54" i="5"/>
  <c r="K54" i="5" s="1"/>
  <c r="U71" i="5"/>
  <c r="R71" i="5"/>
  <c r="T71" i="5" s="1"/>
  <c r="I69" i="5"/>
  <c r="K69" i="5" s="1"/>
  <c r="L69" i="5"/>
  <c r="I112" i="5"/>
  <c r="L112" i="5"/>
  <c r="U30" i="5"/>
  <c r="R30" i="5"/>
  <c r="T30" i="5" s="1"/>
  <c r="R76" i="5"/>
  <c r="T76" i="5" s="1"/>
  <c r="U76" i="5"/>
  <c r="I149" i="5"/>
  <c r="K149" i="5" s="1"/>
  <c r="L149" i="5"/>
  <c r="U81" i="5"/>
  <c r="R81" i="5"/>
  <c r="T81" i="5" s="1"/>
  <c r="R135" i="5"/>
  <c r="T135" i="5" s="1"/>
  <c r="U135" i="5"/>
  <c r="U91" i="5"/>
  <c r="R91" i="5"/>
  <c r="T91" i="5" s="1"/>
  <c r="L49" i="5"/>
  <c r="I49" i="5"/>
  <c r="K49" i="5" s="1"/>
  <c r="R85" i="5"/>
  <c r="T85" i="5" s="1"/>
  <c r="U85" i="5"/>
  <c r="L73" i="5"/>
  <c r="I73" i="5"/>
  <c r="K73" i="5" s="1"/>
  <c r="R75" i="5"/>
  <c r="T75" i="5" s="1"/>
  <c r="U75" i="5"/>
  <c r="R34" i="5"/>
  <c r="T34" i="5" s="1"/>
  <c r="U34" i="5"/>
  <c r="U87" i="5"/>
  <c r="R87" i="5"/>
  <c r="T87" i="5" s="1"/>
  <c r="U101" i="5"/>
  <c r="R101" i="5"/>
  <c r="T101" i="5" s="1"/>
  <c r="U74" i="5"/>
  <c r="R74" i="5"/>
  <c r="T74" i="5" s="1"/>
  <c r="U132" i="5"/>
  <c r="R132" i="5"/>
  <c r="T132" i="5" s="1"/>
  <c r="I147" i="5"/>
  <c r="K147" i="5" s="1"/>
  <c r="L147" i="5"/>
  <c r="R131" i="5"/>
  <c r="T131" i="5" s="1"/>
  <c r="U131" i="5"/>
  <c r="R26" i="5"/>
  <c r="T26" i="5" s="1"/>
  <c r="U26" i="5"/>
  <c r="I89" i="5"/>
  <c r="K89" i="5" s="1"/>
  <c r="L89" i="5"/>
  <c r="I151" i="5"/>
  <c r="K151" i="5" s="1"/>
  <c r="L151" i="5"/>
  <c r="L42" i="5"/>
  <c r="U49" i="5"/>
  <c r="R49" i="5"/>
  <c r="T49" i="5" s="1"/>
  <c r="L52" i="5"/>
  <c r="I52" i="5"/>
  <c r="K52" i="5" s="1"/>
  <c r="L85" i="5"/>
  <c r="I85" i="5"/>
  <c r="K85" i="5" s="1"/>
  <c r="L138" i="5"/>
  <c r="I138" i="5"/>
  <c r="K138" i="5" s="1"/>
  <c r="R55" i="5"/>
  <c r="T55" i="5" s="1"/>
  <c r="U55" i="5"/>
  <c r="R15" i="5"/>
  <c r="T15" i="5" s="1"/>
  <c r="U15" i="5"/>
  <c r="AG5" i="5"/>
  <c r="Y16" i="5" s="1"/>
  <c r="AC16" i="5" s="1"/>
  <c r="U18" i="5"/>
  <c r="R18" i="5"/>
  <c r="T18" i="5" s="1"/>
  <c r="I56" i="5"/>
  <c r="K56" i="5" s="1"/>
  <c r="L56" i="5"/>
  <c r="U56" i="5"/>
  <c r="R56" i="5"/>
  <c r="T56" i="5" s="1"/>
  <c r="L78" i="5"/>
  <c r="I78" i="5"/>
  <c r="K78" i="5" s="1"/>
  <c r="L23" i="5"/>
  <c r="I23" i="5"/>
  <c r="K23" i="5" s="1"/>
  <c r="U149" i="5"/>
  <c r="R149" i="5"/>
  <c r="T149" i="5" s="1"/>
  <c r="R43" i="5"/>
  <c r="T43" i="5" s="1"/>
  <c r="U43" i="5"/>
  <c r="R51" i="5"/>
  <c r="T51" i="5" s="1"/>
  <c r="U51" i="5"/>
  <c r="R79" i="5"/>
  <c r="T79" i="5" s="1"/>
  <c r="U79" i="5"/>
  <c r="U82" i="5"/>
  <c r="R82" i="5"/>
  <c r="T82" i="5" s="1"/>
  <c r="L86" i="5"/>
  <c r="I86" i="5"/>
  <c r="K86" i="5" s="1"/>
  <c r="L100" i="5"/>
  <c r="I100" i="5"/>
  <c r="K100" i="5" s="1"/>
  <c r="R138" i="5"/>
  <c r="T138" i="5" s="1"/>
  <c r="U138" i="5"/>
  <c r="U16" i="5"/>
  <c r="R16" i="5"/>
  <c r="T16" i="5" s="1"/>
  <c r="R22" i="5"/>
  <c r="T22" i="5" s="1"/>
  <c r="U22" i="5"/>
  <c r="R20" i="5"/>
  <c r="T20" i="5" s="1"/>
  <c r="U20" i="5"/>
  <c r="I132" i="5"/>
  <c r="K132" i="5" s="1"/>
  <c r="L132" i="5"/>
  <c r="I129" i="5"/>
  <c r="K129" i="5" s="1"/>
  <c r="L129" i="5"/>
  <c r="U151" i="5"/>
  <c r="R151" i="5"/>
  <c r="T151" i="5" s="1"/>
  <c r="L91" i="5"/>
  <c r="I91" i="5"/>
  <c r="K91" i="5" s="1"/>
  <c r="I92" i="5"/>
  <c r="K92" i="5" s="1"/>
  <c r="L92" i="5"/>
  <c r="R41" i="5"/>
  <c r="T41" i="5" s="1"/>
  <c r="U41" i="5"/>
  <c r="U124" i="5"/>
  <c r="R124" i="5"/>
  <c r="T124" i="5" s="1"/>
  <c r="U31" i="5"/>
  <c r="R31" i="5"/>
  <c r="T31" i="5" s="1"/>
  <c r="U67" i="5"/>
  <c r="R67" i="5"/>
  <c r="T67" i="5" s="1"/>
  <c r="I37" i="5"/>
  <c r="K37" i="5" s="1"/>
  <c r="L114" i="5"/>
  <c r="I114" i="5"/>
  <c r="K114" i="5" s="1"/>
  <c r="L84" i="5"/>
  <c r="I84" i="5"/>
  <c r="K84" i="5" s="1"/>
  <c r="I55" i="5"/>
  <c r="K55" i="5" s="1"/>
  <c r="L55" i="5"/>
  <c r="U73" i="5"/>
  <c r="R73" i="5"/>
  <c r="T73" i="5" s="1"/>
  <c r="R69" i="5"/>
  <c r="T69" i="5" s="1"/>
  <c r="U69" i="5"/>
  <c r="L102" i="5"/>
  <c r="I102" i="5"/>
  <c r="K102" i="5" s="1"/>
  <c r="R57" i="5"/>
  <c r="T57" i="5" s="1"/>
  <c r="U57" i="5"/>
  <c r="U147" i="5"/>
  <c r="R147" i="5"/>
  <c r="T147" i="5" s="1"/>
  <c r="L76" i="5"/>
  <c r="I76" i="5"/>
  <c r="K76" i="5" s="1"/>
  <c r="L134" i="5"/>
  <c r="I134" i="5"/>
  <c r="K134" i="5" s="1"/>
  <c r="U97" i="5"/>
  <c r="R97" i="5"/>
  <c r="T97" i="5" s="1"/>
  <c r="L50" i="5"/>
  <c r="I50" i="5"/>
  <c r="K50" i="5" s="1"/>
  <c r="U99" i="5"/>
  <c r="R99" i="5"/>
  <c r="T99" i="5" s="1"/>
  <c r="L40" i="5"/>
  <c r="I40" i="5"/>
  <c r="K40" i="5" s="1"/>
  <c r="I33" i="5"/>
  <c r="K33" i="5" s="1"/>
  <c r="U35" i="5"/>
  <c r="R35" i="5"/>
  <c r="T35" i="5" s="1"/>
  <c r="L87" i="5"/>
  <c r="I87" i="5"/>
  <c r="K87" i="5" s="1"/>
  <c r="I101" i="5"/>
  <c r="K101" i="5" s="1"/>
  <c r="L101" i="5"/>
  <c r="U53" i="5"/>
  <c r="R53" i="5"/>
  <c r="T53" i="5" s="1"/>
  <c r="R72" i="5"/>
  <c r="T72" i="5" s="1"/>
  <c r="U72" i="5"/>
  <c r="U113" i="5"/>
  <c r="R113" i="5"/>
  <c r="T113" i="5" s="1"/>
  <c r="R21" i="5"/>
  <c r="T21" i="5" s="1"/>
  <c r="U21" i="5"/>
  <c r="L27" i="5"/>
  <c r="L26" i="5"/>
  <c r="U24" i="5"/>
  <c r="R24" i="5"/>
  <c r="T24" i="5" s="1"/>
  <c r="U28" i="5"/>
  <c r="R28" i="5"/>
  <c r="T28" i="5" s="1"/>
  <c r="L43" i="5"/>
  <c r="I43" i="5"/>
  <c r="K43" i="5" s="1"/>
  <c r="U90" i="5"/>
  <c r="R90" i="5"/>
  <c r="T90" i="5" s="1"/>
  <c r="R50" i="5"/>
  <c r="T50" i="5" s="1"/>
  <c r="U50" i="5"/>
  <c r="R98" i="5"/>
  <c r="T98" i="5" s="1"/>
  <c r="U98" i="5"/>
  <c r="L34" i="5"/>
  <c r="I16" i="5"/>
  <c r="K16" i="5" s="1"/>
  <c r="L16" i="5"/>
  <c r="U68" i="5"/>
  <c r="R68" i="5"/>
  <c r="T68" i="5" s="1"/>
  <c r="R89" i="5"/>
  <c r="T89" i="5" s="1"/>
  <c r="U89" i="5"/>
  <c r="R92" i="5"/>
  <c r="T92" i="5" s="1"/>
  <c r="U92" i="5"/>
  <c r="U42" i="5"/>
  <c r="R42" i="5"/>
  <c r="T42" i="5" s="1"/>
  <c r="U52" i="5"/>
  <c r="R52" i="5"/>
  <c r="T52" i="5" s="1"/>
  <c r="AG6" i="5"/>
  <c r="Y17" i="5" s="1"/>
  <c r="AC17" i="5" s="1"/>
  <c r="R58" i="5"/>
  <c r="T58" i="5" s="1"/>
  <c r="U58" i="5"/>
  <c r="U129" i="5"/>
  <c r="R129" i="5"/>
  <c r="T129" i="5" s="1"/>
  <c r="U84" i="5"/>
  <c r="R84" i="5"/>
  <c r="T84" i="5" s="1"/>
  <c r="R36" i="5"/>
  <c r="T36" i="5" s="1"/>
  <c r="U36" i="5"/>
  <c r="I53" i="5"/>
  <c r="K53" i="5" s="1"/>
  <c r="L53" i="5"/>
  <c r="U14" i="5"/>
  <c r="R14" i="5"/>
  <c r="T14" i="5" s="1"/>
  <c r="L72" i="5"/>
  <c r="I72" i="5"/>
  <c r="K72" i="5" s="1"/>
  <c r="L79" i="5"/>
  <c r="I79" i="5"/>
  <c r="K79" i="5" s="1"/>
  <c r="L80" i="5"/>
  <c r="I80" i="5"/>
  <c r="K80" i="5" s="1"/>
  <c r="L39" i="5"/>
  <c r="I39" i="5"/>
  <c r="K39" i="5" s="1"/>
  <c r="L124" i="5"/>
  <c r="I124" i="5"/>
  <c r="K124" i="5" s="1"/>
  <c r="U100" i="5"/>
  <c r="R100" i="5"/>
  <c r="T100" i="5" s="1"/>
  <c r="R54" i="5"/>
  <c r="T54" i="5" s="1"/>
  <c r="U54" i="5"/>
  <c r="I67" i="5"/>
  <c r="K67" i="5" s="1"/>
  <c r="L67" i="5"/>
  <c r="L19" i="5"/>
  <c r="I113" i="5"/>
  <c r="K113" i="5" s="1"/>
  <c r="L113" i="5"/>
  <c r="R27" i="5"/>
  <c r="T27" i="5" s="1"/>
  <c r="U27" i="5"/>
  <c r="R29" i="5"/>
  <c r="T29" i="5" s="1"/>
  <c r="U29" i="5"/>
  <c r="R39" i="5"/>
  <c r="T39" i="5" s="1"/>
  <c r="U39" i="5"/>
  <c r="L98" i="5"/>
  <c r="I98" i="5"/>
  <c r="K98" i="5" s="1"/>
  <c r="L51" i="5"/>
  <c r="I51" i="5"/>
  <c r="K51" i="5" s="1"/>
  <c r="L70" i="5"/>
  <c r="I70" i="5"/>
  <c r="R38" i="5"/>
  <c r="T38" i="5" s="1"/>
  <c r="U38" i="5"/>
  <c r="R148" i="5"/>
  <c r="U148" i="5"/>
  <c r="R70" i="5"/>
  <c r="U70" i="5"/>
  <c r="I136" i="5"/>
  <c r="K136" i="5" s="1"/>
  <c r="L136" i="5"/>
  <c r="L88" i="5"/>
  <c r="I88" i="5"/>
  <c r="K88" i="5" s="1"/>
  <c r="AG8" i="5"/>
  <c r="Y31" i="5" s="1"/>
  <c r="AC31" i="5" s="1"/>
  <c r="AG10" i="5"/>
  <c r="Y53" i="5" s="1"/>
  <c r="AC53" i="5" s="1"/>
  <c r="AG9" i="5"/>
  <c r="AE41" i="5" s="1"/>
  <c r="AI41" i="5" s="1"/>
  <c r="AG7" i="5"/>
  <c r="Y24" i="5" s="1"/>
  <c r="AC24" i="5" s="1"/>
  <c r="R46" i="5"/>
  <c r="T46" i="5" s="1"/>
  <c r="U46" i="5"/>
  <c r="U150" i="5"/>
  <c r="R150" i="5"/>
  <c r="T150" i="5" s="1"/>
  <c r="I93" i="5"/>
  <c r="K93" i="5" s="1"/>
  <c r="L93" i="5"/>
  <c r="R136" i="5"/>
  <c r="T136" i="5" s="1"/>
  <c r="U136" i="5"/>
  <c r="I38" i="5"/>
  <c r="K38" i="5" s="1"/>
  <c r="L38" i="5"/>
  <c r="I83" i="5"/>
  <c r="K83" i="5" s="1"/>
  <c r="L83" i="5"/>
  <c r="L96" i="5"/>
  <c r="I96" i="5"/>
  <c r="K96" i="5" s="1"/>
  <c r="U95" i="5"/>
  <c r="R95" i="5"/>
  <c r="T95" i="5" s="1"/>
  <c r="I133" i="5"/>
  <c r="K133" i="5" s="1"/>
  <c r="L133" i="5"/>
  <c r="U94" i="5"/>
  <c r="R94" i="5"/>
  <c r="T94" i="5" s="1"/>
  <c r="U32" i="5"/>
  <c r="R32" i="5"/>
  <c r="T32" i="5" s="1"/>
  <c r="L137" i="5"/>
  <c r="I137" i="5"/>
  <c r="K137" i="5" s="1"/>
  <c r="L130" i="5"/>
  <c r="I130" i="5"/>
  <c r="U96" i="5"/>
  <c r="R96" i="5"/>
  <c r="T96" i="5" s="1"/>
  <c r="I95" i="5"/>
  <c r="K95" i="5" s="1"/>
  <c r="L95" i="5"/>
  <c r="R45" i="5"/>
  <c r="T45" i="5" s="1"/>
  <c r="U45" i="5"/>
  <c r="L152" i="5"/>
  <c r="I152" i="5"/>
  <c r="K152" i="5" s="1"/>
  <c r="U47" i="5"/>
  <c r="R47" i="5"/>
  <c r="T47" i="5" s="1"/>
  <c r="U44" i="5"/>
  <c r="R44" i="5"/>
  <c r="T44" i="5" s="1"/>
  <c r="I45" i="5"/>
  <c r="K45" i="5" s="1"/>
  <c r="L45" i="5"/>
  <c r="R130" i="5"/>
  <c r="U130" i="5"/>
  <c r="I25" i="5"/>
  <c r="K25" i="5" s="1"/>
  <c r="L150" i="5"/>
  <c r="I150" i="5"/>
  <c r="K150" i="5" s="1"/>
  <c r="R25" i="5"/>
  <c r="T25" i="5" s="1"/>
  <c r="U25" i="5"/>
  <c r="R133" i="5"/>
  <c r="T133" i="5" s="1"/>
  <c r="U133" i="5"/>
  <c r="R93" i="5"/>
  <c r="T93" i="5" s="1"/>
  <c r="U93" i="5"/>
  <c r="U152" i="5"/>
  <c r="R152" i="5"/>
  <c r="T152" i="5" s="1"/>
  <c r="R137" i="5"/>
  <c r="T137" i="5" s="1"/>
  <c r="U137" i="5"/>
  <c r="R48" i="5"/>
  <c r="T48" i="5" s="1"/>
  <c r="U48" i="5"/>
  <c r="U77" i="5"/>
  <c r="R77" i="5"/>
  <c r="T77" i="5" s="1"/>
  <c r="L44" i="5"/>
  <c r="I44" i="5"/>
  <c r="K44" i="5" s="1"/>
  <c r="U88" i="5"/>
  <c r="R88" i="5"/>
  <c r="T88" i="5" s="1"/>
  <c r="I47" i="5"/>
  <c r="K47" i="5" s="1"/>
  <c r="L47" i="5"/>
  <c r="R17" i="5"/>
  <c r="U17" i="5"/>
  <c r="L77" i="5"/>
  <c r="I77" i="5"/>
  <c r="K77" i="5" s="1"/>
  <c r="L148" i="5"/>
  <c r="I148" i="5"/>
  <c r="I17" i="5"/>
  <c r="K17" i="5" s="1"/>
  <c r="I46" i="5"/>
  <c r="K46" i="5" s="1"/>
  <c r="L46" i="5"/>
  <c r="R83" i="5"/>
  <c r="T83" i="5" s="1"/>
  <c r="U83" i="5"/>
  <c r="L48" i="5"/>
  <c r="I48" i="5"/>
  <c r="K48" i="5" s="1"/>
  <c r="I94" i="5"/>
  <c r="K94" i="5" s="1"/>
  <c r="L94" i="5"/>
  <c r="K14" i="5"/>
  <c r="D25" i="1"/>
  <c r="C14" i="3"/>
  <c r="D14" i="3" s="1"/>
  <c r="D24" i="1"/>
  <c r="C13" i="3"/>
  <c r="D13" i="3" s="1"/>
  <c r="C15" i="3"/>
  <c r="D15" i="3" s="1"/>
  <c r="C12" i="3"/>
  <c r="H21" i="4" l="1"/>
  <c r="E26" i="1"/>
  <c r="F21" i="4"/>
  <c r="E25" i="1"/>
  <c r="D21" i="4"/>
  <c r="G23" i="1"/>
  <c r="I23" i="1"/>
  <c r="C7" i="4"/>
  <c r="C6" i="4"/>
  <c r="AE53" i="5"/>
  <c r="AI53" i="5" s="1"/>
  <c r="Y41" i="5"/>
  <c r="AC41" i="5" s="1"/>
  <c r="AM20" i="5" s="1" a="1"/>
  <c r="AM20" i="5" s="1"/>
  <c r="AE18" i="5"/>
  <c r="AI18" i="5" s="1"/>
  <c r="Y18" i="5"/>
  <c r="AC18" i="5" s="1"/>
  <c r="AE24" i="5"/>
  <c r="AI24" i="5" s="1"/>
  <c r="AE14" i="5"/>
  <c r="AI14" i="5" s="1"/>
  <c r="AE17" i="5"/>
  <c r="AI17" i="5" s="1"/>
  <c r="D30" i="4"/>
  <c r="AE31" i="5"/>
  <c r="AI31" i="5" s="1"/>
  <c r="Y15" i="5"/>
  <c r="AC15" i="5" s="1"/>
  <c r="Y14" i="5"/>
  <c r="AC14" i="5" s="1"/>
  <c r="P125" i="5"/>
  <c r="R125" i="5"/>
  <c r="T112" i="5"/>
  <c r="T115" i="5" s="1"/>
  <c r="R115" i="5"/>
  <c r="G125" i="5"/>
  <c r="I125" i="5"/>
  <c r="AE16" i="5"/>
  <c r="AI16" i="5" s="1"/>
  <c r="F25" i="1"/>
  <c r="AG74" i="5"/>
  <c r="AA74" i="5"/>
  <c r="AE15" i="5"/>
  <c r="AI15" i="5" s="1"/>
  <c r="K112" i="5"/>
  <c r="K115" i="5" s="1"/>
  <c r="I115" i="5"/>
  <c r="AC74" i="5"/>
  <c r="AI74" i="5"/>
  <c r="T70" i="5"/>
  <c r="T103" i="5" s="1"/>
  <c r="R103" i="5"/>
  <c r="T148" i="5"/>
  <c r="T153" i="5" s="1"/>
  <c r="R153" i="5"/>
  <c r="T17" i="5"/>
  <c r="T59" i="5" s="1"/>
  <c r="R59" i="5"/>
  <c r="T130" i="5"/>
  <c r="T139" i="5" s="1"/>
  <c r="R139" i="5"/>
  <c r="AE23" i="5"/>
  <c r="AI23" i="5" s="1"/>
  <c r="AE22" i="5"/>
  <c r="AI22" i="5" s="1"/>
  <c r="Y25" i="5"/>
  <c r="AC25" i="5" s="1"/>
  <c r="Y22" i="5"/>
  <c r="AC22" i="5" s="1"/>
  <c r="AE25" i="5"/>
  <c r="AI25" i="5" s="1"/>
  <c r="Y23" i="5"/>
  <c r="AC23" i="5" s="1"/>
  <c r="K130" i="5"/>
  <c r="K139" i="5" s="1"/>
  <c r="I139" i="5"/>
  <c r="Y40" i="5"/>
  <c r="AC40" i="5" s="1"/>
  <c r="Y45" i="5"/>
  <c r="AC45" i="5" s="1"/>
  <c r="AE43" i="5"/>
  <c r="AI43" i="5" s="1"/>
  <c r="Y43" i="5"/>
  <c r="AC43" i="5" s="1"/>
  <c r="Y37" i="5"/>
  <c r="AC37" i="5" s="1"/>
  <c r="AE39" i="5"/>
  <c r="AI39" i="5" s="1"/>
  <c r="AE37" i="5"/>
  <c r="AI37" i="5" s="1"/>
  <c r="AE42" i="5"/>
  <c r="AI42" i="5" s="1"/>
  <c r="AE38" i="5"/>
  <c r="AI38" i="5" s="1"/>
  <c r="Y42" i="5"/>
  <c r="AC42" i="5" s="1"/>
  <c r="Y38" i="5"/>
  <c r="AC38" i="5" s="1"/>
  <c r="AE45" i="5"/>
  <c r="AI45" i="5" s="1"/>
  <c r="Y39" i="5"/>
  <c r="AC39" i="5" s="1"/>
  <c r="AE44" i="5"/>
  <c r="AI44" i="5" s="1"/>
  <c r="Y44" i="5"/>
  <c r="AC44" i="5" s="1"/>
  <c r="AE40" i="5"/>
  <c r="AI40" i="5" s="1"/>
  <c r="K148" i="5"/>
  <c r="K153" i="5" s="1"/>
  <c r="I153" i="5"/>
  <c r="Y56" i="5"/>
  <c r="AC56" i="5" s="1"/>
  <c r="Y51" i="5"/>
  <c r="AC51" i="5" s="1"/>
  <c r="Y55" i="5"/>
  <c r="AC55" i="5" s="1"/>
  <c r="AE54" i="5"/>
  <c r="AI54" i="5" s="1"/>
  <c r="Y52" i="5"/>
  <c r="AC52" i="5" s="1"/>
  <c r="Y57" i="5"/>
  <c r="AC57" i="5" s="1"/>
  <c r="Y49" i="5"/>
  <c r="AC49" i="5" s="1"/>
  <c r="AE51" i="5"/>
  <c r="AI51" i="5" s="1"/>
  <c r="AE57" i="5"/>
  <c r="AI57" i="5" s="1"/>
  <c r="AE50" i="5"/>
  <c r="AI50" i="5" s="1"/>
  <c r="AE52" i="5"/>
  <c r="AI52" i="5" s="1"/>
  <c r="Y50" i="5"/>
  <c r="AC50" i="5" s="1"/>
  <c r="AE49" i="5"/>
  <c r="AI49" i="5" s="1"/>
  <c r="AE55" i="5"/>
  <c r="AI55" i="5" s="1"/>
  <c r="AE58" i="5"/>
  <c r="AI58" i="5" s="1"/>
  <c r="Y54" i="5"/>
  <c r="AC54" i="5" s="1"/>
  <c r="AM16" i="5" s="1"/>
  <c r="Y58" i="5"/>
  <c r="AC58" i="5" s="1"/>
  <c r="AE56" i="5"/>
  <c r="AI56" i="5" s="1"/>
  <c r="K70" i="5"/>
  <c r="K103" i="5" s="1"/>
  <c r="I103" i="5"/>
  <c r="I59" i="5"/>
  <c r="I62" i="5" s="1"/>
  <c r="Y33" i="5"/>
  <c r="AC33" i="5" s="1"/>
  <c r="AE29" i="5"/>
  <c r="AI29" i="5" s="1"/>
  <c r="Y32" i="5"/>
  <c r="AC32" i="5" s="1"/>
  <c r="Y30" i="5"/>
  <c r="AC30" i="5" s="1"/>
  <c r="AE30" i="5"/>
  <c r="AI30" i="5" s="1"/>
  <c r="Y29" i="5"/>
  <c r="AC29" i="5" s="1"/>
  <c r="AE32" i="5"/>
  <c r="AI32" i="5" s="1"/>
  <c r="AE33" i="5"/>
  <c r="AI33" i="5" s="1"/>
  <c r="K59" i="5"/>
  <c r="D26" i="4"/>
  <c r="D27" i="4"/>
  <c r="C5" i="4"/>
  <c r="B7" i="4"/>
  <c r="D7" i="4" s="1"/>
  <c r="G7" i="4" s="1"/>
  <c r="D32" i="4"/>
  <c r="D33" i="4"/>
  <c r="D34" i="4"/>
  <c r="D31" i="4"/>
  <c r="D12" i="3"/>
  <c r="E24" i="1" s="1"/>
  <c r="D15" i="4" l="1"/>
  <c r="E15" i="4" s="1"/>
  <c r="B15" i="4"/>
  <c r="C15" i="4" s="1"/>
  <c r="G25" i="1"/>
  <c r="I25" i="1"/>
  <c r="F15" i="4"/>
  <c r="D29" i="4"/>
  <c r="E29" i="4" s="1"/>
  <c r="G29" i="4" s="1"/>
  <c r="H29" i="4" s="1"/>
  <c r="F22" i="4"/>
  <c r="G26" i="1"/>
  <c r="I26" i="1"/>
  <c r="D35" i="4"/>
  <c r="E35" i="4" s="1"/>
  <c r="G35" i="4" s="1"/>
  <c r="H35" i="4" s="1"/>
  <c r="H22" i="4"/>
  <c r="I24" i="1"/>
  <c r="G24" i="1"/>
  <c r="AM22" i="5"/>
  <c r="D28" i="4"/>
  <c r="E28" i="4" s="1"/>
  <c r="D22" i="4"/>
  <c r="E32" i="4"/>
  <c r="E26" i="4"/>
  <c r="E27" i="4"/>
  <c r="E31" i="4"/>
  <c r="E34" i="4"/>
  <c r="E30" i="4"/>
  <c r="E33" i="4"/>
  <c r="AM33" i="5" a="1"/>
  <c r="AM33" i="5" s="1"/>
  <c r="I33" i="4" s="1"/>
  <c r="AM15" i="5"/>
  <c r="AM32" i="5" a="1"/>
  <c r="AM32" i="5" s="1"/>
  <c r="AM28" i="5"/>
  <c r="AM14" i="5"/>
  <c r="AM31" i="5" a="1"/>
  <c r="AM31" i="5" s="1"/>
  <c r="AM34" i="5" a="1"/>
  <c r="AM34" i="5" s="1"/>
  <c r="AM26" i="5"/>
  <c r="AM29" i="5"/>
  <c r="I29" i="4" s="1"/>
  <c r="AM17" i="5"/>
  <c r="AM35" i="5"/>
  <c r="I35" i="4" s="1"/>
  <c r="AM27" i="5"/>
  <c r="I27" i="4" s="1"/>
  <c r="AM30" i="5"/>
  <c r="I30" i="4" s="1"/>
  <c r="AM19" i="5" a="1"/>
  <c r="AM19" i="5" s="1"/>
  <c r="AM18" i="5" a="1"/>
  <c r="AM18" i="5" s="1"/>
  <c r="AM21" i="5" a="1"/>
  <c r="AM21" i="5" s="1"/>
  <c r="AM13" i="5"/>
  <c r="F26" i="1"/>
  <c r="AE74" i="5"/>
  <c r="AF77" i="5" s="1"/>
  <c r="Y74" i="5"/>
  <c r="Y76" i="5" s="1"/>
  <c r="AB76" i="5" s="1"/>
  <c r="AM39" i="5" s="1"/>
  <c r="K63" i="5"/>
  <c r="K64" i="5" s="1"/>
  <c r="G118" i="5"/>
  <c r="L119" i="5"/>
  <c r="I118" i="5"/>
  <c r="K119" i="5"/>
  <c r="U119" i="5"/>
  <c r="T119" i="5"/>
  <c r="T120" i="5" s="1"/>
  <c r="R118" i="5"/>
  <c r="P118" i="5"/>
  <c r="L63" i="5"/>
  <c r="K117" i="5"/>
  <c r="L117" i="5"/>
  <c r="G116" i="5"/>
  <c r="I116" i="5"/>
  <c r="R116" i="5"/>
  <c r="P116" i="5"/>
  <c r="T117" i="5"/>
  <c r="U117" i="5"/>
  <c r="G62" i="5"/>
  <c r="I142" i="5"/>
  <c r="G142" i="5"/>
  <c r="K143" i="5"/>
  <c r="K144" i="5" s="1"/>
  <c r="L143" i="5"/>
  <c r="R156" i="5"/>
  <c r="U157" i="5"/>
  <c r="T157" i="5"/>
  <c r="T158" i="5" s="1"/>
  <c r="P156" i="5"/>
  <c r="G140" i="5"/>
  <c r="I140" i="5"/>
  <c r="L141" i="5"/>
  <c r="K141" i="5"/>
  <c r="P154" i="5"/>
  <c r="T155" i="5"/>
  <c r="U155" i="5"/>
  <c r="R154" i="5"/>
  <c r="U107" i="5"/>
  <c r="T107" i="5"/>
  <c r="T108" i="5" s="1"/>
  <c r="R106" i="5"/>
  <c r="P106" i="5"/>
  <c r="P104" i="5"/>
  <c r="U105" i="5"/>
  <c r="R104" i="5"/>
  <c r="T105" i="5"/>
  <c r="G104" i="5"/>
  <c r="I104" i="5"/>
  <c r="K105" i="5"/>
  <c r="L105" i="5"/>
  <c r="G156" i="5"/>
  <c r="K157" i="5"/>
  <c r="L157" i="5"/>
  <c r="I156" i="5"/>
  <c r="AG78" i="5"/>
  <c r="AE78" i="5"/>
  <c r="AF78" i="5"/>
  <c r="Y78" i="5"/>
  <c r="Z78" i="5"/>
  <c r="T143" i="5"/>
  <c r="T144" i="5" s="1"/>
  <c r="R142" i="5"/>
  <c r="P142" i="5"/>
  <c r="U143" i="5"/>
  <c r="P60" i="5"/>
  <c r="U61" i="5"/>
  <c r="R60" i="5"/>
  <c r="T61" i="5"/>
  <c r="I154" i="5"/>
  <c r="L155" i="5"/>
  <c r="K155" i="5"/>
  <c r="G154" i="5"/>
  <c r="R140" i="5"/>
  <c r="P140" i="5"/>
  <c r="T141" i="5"/>
  <c r="U141" i="5"/>
  <c r="G106" i="5"/>
  <c r="L107" i="5"/>
  <c r="I106" i="5"/>
  <c r="K107" i="5"/>
  <c r="K108" i="5" s="1"/>
  <c r="R62" i="5"/>
  <c r="P62" i="5"/>
  <c r="U63" i="5"/>
  <c r="T63" i="5"/>
  <c r="T64" i="5" s="1"/>
  <c r="L61" i="5"/>
  <c r="K61" i="5"/>
  <c r="I60" i="5"/>
  <c r="G60" i="5"/>
  <c r="K120" i="5" l="1"/>
  <c r="I26" i="4"/>
  <c r="G14" i="4"/>
  <c r="I34" i="4"/>
  <c r="I31" i="4"/>
  <c r="G13" i="4"/>
  <c r="I28" i="4"/>
  <c r="I32" i="4"/>
  <c r="H15" i="4"/>
  <c r="F9" i="5"/>
  <c r="G27" i="4"/>
  <c r="H27" i="4"/>
  <c r="G32" i="4"/>
  <c r="H32" i="4" s="1"/>
  <c r="G31" i="4"/>
  <c r="H31" i="4"/>
  <c r="G28" i="4"/>
  <c r="H28" i="4"/>
  <c r="G33" i="4"/>
  <c r="H33" i="4"/>
  <c r="G30" i="4"/>
  <c r="H30" i="4" s="1"/>
  <c r="G26" i="4"/>
  <c r="H26" i="4" s="1"/>
  <c r="G34" i="4"/>
  <c r="H34" i="4" s="1"/>
  <c r="F24" i="1"/>
  <c r="B6" i="4"/>
  <c r="D6" i="4" s="1"/>
  <c r="G6" i="4" s="1"/>
  <c r="Z77" i="5"/>
  <c r="AA77" i="5"/>
  <c r="Y77" i="5"/>
  <c r="AG77" i="5"/>
  <c r="AE77" i="5"/>
  <c r="AH77" i="5" s="1"/>
  <c r="AM46" i="5" s="1"/>
  <c r="B5" i="4"/>
  <c r="D5" i="4" s="1"/>
  <c r="I63" i="5"/>
  <c r="I64" i="5" s="1"/>
  <c r="I117" i="5"/>
  <c r="G63" i="5"/>
  <c r="G64" i="5" s="1"/>
  <c r="K158" i="5"/>
  <c r="G16" i="4" s="1"/>
  <c r="R117" i="5"/>
  <c r="AH78" i="5"/>
  <c r="AM47" i="5" s="1"/>
  <c r="P119" i="5"/>
  <c r="P120" i="5" s="1"/>
  <c r="R119" i="5"/>
  <c r="R120" i="5" s="1"/>
  <c r="P117" i="5"/>
  <c r="I119" i="5"/>
  <c r="I120" i="5" s="1"/>
  <c r="G119" i="5"/>
  <c r="G117" i="5"/>
  <c r="AF76" i="5"/>
  <c r="AE76" i="5"/>
  <c r="AG76" i="5"/>
  <c r="AB78" i="5"/>
  <c r="AM41" i="5" s="1"/>
  <c r="R141" i="5"/>
  <c r="P141" i="5"/>
  <c r="G157" i="5"/>
  <c r="I157" i="5"/>
  <c r="G141" i="5"/>
  <c r="I141" i="5"/>
  <c r="R157" i="5"/>
  <c r="P157" i="5"/>
  <c r="P158" i="5" s="1"/>
  <c r="R63" i="5"/>
  <c r="R64" i="5" s="1"/>
  <c r="P63" i="5"/>
  <c r="P64" i="5" s="1"/>
  <c r="I155" i="5"/>
  <c r="G155" i="5"/>
  <c r="R107" i="5"/>
  <c r="R108" i="5" s="1"/>
  <c r="P107" i="5"/>
  <c r="P108" i="5" s="1"/>
  <c r="I105" i="5"/>
  <c r="G105" i="5"/>
  <c r="G143" i="5"/>
  <c r="G144" i="5" s="1"/>
  <c r="I143" i="5"/>
  <c r="I144" i="5" s="1"/>
  <c r="P155" i="5"/>
  <c r="R155" i="5"/>
  <c r="P143" i="5"/>
  <c r="P144" i="5" s="1"/>
  <c r="R143" i="5"/>
  <c r="R144" i="5" s="1"/>
  <c r="P105" i="5"/>
  <c r="R105" i="5"/>
  <c r="I107" i="5"/>
  <c r="I108" i="5" s="1"/>
  <c r="G107" i="5"/>
  <c r="G108" i="5" s="1"/>
  <c r="P61" i="5"/>
  <c r="R61" i="5"/>
  <c r="G61" i="5"/>
  <c r="I61" i="5"/>
  <c r="G120" i="5" l="1"/>
  <c r="D13" i="4"/>
  <c r="E13" i="4" s="1"/>
  <c r="B14" i="4"/>
  <c r="C14" i="4" s="1"/>
  <c r="D14" i="4"/>
  <c r="E14" i="4" s="1"/>
  <c r="B13" i="4"/>
  <c r="C13" i="4" s="1"/>
  <c r="AB77" i="5"/>
  <c r="AM40" i="5" s="1"/>
  <c r="L9" i="5"/>
  <c r="M9" i="5" s="1"/>
  <c r="I15" i="4" s="1"/>
  <c r="I9" i="5"/>
  <c r="F14" i="4"/>
  <c r="F13" i="4"/>
  <c r="H7" i="4"/>
  <c r="H6" i="4"/>
  <c r="G5" i="4"/>
  <c r="R158" i="5"/>
  <c r="I158" i="5"/>
  <c r="D16" i="4" s="1"/>
  <c r="E16" i="4" s="1"/>
  <c r="G158" i="5"/>
  <c r="B16" i="4" s="1"/>
  <c r="C16" i="4" s="1"/>
  <c r="F16" i="4" s="1"/>
  <c r="H16" i="4" s="1"/>
  <c r="AH76" i="5"/>
  <c r="AM45" i="5" s="1"/>
  <c r="H5" i="4" s="1"/>
  <c r="F10" i="5" l="1"/>
  <c r="L10" i="5" s="1"/>
  <c r="M10" i="5" s="1"/>
  <c r="I16" i="4" s="1"/>
  <c r="H13" i="4"/>
  <c r="F7" i="5"/>
  <c r="H14" i="4"/>
  <c r="F8" i="5"/>
  <c r="I10" i="5" l="1"/>
  <c r="L7" i="5"/>
  <c r="I7" i="5"/>
  <c r="L8" i="5"/>
  <c r="M8" i="5" s="1"/>
  <c r="I14" i="4" s="1"/>
  <c r="I8" i="5"/>
  <c r="M7" i="5" l="1"/>
  <c r="I13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tc={E6A4A771-A1F1-452B-8B24-A390C716E43D}</author>
    <author>tc={9F3DA35C-CCDB-4024-8406-DFBAE497B288}</author>
    <author>tc={3DD517CF-E7EA-4FA5-88DC-C7331439C708}</author>
    <author>tc={F927A48B-02DF-4549-A239-C5E51B641E9A}</author>
    <author>tc={04E8760F-3889-4113-9AC2-08299C2ED96D}</author>
    <author>tc={F20545C6-F2F3-4773-973B-F1CBC3401AF4}</author>
    <author>tc={E0D637A2-8F9E-4644-9287-6CB776247B0E}</author>
  </authors>
  <commentList>
    <comment ref="J13" authorId="0" shapeId="0" xr:uid="{E6A4A771-A1F1-452B-8B24-A390C716E43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Ideas: 
-Take out Work because BR only available for w/o work
-Add in columns for 15 and 5 base rates here. 
-Maybe have separate sections for each domain and total domain to help with searching algorithm
-Try making it for SOC first since there are only two. See if that inspires the others. </t>
      </text>
    </comment>
    <comment ref="X63" authorId="1" shapeId="0" xr:uid="{9F3DA35C-CCDB-4024-8406-DFBAE497B288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work is not available; I was sure to calculate the Practical mean separately w/o work, regardless of preference entry</t>
      </text>
    </comment>
    <comment ref="J66" authorId="2" shapeId="0" xr:uid="{3DD517CF-E7EA-4FA5-88DC-C7331439C70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Ideas: 
-Take out Work because BR only available for w/o work
-Add in columns for 15 and 5 base rates here. 
-Maybe have separate sections for each domain and total domain to help with searching algorithm
-Try making it for SOC first since there are only two. See if that inspires the others. </t>
      </text>
    </comment>
    <comment ref="J111" authorId="3" shapeId="0" xr:uid="{F927A48B-02DF-4549-A239-C5E51B641E9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Ideas: 
-Take out Work because BR only available for w/o work
-Add in columns for 15 and 5 base rates here. 
-Maybe have separate sections for each domain and total domain to help with searching algorithm
-Try making it for SOC first since there are only two. See if that inspires the others. </t>
      </text>
    </comment>
    <comment ref="J123" authorId="4" shapeId="0" xr:uid="{04E8760F-3889-4113-9AC2-08299C2ED96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Ideas: 
-Take out Work because BR only available for w/o work
-Add in columns for 15 and 5 base rates here. 
-Maybe have separate sections for each domain and total domain to help with searching algorithm
-Try making it for SOC first since there are only two. See if that inspires the others. </t>
      </text>
    </comment>
    <comment ref="J128" authorId="5" shapeId="0" xr:uid="{F20545C6-F2F3-4773-973B-F1CBC3401AF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Ideas: 
-Take out Work because BR only available for w/o work
-Add in columns for 15 and 5 base rates here. 
-Maybe have separate sections for each domain and total domain to help with searching algorithm
-Try making it for SOC first since there are only two. See if that inspires the others. </t>
      </text>
    </comment>
    <comment ref="J146" authorId="6" shapeId="0" xr:uid="{E0D637A2-8F9E-4644-9287-6CB776247B0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Ideas: 
-Take out Work because BR only available for w/o work
-Add in columns for 15 and 5 base rates here. 
-Maybe have separate sections for each domain and total domain to help with searching algorithm
-Try making it for SOC first since there are only two. See if that inspires the others. 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<sst xmlns="http://schemas.openxmlformats.org/spreadsheetml/2006/main" count="1644" uniqueCount="203">
  <si>
    <t>ABAS-3, Adult Form (Ages 16-89)</t>
  </si>
  <si>
    <t>Age Range:</t>
  </si>
  <si>
    <t>16-21</t>
  </si>
  <si>
    <t xml:space="preserve">Include Work? </t>
  </si>
  <si>
    <t>No</t>
  </si>
  <si>
    <t>Rater:</t>
  </si>
  <si>
    <t>Self</t>
  </si>
  <si>
    <t>Prefered C.I.:</t>
  </si>
  <si>
    <t>Adaptive Skill Area</t>
  </si>
  <si>
    <t>Raw</t>
  </si>
  <si>
    <t>Scaled Scores</t>
  </si>
  <si>
    <t>Communication</t>
  </si>
  <si>
    <t>Community Use</t>
  </si>
  <si>
    <t>Func. Academics</t>
  </si>
  <si>
    <t>Home Living</t>
  </si>
  <si>
    <t>Health &amp; Safety</t>
  </si>
  <si>
    <t>Leisure</t>
  </si>
  <si>
    <t>Self-Care</t>
  </si>
  <si>
    <t>Self-Direction</t>
  </si>
  <si>
    <t>Social</t>
  </si>
  <si>
    <t>(Work)</t>
  </si>
  <si>
    <t xml:space="preserve">Sum of ss: </t>
  </si>
  <si>
    <t>GAC</t>
  </si>
  <si>
    <t>Conceptual</t>
  </si>
  <si>
    <t>Practical</t>
  </si>
  <si>
    <t>Composite</t>
  </si>
  <si>
    <t>Sum of Scaled</t>
  </si>
  <si>
    <t>Standard Score</t>
  </si>
  <si>
    <t>Percentile</t>
  </si>
  <si>
    <t>Conf. Int.</t>
  </si>
  <si>
    <t>General Adaptive Composite</t>
  </si>
  <si>
    <t>-</t>
  </si>
  <si>
    <t>Optional Analyses</t>
  </si>
  <si>
    <t>Adaptive Domain Comparisons</t>
  </si>
  <si>
    <t>Domain comparison</t>
  </si>
  <si>
    <t>SS 1</t>
  </si>
  <si>
    <t>SS 2</t>
  </si>
  <si>
    <t>Difference</t>
  </si>
  <si>
    <t xml:space="preserve">Crit Value. </t>
  </si>
  <si>
    <t>.05 level?</t>
  </si>
  <si>
    <t xml:space="preserve">Base rate </t>
  </si>
  <si>
    <t>Conceptual-Social</t>
  </si>
  <si>
    <t>Conceptual-Practical*</t>
  </si>
  <si>
    <t>Social-Practical*</t>
  </si>
  <si>
    <t>*Only w/o Work available for this analysis; Practical calculated w/o Work</t>
  </si>
  <si>
    <t>Scatter in Adaptive Skill Area Scaled Scores</t>
  </si>
  <si>
    <t xml:space="preserve">Comparison Used: </t>
  </si>
  <si>
    <t>General Adaptive Composite (GAC) (all skill areas)</t>
  </si>
  <si>
    <t>GAC/Domain</t>
  </si>
  <si>
    <t>Highest Skill Area</t>
  </si>
  <si>
    <t>Lowest Skill Area</t>
  </si>
  <si>
    <t xml:space="preserve">Difference </t>
  </si>
  <si>
    <t xml:space="preserve">Base Rate </t>
  </si>
  <si>
    <t>Name</t>
  </si>
  <si>
    <t>ss</t>
  </si>
  <si>
    <t>GAC: All skill areas</t>
  </si>
  <si>
    <t>Conceptual skills</t>
  </si>
  <si>
    <t>Social skill areas</t>
  </si>
  <si>
    <t>Practical skill areas</t>
  </si>
  <si>
    <t xml:space="preserve">Strengths and Weaknesses in Adaptive Skill Areas </t>
  </si>
  <si>
    <t xml:space="preserve">Comparison Used?: </t>
  </si>
  <si>
    <t>Sum of scaled scores</t>
  </si>
  <si>
    <t>Mean scaled score</t>
  </si>
  <si>
    <t>Determine Strengths and Weaknesses in Adaptive Skill Areas</t>
  </si>
  <si>
    <t>Skill area</t>
  </si>
  <si>
    <t>Scaled Score</t>
  </si>
  <si>
    <t>Mean</t>
  </si>
  <si>
    <t>Crit Value.</t>
  </si>
  <si>
    <t>Base Rate</t>
  </si>
  <si>
    <t>COMMUNICATION</t>
  </si>
  <si>
    <t>SELF-CARE</t>
  </si>
  <si>
    <t>SELF-DIRECTION</t>
  </si>
  <si>
    <t>SOCIAL</t>
  </si>
  <si>
    <t>Rater: Self</t>
  </si>
  <si>
    <t>Rater: Other</t>
  </si>
  <si>
    <t>Selections</t>
  </si>
  <si>
    <t>Col. Add</t>
  </si>
  <si>
    <t>22-29</t>
  </si>
  <si>
    <t>30-39</t>
  </si>
  <si>
    <t>40-49</t>
  </si>
  <si>
    <t>50-64</t>
  </si>
  <si>
    <t>65-74</t>
  </si>
  <si>
    <t>75-89</t>
  </si>
  <si>
    <t>Age:</t>
  </si>
  <si>
    <t>CI:</t>
  </si>
  <si>
    <t>Work?:</t>
  </si>
  <si>
    <t>Scaled</t>
  </si>
  <si>
    <t>Col.</t>
  </si>
  <si>
    <t>Age</t>
  </si>
  <si>
    <t>Col</t>
  </si>
  <si>
    <t>COMMUNITY USE</t>
  </si>
  <si>
    <t>FUNCTIONAL ACADEMICS</t>
  </si>
  <si>
    <t>HOME LIVING</t>
  </si>
  <si>
    <t>WORK</t>
  </si>
  <si>
    <t>N/A</t>
  </si>
  <si>
    <t>HEALTH AND SAFETY</t>
  </si>
  <si>
    <t>LEISURE</t>
  </si>
  <si>
    <t>GAC without Work</t>
  </si>
  <si>
    <t>GAC with Work</t>
  </si>
  <si>
    <t>CONCEPTUAL FUNCTIONING</t>
  </si>
  <si>
    <t>SOCIAL FUNCTIONING</t>
  </si>
  <si>
    <t>PRACTICAL FUNCTIONING w/o Work</t>
  </si>
  <si>
    <t>PRACTICAL FUNCTIONING with Work</t>
  </si>
  <si>
    <t>Sum of SS</t>
  </si>
  <si>
    <t>Comp</t>
  </si>
  <si>
    <t>GAC w/o Work</t>
  </si>
  <si>
    <t>GAC w/ Work</t>
  </si>
  <si>
    <t>CON</t>
  </si>
  <si>
    <t>SO</t>
  </si>
  <si>
    <t>PR w/o Work</t>
  </si>
  <si>
    <t>PR w/ WORK</t>
  </si>
  <si>
    <t>CI</t>
  </si>
  <si>
    <t>&lt;0.1</t>
  </si>
  <si>
    <t>&gt;90</t>
  </si>
  <si>
    <t>C.I.</t>
  </si>
  <si>
    <t>Base Rates for Adaptive Skills Scatter Within Domains (B28 B35)</t>
  </si>
  <si>
    <t>SS</t>
  </si>
  <si>
    <t>SELF</t>
  </si>
  <si>
    <t>OTHER</t>
  </si>
  <si>
    <t>Comm</t>
  </si>
  <si>
    <t>LS</t>
  </si>
  <si>
    <t xml:space="preserve">Conceptual Domain </t>
  </si>
  <si>
    <t>BR</t>
  </si>
  <si>
    <t>Final BR</t>
  </si>
  <si>
    <t>CU</t>
  </si>
  <si>
    <t>SC</t>
  </si>
  <si>
    <t>Social Domain</t>
  </si>
  <si>
    <t>FA</t>
  </si>
  <si>
    <t>SD</t>
  </si>
  <si>
    <t>Practical w/o Work</t>
  </si>
  <si>
    <t>HL</t>
  </si>
  <si>
    <t>Soc</t>
  </si>
  <si>
    <t>Practice w/ Work</t>
  </si>
  <si>
    <t>SOC</t>
  </si>
  <si>
    <t>HS</t>
  </si>
  <si>
    <t>Work</t>
  </si>
  <si>
    <t>All Dom. w/o Work</t>
  </si>
  <si>
    <t>PRA</t>
  </si>
  <si>
    <t>Include Work?</t>
  </si>
  <si>
    <t>Type of Mean?</t>
  </si>
  <si>
    <t>All Dom. w/ Work</t>
  </si>
  <si>
    <t>Scatter in Adaptive Skills (SELF) (B.27) - All Skills w/ Work</t>
  </si>
  <si>
    <t>Scatter in Adaptive Skills (OTHERS) (B.34) - All Skills w/ Work</t>
  </si>
  <si>
    <t xml:space="preserve">Deter. S/W SELF (B.29) - Skill Area Mean </t>
  </si>
  <si>
    <t>Deter. S/W Crit Value OTHER (B.36) - Skill Area Mean</t>
  </si>
  <si>
    <t>Scale</t>
  </si>
  <si>
    <t>Crit</t>
  </si>
  <si>
    <t>Skill 1</t>
  </si>
  <si>
    <t>Skill 2</t>
  </si>
  <si>
    <t>AbsDiff</t>
  </si>
  <si>
    <t>Sig Val</t>
  </si>
  <si>
    <t>Diff-Sig</t>
  </si>
  <si>
    <t>Diff</t>
  </si>
  <si>
    <t>Sig</t>
  </si>
  <si>
    <t>Communic</t>
  </si>
  <si>
    <t>CommUse</t>
  </si>
  <si>
    <t>FuncAcad</t>
  </si>
  <si>
    <t>HomeLiv</t>
  </si>
  <si>
    <t>Hlth/Safe</t>
  </si>
  <si>
    <t>SelfCare</t>
  </si>
  <si>
    <t>SlfDirect</t>
  </si>
  <si>
    <t>w/o Work</t>
  </si>
  <si>
    <t>w/ Work</t>
  </si>
  <si>
    <t>Deter. S/W Crit Value SELF (B.29) - All Area w/o Work</t>
  </si>
  <si>
    <t>Deter. S/W Crit Value OTHER (B.36) - All Area w/o Work</t>
  </si>
  <si>
    <t>Domain</t>
  </si>
  <si>
    <t>C-S</t>
  </si>
  <si>
    <t>C-P</t>
  </si>
  <si>
    <t>S-P</t>
  </si>
  <si>
    <t>Max:</t>
  </si>
  <si>
    <t>Skill 1 by Diff-Sig:</t>
  </si>
  <si>
    <t>Skill 2:</t>
  </si>
  <si>
    <t>Highest:</t>
  </si>
  <si>
    <t>Lowest:</t>
  </si>
  <si>
    <t>Sig Val:</t>
  </si>
  <si>
    <t>Skill 1 by Diff:</t>
  </si>
  <si>
    <t>Differences b/w Domain SELF (B.25) - w/o Work</t>
  </si>
  <si>
    <t>Differences b/w Domain OTHER (B.32) - w/o Work</t>
  </si>
  <si>
    <t>Use:</t>
  </si>
  <si>
    <t>Scatter in Adaptive Skills (SELF) (B.27) - All Skills w/o Work</t>
  </si>
  <si>
    <t>Scatter in Adaptive Skills (OTHERS) (B.34) - All Skills w/o Work</t>
  </si>
  <si>
    <t>HlthSafe</t>
  </si>
  <si>
    <t>Diff. b/w Domains Base Rates SELF (B.26) - w/o Work</t>
  </si>
  <si>
    <t>Diff. b/w Domains Base Rates SELF (B.33) - w/o Work</t>
  </si>
  <si>
    <t>CON:</t>
  </si>
  <si>
    <t>SOC:</t>
  </si>
  <si>
    <t>PR:</t>
  </si>
  <si>
    <t>DIFF</t>
  </si>
  <si>
    <t>CON-SOC</t>
  </si>
  <si>
    <t>CON-PR</t>
  </si>
  <si>
    <t>SOC-PR</t>
  </si>
  <si>
    <t>Scatter in Adaptive Skills (SELF) (B.27) - Conceptual</t>
  </si>
  <si>
    <t>Scatter in Adaptive Skills (OTHERS) (B.34) - Conceptual</t>
  </si>
  <si>
    <t>SelfDirect</t>
  </si>
  <si>
    <t>Scatter in Adaptive Skills (SELF) (B.27) - Social</t>
  </si>
  <si>
    <t>Scatter in Adaptive Skills (OTHERS) (B.34) - Social</t>
  </si>
  <si>
    <t xml:space="preserve">Use: </t>
  </si>
  <si>
    <t xml:space="preserve">Highest: </t>
  </si>
  <si>
    <t>Scatter in Adaptive Skills (SELF) (B.27) - Practical w/ Work</t>
  </si>
  <si>
    <t>Scatter in Adaptive Skills (OTHERS) (B.34) - Practical w Work</t>
  </si>
  <si>
    <t xml:space="preserve">Max: </t>
  </si>
  <si>
    <t>Scatter in Adaptive Skills (SELF) (B.27) - Practical w/o Work</t>
  </si>
  <si>
    <t>Scatter in Adaptive Skills (OTHERS) (B.34) - Practical w/o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</si>
</sst>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9C65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EB9C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E8D1FF"/>
        <bgColor indexed="64"/>
      </patternFill>
    </fill>
  </fills>
  <borders count="5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ashDotDot">
        <color auto="1"/>
      </left>
      <right style="dashDotDot">
        <color auto="1"/>
      </right>
      <top style="dashDotDot">
        <color auto="1"/>
      </top>
      <bottom style="dashDotDot">
        <color auto="1"/>
      </bottom>
      <diagonal/>
    </border>
    <border>
      <left style="dashDotDot">
        <color auto="1"/>
      </left>
      <right/>
      <top/>
      <bottom/>
      <diagonal/>
    </border>
    <border>
      <left style="dashDotDot">
        <color auto="1"/>
      </left>
      <right/>
      <top style="dashDotDot">
        <color auto="1"/>
      </top>
      <bottom style="dashDotDot">
        <color auto="1"/>
      </bottom>
      <diagonal/>
    </border>
    <border>
      <left/>
      <right style="dashDotDot">
        <color auto="1"/>
      </right>
      <top style="dashDotDot">
        <color auto="1"/>
      </top>
      <bottom style="dashDotDot">
        <color auto="1"/>
      </bottom>
      <diagonal/>
    </border>
    <border>
      <left style="thick">
        <color theme="5"/>
      </left>
      <right/>
      <top style="thick">
        <color theme="5"/>
      </top>
      <bottom/>
      <diagonal/>
    </border>
    <border>
      <left/>
      <right/>
      <top style="thick">
        <color theme="5"/>
      </top>
      <bottom/>
      <diagonal/>
    </border>
    <border>
      <left/>
      <right style="thick">
        <color theme="5"/>
      </right>
      <top style="thick">
        <color theme="5"/>
      </top>
      <bottom/>
      <diagonal/>
    </border>
    <border>
      <left style="thick">
        <color theme="5"/>
      </left>
      <right/>
      <top/>
      <bottom/>
      <diagonal/>
    </border>
    <border>
      <left/>
      <right style="thick">
        <color theme="5"/>
      </right>
      <top/>
      <bottom/>
      <diagonal/>
    </border>
    <border>
      <left style="thick">
        <color theme="5"/>
      </left>
      <right/>
      <top/>
      <bottom style="thick">
        <color theme="5"/>
      </bottom>
      <diagonal/>
    </border>
    <border>
      <left/>
      <right/>
      <top/>
      <bottom style="thick">
        <color theme="5"/>
      </bottom>
      <diagonal/>
    </border>
    <border>
      <left/>
      <right style="thick">
        <color theme="5"/>
      </right>
      <top/>
      <bottom style="thick">
        <color theme="5"/>
      </bottom>
      <diagonal/>
    </border>
    <border>
      <left style="thick">
        <color theme="8"/>
      </left>
      <right/>
      <top style="thick">
        <color theme="8"/>
      </top>
      <bottom/>
      <diagonal/>
    </border>
    <border>
      <left/>
      <right/>
      <top style="thick">
        <color theme="8"/>
      </top>
      <bottom/>
      <diagonal/>
    </border>
    <border>
      <left/>
      <right style="thick">
        <color theme="8"/>
      </right>
      <top style="thick">
        <color theme="8"/>
      </top>
      <bottom/>
      <diagonal/>
    </border>
    <border>
      <left style="thick">
        <color theme="8"/>
      </left>
      <right/>
      <top/>
      <bottom/>
      <diagonal/>
    </border>
    <border>
      <left/>
      <right style="thick">
        <color theme="8"/>
      </right>
      <top/>
      <bottom/>
      <diagonal/>
    </border>
    <border>
      <left style="thick">
        <color theme="8"/>
      </left>
      <right/>
      <top/>
      <bottom style="thick">
        <color theme="8"/>
      </bottom>
      <diagonal/>
    </border>
    <border>
      <left/>
      <right/>
      <top/>
      <bottom style="thick">
        <color theme="8"/>
      </bottom>
      <diagonal/>
    </border>
    <border>
      <left/>
      <right style="thick">
        <color theme="8"/>
      </right>
      <top/>
      <bottom style="thick">
        <color theme="8"/>
      </bottom>
      <diagonal/>
    </border>
    <border>
      <left style="thick">
        <color theme="8"/>
      </left>
      <right/>
      <top style="thick">
        <color theme="8"/>
      </top>
      <bottom style="thick">
        <color theme="8"/>
      </bottom>
      <diagonal/>
    </border>
    <border>
      <left/>
      <right/>
      <top style="thick">
        <color theme="8"/>
      </top>
      <bottom style="thick">
        <color theme="8"/>
      </bottom>
      <diagonal/>
    </border>
    <border>
      <left/>
      <right style="thick">
        <color theme="8"/>
      </right>
      <top style="thick">
        <color theme="8"/>
      </top>
      <bottom style="thick">
        <color theme="8"/>
      </bottom>
      <diagonal/>
    </border>
    <border>
      <left style="thick">
        <color theme="8"/>
      </left>
      <right style="thick">
        <color theme="8"/>
      </right>
      <top style="thick">
        <color theme="8"/>
      </top>
      <bottom/>
      <diagonal/>
    </border>
    <border>
      <left style="thick">
        <color theme="7"/>
      </left>
      <right/>
      <top style="thick">
        <color theme="7"/>
      </top>
      <bottom/>
      <diagonal/>
    </border>
    <border>
      <left/>
      <right/>
      <top style="thick">
        <color theme="7"/>
      </top>
      <bottom/>
      <diagonal/>
    </border>
    <border>
      <left style="thick">
        <color theme="7"/>
      </left>
      <right/>
      <top/>
      <bottom/>
      <diagonal/>
    </border>
    <border>
      <left style="thick">
        <color theme="7"/>
      </left>
      <right/>
      <top/>
      <bottom style="thick">
        <color theme="7"/>
      </bottom>
      <diagonal/>
    </border>
    <border>
      <left/>
      <right/>
      <top/>
      <bottom style="thick">
        <color theme="7"/>
      </bottom>
      <diagonal/>
    </border>
    <border>
      <left style="thick">
        <color theme="8"/>
      </left>
      <right/>
      <top style="thick">
        <color theme="7"/>
      </top>
      <bottom/>
      <diagonal/>
    </border>
    <border>
      <left style="thick">
        <color theme="8"/>
      </left>
      <right/>
      <top/>
      <bottom style="thick">
        <color theme="7"/>
      </bottom>
      <diagonal/>
    </border>
    <border>
      <left/>
      <right style="thick">
        <color theme="8"/>
      </right>
      <top style="thick">
        <color theme="5"/>
      </top>
      <bottom/>
      <diagonal/>
    </border>
    <border>
      <left/>
      <right style="thick">
        <color theme="8"/>
      </right>
      <top/>
      <bottom style="thick">
        <color theme="5"/>
      </bottom>
      <diagonal/>
    </border>
    <border>
      <left style="thick">
        <color theme="9"/>
      </left>
      <right/>
      <top style="thick">
        <color theme="9"/>
      </top>
      <bottom/>
      <diagonal/>
    </border>
    <border>
      <left/>
      <right/>
      <top style="thick">
        <color theme="9"/>
      </top>
      <bottom/>
      <diagonal/>
    </border>
    <border>
      <left/>
      <right style="thick">
        <color theme="9"/>
      </right>
      <top style="thick">
        <color theme="9"/>
      </top>
      <bottom/>
      <diagonal/>
    </border>
    <border>
      <left style="thick">
        <color theme="9"/>
      </left>
      <right/>
      <top/>
      <bottom/>
      <diagonal/>
    </border>
    <border>
      <left/>
      <right style="thick">
        <color theme="9"/>
      </right>
      <top/>
      <bottom/>
      <diagonal/>
    </border>
    <border>
      <left style="thick">
        <color theme="9"/>
      </left>
      <right/>
      <top/>
      <bottom style="thick">
        <color theme="9"/>
      </bottom>
      <diagonal/>
    </border>
    <border>
      <left/>
      <right/>
      <top/>
      <bottom style="thick">
        <color theme="9"/>
      </bottom>
      <diagonal/>
    </border>
    <border>
      <left/>
      <right style="thick">
        <color theme="9"/>
      </right>
      <top/>
      <bottom style="thick">
        <color theme="9"/>
      </bottom>
      <diagonal/>
    </border>
    <border>
      <left/>
      <right style="thick">
        <color theme="9"/>
      </right>
      <top/>
      <bottom style="thick">
        <color theme="7"/>
      </bottom>
      <diagonal/>
    </border>
    <border>
      <left/>
      <right style="thick">
        <color theme="5"/>
      </right>
      <top/>
      <bottom style="thick">
        <color theme="9"/>
      </bottom>
      <diagonal/>
    </border>
    <border>
      <left/>
      <right style="thick">
        <color theme="7"/>
      </right>
      <top style="thick">
        <color theme="7"/>
      </top>
      <bottom/>
      <diagonal/>
    </border>
    <border>
      <left/>
      <right style="thick">
        <color theme="7"/>
      </right>
      <top/>
      <bottom/>
      <diagonal/>
    </border>
    <border>
      <left/>
      <right style="thick">
        <color theme="7"/>
      </right>
      <top/>
      <bottom style="thick">
        <color theme="7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10" fillId="11" borderId="0" applyNumberFormat="0" applyBorder="0" applyAlignment="0" applyProtection="0"/>
    <xf numFmtId="0" fontId="12" fillId="17" borderId="0" applyNumberFormat="0" applyBorder="0" applyAlignment="0" applyProtection="0"/>
  </cellStyleXfs>
  <cellXfs count="3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6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horizontal="left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right"/>
    </xf>
    <xf numFmtId="0" fontId="2" fillId="5" borderId="6" xfId="0" applyFont="1" applyFill="1" applyBorder="1" applyAlignment="1">
      <alignment horizontal="center"/>
    </xf>
    <xf numFmtId="9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11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5" fillId="6" borderId="20" xfId="0" applyFont="1" applyFill="1" applyBorder="1" applyAlignment="1">
      <alignment horizontal="center"/>
    </xf>
    <xf numFmtId="0" fontId="5" fillId="6" borderId="21" xfId="0" applyFont="1" applyFill="1" applyBorder="1" applyAlignment="1">
      <alignment horizontal="center"/>
    </xf>
    <xf numFmtId="0" fontId="5" fillId="6" borderId="22" xfId="0" applyFont="1" applyFill="1" applyBorder="1" applyAlignment="1">
      <alignment horizontal="center"/>
    </xf>
    <xf numFmtId="49" fontId="4" fillId="2" borderId="1" xfId="1" applyNumberFormat="1" applyFont="1" applyAlignment="1">
      <alignment horizontal="center"/>
    </xf>
    <xf numFmtId="9" fontId="4" fillId="2" borderId="1" xfId="1" applyNumberFormat="1" applyFont="1" applyAlignment="1">
      <alignment horizontal="centerContinuous"/>
    </xf>
    <xf numFmtId="0" fontId="4" fillId="2" borderId="1" xfId="1" applyFont="1" applyAlignment="1">
      <alignment horizontal="centerContinuous"/>
    </xf>
    <xf numFmtId="0" fontId="4" fillId="2" borderId="1" xfId="1" applyFont="1" applyAlignment="1">
      <alignment horizontal="center"/>
    </xf>
    <xf numFmtId="9" fontId="4" fillId="2" borderId="1" xfId="1" applyNumberFormat="1" applyFont="1" applyAlignment="1" applyProtection="1">
      <alignment horizontal="center"/>
      <protection hidden="1"/>
    </xf>
    <xf numFmtId="0" fontId="0" fillId="6" borderId="0" xfId="0" applyFill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10" fillId="11" borderId="0" xfId="2" applyAlignment="1">
      <alignment horizontal="center"/>
    </xf>
    <xf numFmtId="0" fontId="0" fillId="7" borderId="29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5" fillId="7" borderId="30" xfId="0" applyFont="1" applyFill="1" applyBorder="1" applyAlignment="1">
      <alignment horizontal="center"/>
    </xf>
    <xf numFmtId="0" fontId="5" fillId="7" borderId="31" xfId="0" applyFont="1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9" borderId="18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33" xfId="0" applyFill="1" applyBorder="1" applyAlignment="1">
      <alignment horizontal="center"/>
    </xf>
    <xf numFmtId="0" fontId="0" fillId="9" borderId="31" xfId="0" applyFill="1" applyBorder="1" applyAlignment="1">
      <alignment horizontal="center"/>
    </xf>
    <xf numFmtId="0" fontId="5" fillId="7" borderId="33" xfId="0" applyFont="1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5" fillId="3" borderId="35" xfId="0" applyFont="1" applyFill="1" applyBorder="1" applyAlignment="1">
      <alignment horizontal="center"/>
    </xf>
    <xf numFmtId="0" fontId="0" fillId="5" borderId="39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0" xfId="0" applyFill="1" applyBorder="1" applyAlignment="1">
      <alignment horizontal="center"/>
    </xf>
    <xf numFmtId="0" fontId="0" fillId="5" borderId="41" xfId="0" applyFill="1" applyBorder="1" applyAlignment="1">
      <alignment horizontal="center"/>
    </xf>
    <xf numFmtId="0" fontId="0" fillId="5" borderId="42" xfId="0" applyFill="1" applyBorder="1" applyAlignment="1">
      <alignment horizontal="center"/>
    </xf>
    <xf numFmtId="0" fontId="0" fillId="5" borderId="43" xfId="0" applyFill="1" applyBorder="1" applyAlignment="1">
      <alignment horizontal="center"/>
    </xf>
    <xf numFmtId="0" fontId="5" fillId="5" borderId="41" xfId="0" applyFont="1" applyFill="1" applyBorder="1" applyAlignment="1">
      <alignment horizontal="center"/>
    </xf>
    <xf numFmtId="0" fontId="5" fillId="5" borderId="42" xfId="0" applyFont="1" applyFill="1" applyBorder="1" applyAlignment="1">
      <alignment horizontal="center"/>
    </xf>
    <xf numFmtId="0" fontId="5" fillId="5" borderId="43" xfId="0" applyFont="1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2" xfId="0" applyFill="1" applyBorder="1" applyAlignment="1">
      <alignment horizontal="center"/>
    </xf>
    <xf numFmtId="0" fontId="0" fillId="10" borderId="43" xfId="0" applyFill="1" applyBorder="1" applyAlignment="1">
      <alignment horizontal="center"/>
    </xf>
    <xf numFmtId="0" fontId="6" fillId="12" borderId="0" xfId="0" applyFont="1" applyFill="1" applyAlignment="1">
      <alignment horizontal="center"/>
    </xf>
    <xf numFmtId="0" fontId="0" fillId="12" borderId="0" xfId="0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0" fillId="13" borderId="10" xfId="0" applyFill="1" applyBorder="1" applyAlignment="1">
      <alignment horizontal="center"/>
    </xf>
    <xf numFmtId="0" fontId="0" fillId="13" borderId="0" xfId="0" applyFill="1" applyAlignment="1">
      <alignment horizontal="center"/>
    </xf>
    <xf numFmtId="0" fontId="0" fillId="13" borderId="11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13" borderId="14" xfId="0" applyFill="1" applyBorder="1" applyAlignment="1">
      <alignment horizontal="center"/>
    </xf>
    <xf numFmtId="0" fontId="0" fillId="14" borderId="18" xfId="0" applyFill="1" applyBorder="1" applyAlignment="1">
      <alignment horizontal="center"/>
    </xf>
    <xf numFmtId="0" fontId="0" fillId="14" borderId="0" xfId="0" applyFill="1" applyAlignment="1">
      <alignment horizontal="center"/>
    </xf>
    <xf numFmtId="0" fontId="0" fillId="14" borderId="33" xfId="0" applyFill="1" applyBorder="1" applyAlignment="1">
      <alignment horizontal="center"/>
    </xf>
    <xf numFmtId="0" fontId="0" fillId="14" borderId="31" xfId="0" applyFill="1" applyBorder="1" applyAlignment="1">
      <alignment horizontal="center"/>
    </xf>
    <xf numFmtId="0" fontId="0" fillId="14" borderId="44" xfId="0" applyFill="1" applyBorder="1" applyAlignment="1">
      <alignment horizontal="center"/>
    </xf>
    <xf numFmtId="0" fontId="0" fillId="13" borderId="35" xfId="0" applyFill="1" applyBorder="1" applyAlignment="1">
      <alignment horizontal="center"/>
    </xf>
    <xf numFmtId="0" fontId="0" fillId="15" borderId="18" xfId="0" applyFill="1" applyBorder="1" applyAlignment="1">
      <alignment horizontal="center"/>
    </xf>
    <xf numFmtId="0" fontId="0" fillId="15" borderId="0" xfId="0" applyFill="1" applyAlignment="1">
      <alignment horizontal="center"/>
    </xf>
    <xf numFmtId="0" fontId="0" fillId="15" borderId="19" xfId="0" applyFill="1" applyBorder="1" applyAlignment="1">
      <alignment horizontal="center"/>
    </xf>
    <xf numFmtId="0" fontId="0" fillId="15" borderId="20" xfId="0" applyFill="1" applyBorder="1" applyAlignment="1">
      <alignment horizontal="center"/>
    </xf>
    <xf numFmtId="0" fontId="0" fillId="15" borderId="21" xfId="0" applyFill="1" applyBorder="1" applyAlignment="1">
      <alignment horizontal="center"/>
    </xf>
    <xf numFmtId="0" fontId="0" fillId="15" borderId="22" xfId="0" applyFill="1" applyBorder="1" applyAlignment="1">
      <alignment horizontal="center"/>
    </xf>
    <xf numFmtId="0" fontId="0" fillId="16" borderId="39" xfId="0" applyFill="1" applyBorder="1" applyAlignment="1">
      <alignment horizontal="center"/>
    </xf>
    <xf numFmtId="0" fontId="0" fillId="16" borderId="0" xfId="0" applyFill="1" applyAlignment="1">
      <alignment horizontal="center"/>
    </xf>
    <xf numFmtId="0" fontId="0" fillId="16" borderId="40" xfId="0" applyFill="1" applyBorder="1" applyAlignment="1">
      <alignment horizontal="center"/>
    </xf>
    <xf numFmtId="0" fontId="0" fillId="16" borderId="41" xfId="0" applyFill="1" applyBorder="1" applyAlignment="1">
      <alignment horizontal="center"/>
    </xf>
    <xf numFmtId="0" fontId="0" fillId="16" borderId="42" xfId="0" applyFill="1" applyBorder="1" applyAlignment="1">
      <alignment horizontal="center"/>
    </xf>
    <xf numFmtId="0" fontId="0" fillId="16" borderId="45" xfId="0" applyFill="1" applyBorder="1" applyAlignment="1">
      <alignment horizontal="center"/>
    </xf>
    <xf numFmtId="0" fontId="11" fillId="12" borderId="0" xfId="0" applyFont="1" applyFill="1" applyAlignment="1">
      <alignment horizontal="center"/>
    </xf>
    <xf numFmtId="9" fontId="0" fillId="0" borderId="0" xfId="0" applyNumberFormat="1"/>
    <xf numFmtId="9" fontId="0" fillId="12" borderId="0" xfId="0" applyNumberFormat="1" applyFill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34" xfId="0" applyFill="1" applyBorder="1" applyAlignment="1">
      <alignment horizontal="center"/>
    </xf>
    <xf numFmtId="0" fontId="0" fillId="7" borderId="32" xfId="0" applyFill="1" applyBorder="1" applyAlignment="1">
      <alignment horizontal="center"/>
    </xf>
    <xf numFmtId="0" fontId="0" fillId="7" borderId="28" xfId="0" applyFill="1" applyBorder="1" applyAlignment="1">
      <alignment horizontal="center"/>
    </xf>
    <xf numFmtId="0" fontId="0" fillId="7" borderId="33" xfId="0" applyFill="1" applyBorder="1" applyAlignment="1">
      <alignment horizontal="center"/>
    </xf>
    <xf numFmtId="0" fontId="0" fillId="7" borderId="27" xfId="0" applyFill="1" applyBorder="1" applyAlignment="1">
      <alignment horizontal="center"/>
    </xf>
    <xf numFmtId="0" fontId="0" fillId="5" borderId="36" xfId="0" applyFill="1" applyBorder="1" applyAlignment="1">
      <alignment horizontal="center"/>
    </xf>
    <xf numFmtId="0" fontId="0" fillId="5" borderId="37" xfId="0" applyFill="1" applyBorder="1" applyAlignment="1">
      <alignment horizontal="center"/>
    </xf>
    <xf numFmtId="0" fontId="0" fillId="5" borderId="38" xfId="0" applyFill="1" applyBorder="1" applyAlignment="1">
      <alignment horizontal="center"/>
    </xf>
    <xf numFmtId="0" fontId="13" fillId="17" borderId="0" xfId="3" applyFont="1" applyAlignment="1">
      <alignment horizontal="center"/>
    </xf>
    <xf numFmtId="0" fontId="5" fillId="7" borderId="0" xfId="0" applyFont="1" applyFill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18" borderId="18" xfId="0" applyFill="1" applyBorder="1" applyAlignment="1">
      <alignment horizontal="center"/>
    </xf>
    <xf numFmtId="0" fontId="0" fillId="18" borderId="0" xfId="0" applyFill="1" applyAlignment="1">
      <alignment horizontal="center"/>
    </xf>
    <xf numFmtId="0" fontId="0" fillId="18" borderId="19" xfId="0" applyFill="1" applyBorder="1" applyAlignment="1">
      <alignment horizontal="center"/>
    </xf>
    <xf numFmtId="0" fontId="14" fillId="0" borderId="0" xfId="0" applyFont="1"/>
    <xf numFmtId="0" fontId="0" fillId="18" borderId="21" xfId="0" applyFill="1" applyBorder="1" applyAlignment="1">
      <alignment horizontal="center"/>
    </xf>
    <xf numFmtId="0" fontId="0" fillId="18" borderId="20" xfId="0" applyFill="1" applyBorder="1" applyAlignment="1">
      <alignment horizontal="center"/>
    </xf>
    <xf numFmtId="1" fontId="0" fillId="12" borderId="0" xfId="0" applyNumberFormat="1" applyFill="1" applyAlignment="1">
      <alignment horizontal="center"/>
    </xf>
    <xf numFmtId="0" fontId="0" fillId="18" borderId="19" xfId="0" applyFill="1" applyBorder="1"/>
    <xf numFmtId="0" fontId="0" fillId="18" borderId="22" xfId="0" applyFill="1" applyBorder="1"/>
    <xf numFmtId="0" fontId="0" fillId="14" borderId="47" xfId="0" applyFill="1" applyBorder="1" applyAlignment="1">
      <alignment horizontal="center"/>
    </xf>
    <xf numFmtId="0" fontId="0" fillId="14" borderId="48" xfId="0" applyFill="1" applyBorder="1" applyAlignment="1">
      <alignment horizontal="center"/>
    </xf>
    <xf numFmtId="0" fontId="0" fillId="16" borderId="43" xfId="0" applyFill="1" applyBorder="1" applyAlignment="1">
      <alignment horizontal="center"/>
    </xf>
    <xf numFmtId="0" fontId="0" fillId="18" borderId="22" xfId="0" applyFill="1" applyBorder="1" applyAlignment="1">
      <alignment horizontal="center"/>
    </xf>
    <xf numFmtId="0" fontId="0" fillId="0" borderId="0" xfId="0" applyAlignment="1">
      <alignment horizontal="left" readingOrder="1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Continuous"/>
    </xf>
    <xf numFmtId="0" fontId="5" fillId="0" borderId="0" xfId="0" applyFont="1" applyAlignment="1">
      <alignment horizontal="centerContinuous"/>
    </xf>
    <xf numFmtId="0" fontId="5" fillId="0" borderId="0" xfId="0" applyFont="1"/>
    <xf numFmtId="0" fontId="2" fillId="0" borderId="0" xfId="0" applyFont="1" applyAlignment="1">
      <alignment horizontal="center"/>
    </xf>
    <xf numFmtId="9" fontId="6" fillId="0" borderId="0" xfId="0" applyNumberFormat="1" applyFont="1" applyAlignment="1">
      <alignment horizontal="center"/>
    </xf>
    <xf numFmtId="0" fontId="1" fillId="21" borderId="1" xfId="1" applyFill="1" applyAlignment="1">
      <alignment horizontal="center"/>
    </xf>
    <xf numFmtId="0" fontId="15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2" fontId="0" fillId="0" borderId="0" xfId="0" applyNumberFormat="1" applyAlignment="1">
      <alignment horizontal="center"/>
    </xf>
    <xf numFmtId="0" fontId="18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18" fillId="0" borderId="0" xfId="0" applyNumberFormat="1" applyFont="1" applyAlignment="1">
      <alignment horizontal="center"/>
    </xf>
    <xf numFmtId="0" fontId="15" fillId="0" borderId="0" xfId="0" applyFont="1" applyAlignment="1">
      <alignment horizontal="right"/>
    </xf>
    <xf numFmtId="0" fontId="1" fillId="2" borderId="50" xfId="1" applyBorder="1" applyAlignment="1">
      <alignment horizontal="left"/>
    </xf>
    <xf numFmtId="0" fontId="1" fillId="2" borderId="51" xfId="1" applyBorder="1" applyAlignment="1">
      <alignment horizontal="left"/>
    </xf>
    <xf numFmtId="0" fontId="1" fillId="2" borderId="49" xfId="1" applyBorder="1" applyAlignment="1">
      <alignment horizontal="left"/>
    </xf>
    <xf numFmtId="0" fontId="2" fillId="22" borderId="0" xfId="0" applyFont="1" applyFill="1" applyAlignment="1">
      <alignment horizontal="center"/>
    </xf>
    <xf numFmtId="0" fontId="19" fillId="0" borderId="0" xfId="0" applyFont="1" applyAlignment="1">
      <alignment vertical="top"/>
    </xf>
    <xf numFmtId="2" fontId="0" fillId="0" borderId="0" xfId="0" applyNumberFormat="1"/>
    <xf numFmtId="0" fontId="6" fillId="0" borderId="0" xfId="0" applyFont="1" applyAlignment="1">
      <alignment horizontal="left"/>
    </xf>
    <xf numFmtId="2" fontId="0" fillId="5" borderId="0" xfId="0" applyNumberFormat="1" applyFill="1" applyAlignment="1">
      <alignment horizontal="center"/>
    </xf>
    <xf numFmtId="0" fontId="18" fillId="5" borderId="0" xfId="0" applyFont="1" applyFill="1" applyAlignment="1">
      <alignment horizontal="center"/>
    </xf>
    <xf numFmtId="0" fontId="0" fillId="5" borderId="0" xfId="0" applyFill="1"/>
    <xf numFmtId="0" fontId="2" fillId="5" borderId="0" xfId="0" applyFont="1" applyFill="1" applyAlignment="1">
      <alignment horizontal="right"/>
    </xf>
    <xf numFmtId="0" fontId="2" fillId="5" borderId="0" xfId="0" applyFont="1" applyFill="1"/>
    <xf numFmtId="2" fontId="0" fillId="5" borderId="0" xfId="0" applyNumberFormat="1" applyFill="1"/>
    <xf numFmtId="1" fontId="0" fillId="5" borderId="0" xfId="0" applyNumberFormat="1" applyFill="1"/>
    <xf numFmtId="0" fontId="6" fillId="5" borderId="0" xfId="0" applyFont="1" applyFill="1" applyAlignment="1">
      <alignment horizontal="right"/>
    </xf>
    <xf numFmtId="2" fontId="0" fillId="6" borderId="0" xfId="0" applyNumberFormat="1" applyFill="1" applyAlignment="1">
      <alignment horizontal="center"/>
    </xf>
    <xf numFmtId="0" fontId="18" fillId="6" borderId="0" xfId="0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0" fontId="0" fillId="6" borderId="0" xfId="0" applyFill="1"/>
    <xf numFmtId="0" fontId="2" fillId="6" borderId="0" xfId="0" applyFont="1" applyFill="1" applyAlignment="1">
      <alignment horizontal="right"/>
    </xf>
    <xf numFmtId="0" fontId="6" fillId="6" borderId="0" xfId="0" applyFont="1" applyFill="1" applyAlignment="1">
      <alignment horizontal="right"/>
    </xf>
    <xf numFmtId="0" fontId="0" fillId="18" borderId="0" xfId="0" applyFill="1"/>
    <xf numFmtId="0" fontId="18" fillId="18" borderId="0" xfId="0" applyFont="1" applyFill="1" applyAlignment="1">
      <alignment horizontal="center"/>
    </xf>
    <xf numFmtId="0" fontId="2" fillId="18" borderId="0" xfId="0" applyFont="1" applyFill="1" applyAlignment="1">
      <alignment horizontal="center"/>
    </xf>
    <xf numFmtId="2" fontId="0" fillId="18" borderId="0" xfId="0" applyNumberFormat="1" applyFill="1" applyAlignment="1">
      <alignment horizontal="center"/>
    </xf>
    <xf numFmtId="0" fontId="0" fillId="10" borderId="0" xfId="0" applyFill="1"/>
    <xf numFmtId="0" fontId="18" fillId="10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2" fontId="0" fillId="10" borderId="0" xfId="0" applyNumberFormat="1" applyFill="1" applyAlignment="1">
      <alignment horizontal="center"/>
    </xf>
    <xf numFmtId="2" fontId="0" fillId="10" borderId="0" xfId="0" applyNumberFormat="1" applyFill="1"/>
    <xf numFmtId="0" fontId="2" fillId="18" borderId="0" xfId="0" applyFont="1" applyFill="1" applyAlignment="1">
      <alignment horizontal="right"/>
    </xf>
    <xf numFmtId="0" fontId="6" fillId="18" borderId="0" xfId="0" applyFont="1" applyFill="1" applyAlignment="1">
      <alignment horizontal="right"/>
    </xf>
    <xf numFmtId="0" fontId="2" fillId="10" borderId="0" xfId="0" applyFont="1" applyFill="1" applyAlignment="1">
      <alignment horizontal="right"/>
    </xf>
    <xf numFmtId="0" fontId="6" fillId="10" borderId="0" xfId="0" applyFont="1" applyFill="1" applyAlignment="1">
      <alignment horizontal="right"/>
    </xf>
    <xf numFmtId="1" fontId="0" fillId="18" borderId="0" xfId="0" applyNumberFormat="1" applyFill="1" applyAlignment="1">
      <alignment horizontal="center"/>
    </xf>
    <xf numFmtId="1" fontId="0" fillId="10" borderId="0" xfId="0" applyNumberFormat="1" applyFill="1" applyAlignment="1">
      <alignment horizontal="center"/>
    </xf>
    <xf numFmtId="0" fontId="2" fillId="0" borderId="0" xfId="0" applyFont="1" applyAlignment="1">
      <alignment horizontal="right"/>
    </xf>
    <xf numFmtId="0" fontId="18" fillId="3" borderId="0" xfId="0" applyFont="1" applyFill="1" applyAlignment="1">
      <alignment horizontal="center"/>
    </xf>
    <xf numFmtId="2" fontId="0" fillId="3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/>
    <xf numFmtId="0" fontId="6" fillId="3" borderId="0" xfId="0" applyFont="1" applyFill="1" applyAlignment="1">
      <alignment horizontal="right"/>
    </xf>
    <xf numFmtId="0" fontId="18" fillId="8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2" fontId="0" fillId="8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0" fontId="0" fillId="8" borderId="0" xfId="0" applyFill="1"/>
    <xf numFmtId="0" fontId="2" fillId="8" borderId="0" xfId="0" applyFont="1" applyFill="1" applyAlignment="1">
      <alignment horizontal="right"/>
    </xf>
    <xf numFmtId="0" fontId="6" fillId="8" borderId="0" xfId="0" applyFont="1" applyFill="1" applyAlignment="1">
      <alignment horizontal="right"/>
    </xf>
    <xf numFmtId="0" fontId="5" fillId="7" borderId="0" xfId="0" applyFont="1" applyFill="1"/>
    <xf numFmtId="0" fontId="2" fillId="7" borderId="0" xfId="0" applyFont="1" applyFill="1"/>
    <xf numFmtId="2" fontId="0" fillId="7" borderId="0" xfId="0" applyNumberFormat="1" applyFill="1" applyAlignment="1">
      <alignment horizontal="center"/>
    </xf>
    <xf numFmtId="0" fontId="18" fillId="7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0" fontId="5" fillId="9" borderId="0" xfId="0" applyFont="1" applyFill="1"/>
    <xf numFmtId="0" fontId="0" fillId="9" borderId="0" xfId="0" applyFill="1"/>
    <xf numFmtId="0" fontId="18" fillId="9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2" fontId="0" fillId="9" borderId="0" xfId="0" applyNumberFormat="1" applyFill="1" applyAlignment="1">
      <alignment horizontal="center"/>
    </xf>
    <xf numFmtId="1" fontId="0" fillId="9" borderId="0" xfId="0" applyNumberFormat="1" applyFill="1" applyAlignment="1">
      <alignment horizontal="center"/>
    </xf>
    <xf numFmtId="0" fontId="18" fillId="23" borderId="0" xfId="0" applyFont="1" applyFill="1" applyAlignment="1">
      <alignment horizontal="center"/>
    </xf>
    <xf numFmtId="0" fontId="2" fillId="23" borderId="0" xfId="0" applyFont="1" applyFill="1" applyAlignment="1">
      <alignment horizontal="center"/>
    </xf>
    <xf numFmtId="0" fontId="0" fillId="23" borderId="0" xfId="0" applyFill="1" applyAlignment="1">
      <alignment horizontal="center"/>
    </xf>
    <xf numFmtId="2" fontId="0" fillId="23" borderId="0" xfId="0" applyNumberFormat="1" applyFill="1" applyAlignment="1">
      <alignment horizontal="center"/>
    </xf>
    <xf numFmtId="1" fontId="0" fillId="23" borderId="0" xfId="0" applyNumberFormat="1" applyFill="1" applyAlignment="1">
      <alignment horizontal="center"/>
    </xf>
    <xf numFmtId="0" fontId="0" fillId="23" borderId="0" xfId="0" applyFill="1"/>
    <xf numFmtId="0" fontId="2" fillId="23" borderId="0" xfId="0" applyFont="1" applyFill="1" applyAlignment="1">
      <alignment horizontal="right"/>
    </xf>
    <xf numFmtId="0" fontId="6" fillId="23" borderId="0" xfId="0" applyFont="1" applyFill="1" applyAlignment="1">
      <alignment horizontal="right"/>
    </xf>
    <xf numFmtId="0" fontId="18" fillId="24" borderId="0" xfId="0" applyFont="1" applyFill="1" applyAlignment="1">
      <alignment horizontal="center"/>
    </xf>
    <xf numFmtId="0" fontId="2" fillId="24" borderId="0" xfId="0" applyFont="1" applyFill="1" applyAlignment="1">
      <alignment horizontal="center"/>
    </xf>
    <xf numFmtId="0" fontId="0" fillId="24" borderId="0" xfId="0" applyFill="1" applyAlignment="1">
      <alignment horizontal="center"/>
    </xf>
    <xf numFmtId="2" fontId="0" fillId="24" borderId="0" xfId="0" applyNumberFormat="1" applyFill="1" applyAlignment="1">
      <alignment horizontal="center"/>
    </xf>
    <xf numFmtId="1" fontId="0" fillId="24" borderId="0" xfId="0" applyNumberFormat="1" applyFill="1" applyAlignment="1">
      <alignment horizontal="center"/>
    </xf>
    <xf numFmtId="0" fontId="0" fillId="24" borderId="0" xfId="0" applyFill="1"/>
    <xf numFmtId="0" fontId="2" fillId="24" borderId="0" xfId="0" applyFont="1" applyFill="1" applyAlignment="1">
      <alignment horizontal="right"/>
    </xf>
    <xf numFmtId="0" fontId="6" fillId="24" borderId="0" xfId="0" applyFont="1" applyFill="1" applyAlignment="1">
      <alignment horizontal="right"/>
    </xf>
    <xf numFmtId="0" fontId="18" fillId="25" borderId="0" xfId="0" applyFont="1" applyFill="1" applyAlignment="1">
      <alignment horizontal="center"/>
    </xf>
    <xf numFmtId="0" fontId="2" fillId="25" borderId="0" xfId="0" applyFont="1" applyFill="1" applyAlignment="1">
      <alignment horizontal="center"/>
    </xf>
    <xf numFmtId="0" fontId="0" fillId="25" borderId="0" xfId="0" applyFill="1" applyAlignment="1">
      <alignment horizontal="center"/>
    </xf>
    <xf numFmtId="2" fontId="0" fillId="25" borderId="0" xfId="0" applyNumberFormat="1" applyFill="1" applyAlignment="1">
      <alignment horizontal="center"/>
    </xf>
    <xf numFmtId="1" fontId="0" fillId="25" borderId="0" xfId="0" applyNumberFormat="1" applyFill="1" applyAlignment="1">
      <alignment horizontal="center"/>
    </xf>
    <xf numFmtId="0" fontId="0" fillId="25" borderId="0" xfId="0" applyFill="1"/>
    <xf numFmtId="2" fontId="0" fillId="25" borderId="0" xfId="0" applyNumberFormat="1" applyFill="1"/>
    <xf numFmtId="0" fontId="2" fillId="25" borderId="0" xfId="0" applyFont="1" applyFill="1" applyAlignment="1">
      <alignment horizontal="right"/>
    </xf>
    <xf numFmtId="0" fontId="6" fillId="25" borderId="0" xfId="0" applyFont="1" applyFill="1" applyAlignment="1">
      <alignment horizontal="right"/>
    </xf>
    <xf numFmtId="0" fontId="18" fillId="26" borderId="0" xfId="0" applyFont="1" applyFill="1" applyAlignment="1">
      <alignment horizontal="center"/>
    </xf>
    <xf numFmtId="0" fontId="2" fillId="26" borderId="0" xfId="0" applyFont="1" applyFill="1" applyAlignment="1">
      <alignment horizontal="center"/>
    </xf>
    <xf numFmtId="0" fontId="0" fillId="26" borderId="0" xfId="0" applyFill="1" applyAlignment="1">
      <alignment horizontal="center"/>
    </xf>
    <xf numFmtId="2" fontId="0" fillId="26" borderId="0" xfId="0" applyNumberFormat="1" applyFill="1" applyAlignment="1">
      <alignment horizontal="center"/>
    </xf>
    <xf numFmtId="1" fontId="0" fillId="26" borderId="0" xfId="0" applyNumberFormat="1" applyFill="1" applyAlignment="1">
      <alignment horizontal="center"/>
    </xf>
    <xf numFmtId="0" fontId="0" fillId="26" borderId="0" xfId="0" applyFill="1"/>
    <xf numFmtId="2" fontId="0" fillId="26" borderId="0" xfId="0" applyNumberFormat="1" applyFill="1"/>
    <xf numFmtId="0" fontId="2" fillId="26" borderId="0" xfId="0" applyFont="1" applyFill="1" applyAlignment="1">
      <alignment horizontal="right"/>
    </xf>
    <xf numFmtId="0" fontId="6" fillId="26" borderId="0" xfId="0" applyFont="1" applyFill="1" applyAlignment="1">
      <alignment horizontal="right"/>
    </xf>
    <xf numFmtId="2" fontId="0" fillId="0" borderId="0" xfId="0" applyNumberFormat="1" applyAlignment="1">
      <alignment horizontal="centerContinuous"/>
    </xf>
    <xf numFmtId="0" fontId="4" fillId="2" borderId="1" xfId="1" applyNumberFormat="1" applyFont="1" applyAlignment="1" applyProtection="1">
      <alignment horizontal="centerContinuous"/>
      <protection locked="0"/>
    </xf>
    <xf numFmtId="49" fontId="4" fillId="2" borderId="1" xfId="1" applyNumberFormat="1" applyFont="1" applyAlignment="1" applyProtection="1">
      <alignment horizontal="center"/>
      <protection locked="0"/>
    </xf>
    <xf numFmtId="0" fontId="4" fillId="2" borderId="1" xfId="1" applyFont="1" applyAlignment="1" applyProtection="1">
      <alignment horizontal="centerContinuous"/>
      <protection locked="0"/>
    </xf>
    <xf numFmtId="9" fontId="4" fillId="2" borderId="1" xfId="1" applyNumberFormat="1" applyFont="1" applyAlignment="1" applyProtection="1">
      <alignment horizontal="centerContinuous"/>
      <protection locked="0"/>
    </xf>
    <xf numFmtId="0" fontId="2" fillId="6" borderId="0" xfId="0" applyFont="1" applyFill="1" applyAlignment="1" applyProtection="1">
      <alignment horizontal="center"/>
      <protection locked="0"/>
    </xf>
    <xf numFmtId="0" fontId="1" fillId="2" borderId="1" xfId="1" applyAlignment="1" applyProtection="1">
      <alignment horizontal="left" readingOrder="1"/>
      <protection locked="0"/>
    </xf>
    <xf numFmtId="0" fontId="7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5" fillId="7" borderId="0" xfId="0" applyFont="1" applyFill="1" applyAlignment="1">
      <alignment horizontal="center"/>
    </xf>
    <xf numFmtId="0" fontId="7" fillId="0" borderId="0" xfId="0" applyFont="1" applyAlignment="1">
      <alignment horizontal="right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7" fillId="20" borderId="0" xfId="0" applyFont="1" applyFill="1" applyAlignment="1">
      <alignment horizontal="center"/>
    </xf>
    <xf numFmtId="0" fontId="16" fillId="19" borderId="0" xfId="0" applyFont="1" applyFill="1" applyAlignment="1">
      <alignment horizontal="center"/>
    </xf>
    <xf numFmtId="0" fontId="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8" xfId="0" applyFont="1" applyFill="1" applyBorder="1" applyAlignment="1">
      <alignment horizontal="center"/>
    </xf>
    <xf numFmtId="0" fontId="9" fillId="3" borderId="34" xfId="0" applyFont="1" applyFill="1" applyBorder="1" applyAlignment="1">
      <alignment horizontal="center"/>
    </xf>
    <xf numFmtId="0" fontId="9" fillId="5" borderId="36" xfId="0" applyFont="1" applyFill="1" applyBorder="1" applyAlignment="1">
      <alignment horizontal="center"/>
    </xf>
    <xf numFmtId="0" fontId="9" fillId="5" borderId="37" xfId="0" applyFont="1" applyFill="1" applyBorder="1" applyAlignment="1">
      <alignment horizontal="center"/>
    </xf>
    <xf numFmtId="0" fontId="9" fillId="5" borderId="38" xfId="0" applyFont="1" applyFill="1" applyBorder="1" applyAlignment="1">
      <alignment horizontal="center"/>
    </xf>
    <xf numFmtId="0" fontId="6" fillId="5" borderId="36" xfId="0" applyFont="1" applyFill="1" applyBorder="1" applyAlignment="1">
      <alignment horizontal="center"/>
    </xf>
    <xf numFmtId="0" fontId="6" fillId="5" borderId="37" xfId="0" applyFont="1" applyFill="1" applyBorder="1" applyAlignment="1">
      <alignment horizontal="center"/>
    </xf>
    <xf numFmtId="0" fontId="6" fillId="5" borderId="38" xfId="0" applyFont="1" applyFill="1" applyBorder="1" applyAlignment="1">
      <alignment horizontal="center"/>
    </xf>
    <xf numFmtId="0" fontId="9" fillId="7" borderId="27" xfId="0" applyFont="1" applyFill="1" applyBorder="1" applyAlignment="1">
      <alignment horizontal="center"/>
    </xf>
    <xf numFmtId="0" fontId="9" fillId="7" borderId="28" xfId="0" applyFont="1" applyFill="1" applyBorder="1" applyAlignment="1">
      <alignment horizontal="center"/>
    </xf>
    <xf numFmtId="0" fontId="9" fillId="6" borderId="23" xfId="0" applyFont="1" applyFill="1" applyBorder="1" applyAlignment="1">
      <alignment horizontal="center"/>
    </xf>
    <xf numFmtId="0" fontId="9" fillId="6" borderId="24" xfId="0" applyFont="1" applyFill="1" applyBorder="1" applyAlignment="1">
      <alignment horizontal="center"/>
    </xf>
    <xf numFmtId="0" fontId="9" fillId="6" borderId="25" xfId="0" applyFont="1" applyFill="1" applyBorder="1" applyAlignment="1">
      <alignment horizontal="center"/>
    </xf>
    <xf numFmtId="0" fontId="6" fillId="6" borderId="18" xfId="0" applyFont="1" applyFill="1" applyBorder="1" applyAlignment="1">
      <alignment horizontal="center"/>
    </xf>
    <xf numFmtId="0" fontId="6" fillId="6" borderId="0" xfId="0" applyFont="1" applyFill="1" applyAlignment="1">
      <alignment horizontal="center"/>
    </xf>
    <xf numFmtId="0" fontId="6" fillId="6" borderId="15" xfId="0" applyFont="1" applyFill="1" applyBorder="1" applyAlignment="1">
      <alignment horizontal="center"/>
    </xf>
    <xf numFmtId="0" fontId="6" fillId="6" borderId="16" xfId="0" applyFont="1" applyFill="1" applyBorder="1" applyAlignment="1">
      <alignment horizontal="center"/>
    </xf>
    <xf numFmtId="0" fontId="6" fillId="6" borderId="17" xfId="0" applyFont="1" applyFill="1" applyBorder="1" applyAlignment="1">
      <alignment horizontal="center"/>
    </xf>
    <xf numFmtId="0" fontId="9" fillId="7" borderId="32" xfId="0" applyFont="1" applyFill="1" applyBorder="1" applyAlignment="1">
      <alignment horizontal="center"/>
    </xf>
    <xf numFmtId="0" fontId="6" fillId="7" borderId="32" xfId="0" applyFont="1" applyFill="1" applyBorder="1" applyAlignment="1">
      <alignment horizontal="center"/>
    </xf>
    <xf numFmtId="0" fontId="6" fillId="7" borderId="28" xfId="0" applyFont="1" applyFill="1" applyBorder="1" applyAlignment="1">
      <alignment horizontal="center"/>
    </xf>
    <xf numFmtId="0" fontId="6" fillId="7" borderId="27" xfId="0" applyFont="1" applyFill="1" applyBorder="1" applyAlignment="1">
      <alignment horizontal="center"/>
    </xf>
    <xf numFmtId="0" fontId="6" fillId="6" borderId="26" xfId="0" applyFont="1" applyFill="1" applyBorder="1" applyAlignment="1">
      <alignment horizontal="center"/>
    </xf>
    <xf numFmtId="0" fontId="9" fillId="6" borderId="15" xfId="0" applyFont="1" applyFill="1" applyBorder="1" applyAlignment="1">
      <alignment horizontal="center"/>
    </xf>
    <xf numFmtId="0" fontId="9" fillId="6" borderId="16" xfId="0" applyFont="1" applyFill="1" applyBorder="1" applyAlignment="1">
      <alignment horizontal="center"/>
    </xf>
    <xf numFmtId="0" fontId="9" fillId="6" borderId="17" xfId="0" applyFont="1" applyFill="1" applyBorder="1" applyAlignment="1">
      <alignment horizontal="center"/>
    </xf>
    <xf numFmtId="0" fontId="6" fillId="3" borderId="34" xfId="0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5" fillId="18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5" fillId="10" borderId="0" xfId="0" applyFont="1" applyFill="1" applyAlignment="1">
      <alignment horizontal="center"/>
    </xf>
    <xf numFmtId="0" fontId="5" fillId="26" borderId="0" xfId="0" applyFont="1" applyFill="1" applyAlignment="1">
      <alignment horizontal="center"/>
    </xf>
    <xf numFmtId="0" fontId="5" fillId="25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5" fillId="23" borderId="0" xfId="0" applyFont="1" applyFill="1" applyAlignment="1">
      <alignment horizontal="center"/>
    </xf>
    <xf numFmtId="0" fontId="5" fillId="24" borderId="0" xfId="0" applyFont="1" applyFill="1" applyAlignment="1">
      <alignment horizontal="center"/>
    </xf>
  </cellXfs>
  <cellStyles count="4">
    <cellStyle name="Bad" xfId="2" builtinId="27"/>
    <cellStyle name="Input" xfId="1" builtinId="20"/>
    <cellStyle name="Neutral" xfId="3" builtinId="28"/>
    <cellStyle name="Normal" xfId="0" builtinId="0"/>
  </cellStyles>
  <dxfs count="2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CC99FF"/>
      <color rgb="FFE8D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GE, Matthew (AHN)" id="{D894BD48-0BEE-44A8-A12E-17B82F45B1E8}" userId="S::Matthew.PAGE@ahn.org::52d869b2-9d50-49e7-ab16-dcbda91bae3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3" dT="2024-03-12T13:04:45.58" personId="{D894BD48-0BEE-44A8-A12E-17B82F45B1E8}" id="{E6A4A771-A1F1-452B-8B24-A390C716E43D}">
    <text xml:space="preserve">Ideas: 
-Take out Work because BR only available for w/o work
-Add in columns for 15 and 5 base rates here. 
-Maybe have separate sections for each domain and total domain to help with searching algorithm
-Try making it for SOC first since there are only two. See if that inspires the others. </text>
  </threadedComment>
  <threadedComment ref="X63" dT="2024-03-11T18:07:16.59" personId="{D894BD48-0BEE-44A8-A12E-17B82F45B1E8}" id="{9F3DA35C-CCDB-4024-8406-DFBAE497B288}">
    <text>With work is not available; I was sure to calculate the Practical mean separately w/o work, regardless of preference entry</text>
  </threadedComment>
  <threadedComment ref="J66" dT="2024-03-12T13:04:45.58" personId="{D894BD48-0BEE-44A8-A12E-17B82F45B1E8}" id="{3DD517CF-E7EA-4FA5-88DC-C7331439C708}">
    <text xml:space="preserve">Ideas: 
-Take out Work because BR only available for w/o work
-Add in columns for 15 and 5 base rates here. 
-Maybe have separate sections for each domain and total domain to help with searching algorithm
-Try making it for SOC first since there are only two. See if that inspires the others. </text>
  </threadedComment>
  <threadedComment ref="J111" dT="2024-03-12T13:04:45.58" personId="{D894BD48-0BEE-44A8-A12E-17B82F45B1E8}" id="{F927A48B-02DF-4549-A239-C5E51B641E9A}">
    <text xml:space="preserve">Ideas: 
-Take out Work because BR only available for w/o work
-Add in columns for 15 and 5 base rates here. 
-Maybe have separate sections for each domain and total domain to help with searching algorithm
-Try making it for SOC first since there are only two. See if that inspires the others. </text>
  </threadedComment>
  <threadedComment ref="J123" dT="2024-03-12T13:04:45.58" personId="{D894BD48-0BEE-44A8-A12E-17B82F45B1E8}" id="{04E8760F-3889-4113-9AC2-08299C2ED96D}">
    <text xml:space="preserve">Ideas: 
-Take out Work because BR only available for w/o work
-Add in columns for 15 and 5 base rates here. 
-Maybe have separate sections for each domain and total domain to help with searching algorithm
-Try making it for SOC first since there are only two. See if that inspires the others. </text>
  </threadedComment>
  <threadedComment ref="J128" dT="2024-03-12T13:04:45.58" personId="{D894BD48-0BEE-44A8-A12E-17B82F45B1E8}" id="{F20545C6-F2F3-4773-973B-F1CBC3401AF4}">
    <text xml:space="preserve">Ideas: 
-Take out Work because BR only available for w/o work
-Add in columns for 15 and 5 base rates here. 
-Maybe have separate sections for each domain and total domain to help with searching algorithm
-Try making it for SOC first since there are only two. See if that inspires the others. </text>
  </threadedComment>
  <threadedComment ref="J146" dT="2024-03-12T13:04:45.58" personId="{D894BD48-0BEE-44A8-A12E-17B82F45B1E8}" id="{E0D637A2-8F9E-4644-9287-6CB776247B0E}">
    <text xml:space="preserve">Ideas: 
-Take out Work because BR only available for w/o work
-Add in columns for 15 and 5 base rates here. 
-Maybe have separate sections for each domain and total domain to help with searching algorithm
-Try making it for SOC first since there are only two. See if that inspires the others.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view="pageLayout" topLeftCell="A7" zoomScale="115" zoomScaleNormal="100" zoomScalePageLayoutView="115" workbookViewId="0">
      <selection activeCell="D10" sqref="D10"/>
    </sheetView>
  </sheetViews>
  <sheetFormatPr defaultRowHeight="15"/>
  <cols>
    <col min="6" max="6" width="12.5703125" bestFit="1" customWidth="1"/>
    <col min="8" max="8" width="1" customWidth="1"/>
    <col min="9" max="9" width="9.140625" customWidth="1"/>
  </cols>
  <sheetData>
    <row r="1" spans="1:9">
      <c r="A1" s="264" t="s">
        <v>0</v>
      </c>
      <c r="B1" s="264"/>
      <c r="C1" s="264"/>
      <c r="D1" s="264"/>
      <c r="E1" s="264"/>
      <c r="F1" s="264"/>
      <c r="G1" s="264"/>
      <c r="H1" s="264"/>
      <c r="I1" s="264"/>
    </row>
    <row r="2" spans="1:9">
      <c r="A2" s="264"/>
      <c r="B2" s="264"/>
      <c r="C2" s="264"/>
      <c r="D2" s="264"/>
      <c r="E2" s="264"/>
      <c r="F2" s="264"/>
      <c r="G2" s="264"/>
      <c r="H2" s="264"/>
      <c r="I2" s="264"/>
    </row>
    <row r="3" spans="1:9">
      <c r="A3" s="264"/>
      <c r="B3" s="264"/>
      <c r="C3" s="264"/>
      <c r="D3" s="264"/>
      <c r="E3" s="264"/>
      <c r="F3" s="264"/>
      <c r="G3" s="264"/>
      <c r="H3" s="264"/>
      <c r="I3" s="264"/>
    </row>
    <row r="5" spans="1:9">
      <c r="C5" s="18" t="s">
        <v>1</v>
      </c>
      <c r="D5" s="257" t="s">
        <v>2</v>
      </c>
      <c r="F5" s="18" t="s">
        <v>3</v>
      </c>
      <c r="G5" s="259" t="s">
        <v>4</v>
      </c>
      <c r="H5" s="44"/>
      <c r="I5" t="str">
        <f>IF(AND(D5="75-89",G5="Yes"),"N/A for this age range!","")</f>
        <v/>
      </c>
    </row>
    <row r="6" spans="1:9">
      <c r="C6" s="17" t="s">
        <v>5</v>
      </c>
      <c r="D6" s="258" t="s">
        <v>6</v>
      </c>
      <c r="E6" s="2"/>
      <c r="F6" s="18" t="s">
        <v>7</v>
      </c>
      <c r="G6" s="260">
        <v>0.95</v>
      </c>
      <c r="H6" s="43"/>
    </row>
    <row r="8" spans="1:9">
      <c r="B8" s="265" t="s">
        <v>8</v>
      </c>
      <c r="C8" s="265"/>
      <c r="D8" s="4" t="s">
        <v>9</v>
      </c>
      <c r="E8" s="265" t="s">
        <v>10</v>
      </c>
      <c r="F8" s="265"/>
      <c r="G8" s="265"/>
      <c r="H8" s="265"/>
    </row>
    <row r="9" spans="1:9">
      <c r="B9" s="263" t="s">
        <v>11</v>
      </c>
      <c r="C9" s="263"/>
      <c r="D9" s="261"/>
      <c r="E9" s="9" t="str">
        <f>IF(D9="","",Calculation!D10)</f>
        <v/>
      </c>
      <c r="F9" s="19" t="str">
        <f>E9</f>
        <v/>
      </c>
      <c r="G9" s="8"/>
      <c r="H9" s="266"/>
      <c r="I9" s="266"/>
    </row>
    <row r="10" spans="1:9">
      <c r="B10" s="263" t="s">
        <v>12</v>
      </c>
      <c r="C10" s="263"/>
      <c r="D10" s="261"/>
      <c r="E10" s="9" t="str">
        <f>IF(D10="","",Calculation!D11)</f>
        <v/>
      </c>
      <c r="F10" s="8"/>
      <c r="G10" s="8"/>
      <c r="H10" s="267" t="str">
        <f>E10</f>
        <v/>
      </c>
      <c r="I10" s="268"/>
    </row>
    <row r="11" spans="1:9">
      <c r="B11" s="263" t="s">
        <v>13</v>
      </c>
      <c r="C11" s="263"/>
      <c r="D11" s="261"/>
      <c r="E11" s="9" t="str">
        <f>IF(D11="","",Calculation!D12)</f>
        <v/>
      </c>
      <c r="F11" s="19" t="str">
        <f>E11</f>
        <v/>
      </c>
      <c r="G11" s="8"/>
      <c r="H11" s="266"/>
      <c r="I11" s="266"/>
    </row>
    <row r="12" spans="1:9">
      <c r="B12" s="263" t="s">
        <v>14</v>
      </c>
      <c r="C12" s="263"/>
      <c r="D12" s="261"/>
      <c r="E12" s="9" t="str">
        <f>IF(D12="","",Calculation!D13)</f>
        <v/>
      </c>
      <c r="F12" s="8"/>
      <c r="G12" s="8"/>
      <c r="H12" s="267" t="str">
        <f>E12</f>
        <v/>
      </c>
      <c r="I12" s="268"/>
    </row>
    <row r="13" spans="1:9">
      <c r="B13" s="263" t="s">
        <v>15</v>
      </c>
      <c r="C13" s="263"/>
      <c r="D13" s="261"/>
      <c r="E13" s="9" t="str">
        <f>IF(D13="","",Calculation!D14)</f>
        <v/>
      </c>
      <c r="F13" s="8"/>
      <c r="G13" s="8"/>
      <c r="H13" s="267" t="str">
        <f>E13</f>
        <v/>
      </c>
      <c r="I13" s="268"/>
    </row>
    <row r="14" spans="1:9">
      <c r="B14" s="263" t="s">
        <v>16</v>
      </c>
      <c r="C14" s="263"/>
      <c r="D14" s="261"/>
      <c r="E14" s="9" t="str">
        <f>IF(D14="","",Calculation!D15)</f>
        <v/>
      </c>
      <c r="F14" s="8"/>
      <c r="G14" s="7" t="str">
        <f>E14</f>
        <v/>
      </c>
      <c r="H14" s="271"/>
      <c r="I14" s="266"/>
    </row>
    <row r="15" spans="1:9">
      <c r="B15" s="263" t="s">
        <v>17</v>
      </c>
      <c r="C15" s="263"/>
      <c r="D15" s="261"/>
      <c r="E15" s="9" t="str">
        <f>IF(D15="","",Calculation!D16)</f>
        <v/>
      </c>
      <c r="F15" s="8"/>
      <c r="G15" s="8"/>
      <c r="H15" s="267" t="str">
        <f>E15</f>
        <v/>
      </c>
      <c r="I15" s="268"/>
    </row>
    <row r="16" spans="1:9">
      <c r="B16" s="263" t="s">
        <v>18</v>
      </c>
      <c r="C16" s="263"/>
      <c r="D16" s="261"/>
      <c r="E16" s="9" t="str">
        <f>IF(D16="","",Calculation!D17)</f>
        <v/>
      </c>
      <c r="F16" s="19" t="str">
        <f>E16</f>
        <v/>
      </c>
      <c r="G16" s="8"/>
      <c r="H16" s="266"/>
      <c r="I16" s="266"/>
    </row>
    <row r="17" spans="1:9">
      <c r="B17" s="263" t="s">
        <v>19</v>
      </c>
      <c r="C17" s="263"/>
      <c r="D17" s="261"/>
      <c r="E17" s="9" t="str">
        <f>IF(D17="","",Calculation!D18)</f>
        <v/>
      </c>
      <c r="F17" s="8"/>
      <c r="G17" s="7" t="str">
        <f>E17</f>
        <v/>
      </c>
      <c r="H17" s="271"/>
      <c r="I17" s="266"/>
    </row>
    <row r="18" spans="1:9">
      <c r="B18" s="263" t="s">
        <v>20</v>
      </c>
      <c r="C18" s="263"/>
      <c r="D18" s="261"/>
      <c r="E18" s="9" t="str">
        <f>IF(D18="","",Calculation!D19)</f>
        <v/>
      </c>
      <c r="F18" s="8"/>
      <c r="G18" s="8"/>
      <c r="H18" s="267" t="str">
        <f>E18</f>
        <v/>
      </c>
      <c r="I18" s="268"/>
    </row>
    <row r="19" spans="1:9">
      <c r="B19" s="269" t="s">
        <v>21</v>
      </c>
      <c r="C19" s="269"/>
      <c r="E19" s="129" t="str">
        <f>IF(G5="Yes",(IF(COUNTIF(E9:E18,"")&gt;0,"",SUM(E9:E18))),(IF(COUNTIF(E9:E17,"")&gt;0,"",SUM(E9:E17))))</f>
        <v/>
      </c>
      <c r="F19" s="129" t="str">
        <f>IF(SUMPRODUCT((F9="")+(F11="")+(F16=""))&gt;0,"",SUM(F9,F11,F16))</f>
        <v/>
      </c>
      <c r="G19" s="129" t="str">
        <f>IF(SUMPRODUCT((G14="")+(G17=""))&gt;0,"",SUM(G14,G17))</f>
        <v/>
      </c>
      <c r="H19" s="272" t="str">
        <f>IF(G5="yes",(IF(SUMPRODUCT((H10="")+(H12="")+(H13="")+(H15="")+(H18=""))&gt;0,"",SUM(H10,H12,H13,H15,H18))),(IF(SUMPRODUCT((H10="")+(H12="")+(H13="")+(H15=""))&gt;0,"",SUM(H10,H12,H13,H15))))</f>
        <v/>
      </c>
      <c r="I19" s="272"/>
    </row>
    <row r="20" spans="1:9">
      <c r="E20" s="3" t="s">
        <v>22</v>
      </c>
      <c r="F20" s="5" t="s">
        <v>23</v>
      </c>
      <c r="G20" s="3" t="s">
        <v>19</v>
      </c>
      <c r="H20" s="270" t="s">
        <v>24</v>
      </c>
      <c r="I20" s="270"/>
    </row>
    <row r="21" spans="1:9">
      <c r="E21" s="1"/>
      <c r="F21" s="1"/>
      <c r="G21" s="1"/>
      <c r="H21" s="1"/>
    </row>
    <row r="22" spans="1:9" ht="30" customHeight="1">
      <c r="B22" s="274" t="s">
        <v>25</v>
      </c>
      <c r="C22" s="274"/>
      <c r="D22" s="14" t="s">
        <v>26</v>
      </c>
      <c r="E22" s="14" t="s">
        <v>27</v>
      </c>
      <c r="F22" s="15" t="s">
        <v>28</v>
      </c>
      <c r="G22" s="20">
        <f>IF(G6="","",G6)</f>
        <v>0.95</v>
      </c>
      <c r="H22" s="16" t="s">
        <v>29</v>
      </c>
      <c r="I22" s="16"/>
    </row>
    <row r="23" spans="1:9">
      <c r="A23" s="273" t="s">
        <v>30</v>
      </c>
      <c r="B23" s="273"/>
      <c r="C23" s="273"/>
      <c r="D23" s="129" t="str">
        <f>IF(E19="","",E19)</f>
        <v/>
      </c>
      <c r="E23" s="11" t="str">
        <f>IF(D23="","",IF(G5="Yes",Calc2!D11,Calc2!D10))</f>
        <v/>
      </c>
      <c r="F23" s="10" t="str">
        <f>IFERROR(VLOOKUP(E23,Calc2!G44:CN124,86,FALSE),"")</f>
        <v/>
      </c>
      <c r="G23" s="12" t="str">
        <f>IFERROR(IF(E23&lt;40,"",IF(G5="Yes",E23-Calc2!F11,IF(G5="No",E23-Calc2!F10,""))),"")</f>
        <v/>
      </c>
      <c r="H23" s="10" t="s">
        <v>31</v>
      </c>
      <c r="I23" s="13" t="str">
        <f>IFERROR(IF(E23&lt;40,"",IF(G5="Yes",E23+Calc2!F11,IF(G5="No",E23+Calc2!F10,""))),"")</f>
        <v/>
      </c>
    </row>
    <row r="24" spans="1:9">
      <c r="A24" s="17"/>
      <c r="B24" s="273" t="s">
        <v>23</v>
      </c>
      <c r="C24" s="273"/>
      <c r="D24" s="129" t="str">
        <f>IF(F19="","",F19)</f>
        <v/>
      </c>
      <c r="E24" s="11" t="str">
        <f>IF(D24="","",Calc2!D12)</f>
        <v/>
      </c>
      <c r="F24" s="10" t="str">
        <f>IFERROR(VLOOKUP(E24,Calc2!G44:CN124,86,FALSE),"")</f>
        <v/>
      </c>
      <c r="G24" s="12" t="str">
        <f>IFERROR(IF(E24&lt;40,"",E24-Calc2!F12),"")</f>
        <v/>
      </c>
      <c r="H24" s="10" t="s">
        <v>31</v>
      </c>
      <c r="I24" s="13" t="str">
        <f>IFERROR(IF(E24&lt;40,"",E24+Calc2!F12),"")</f>
        <v/>
      </c>
    </row>
    <row r="25" spans="1:9">
      <c r="A25" s="17"/>
      <c r="B25" s="273" t="s">
        <v>19</v>
      </c>
      <c r="C25" s="273"/>
      <c r="D25" s="129" t="str">
        <f>IF(G19="","",G19)</f>
        <v/>
      </c>
      <c r="E25" s="11" t="str">
        <f>IF(D25="","",Calc2!D13)</f>
        <v/>
      </c>
      <c r="F25" s="10" t="str">
        <f>IFERROR(VLOOKUP(E25,Calc2!G44:CN124,86,FALSE),"")</f>
        <v/>
      </c>
      <c r="G25" s="12" t="str">
        <f>IFERROR(IF(E25&lt;40,"",E25-Calc2!F13),"")</f>
        <v/>
      </c>
      <c r="H25" s="10" t="s">
        <v>31</v>
      </c>
      <c r="I25" s="13" t="str">
        <f>IFERROR(IF(E25&lt;40,"",E25+Calc2!F13),"")</f>
        <v/>
      </c>
    </row>
    <row r="26" spans="1:9">
      <c r="A26" s="17"/>
      <c r="B26" s="273" t="s">
        <v>24</v>
      </c>
      <c r="C26" s="273"/>
      <c r="D26" s="129" t="str">
        <f>IF(H19="","",H19)</f>
        <v/>
      </c>
      <c r="E26" s="11" t="str">
        <f>IF(D26="","",IF(G5="Yes",Calc2!D15,Calc2!D14))</f>
        <v/>
      </c>
      <c r="F26" s="10" t="str">
        <f>IFERROR(VLOOKUP(E26,Calc2!G44:CN124,86,FALSE),"")</f>
        <v/>
      </c>
      <c r="G26" s="12" t="str">
        <f>IFERROR(IF(E26&lt;40,"",IF(G5="Yes",E26-Calc2!F15,IF(G5="No",E26-Calc2!F14,""))),"")</f>
        <v/>
      </c>
      <c r="H26" s="10" t="s">
        <v>31</v>
      </c>
      <c r="I26" s="13" t="str">
        <f>IFERROR(IF(E26&lt;40,"",IF(G5="Yes",E26+Calc2!F15,IF(G5="No",E26+Calc2!F14,""))),"")</f>
        <v/>
      </c>
    </row>
  </sheetData>
  <sheetProtection algorithmName="SHA-512" hashValue="RhxHYfm3xH+HVm0JDmLknHbbZSW4DF+QqM5Z2J5D4vazUPfIEs2lAxVKpfhwIZYhBAJ1S9QlrOdkfmFWgpcM4Q==" saltValue="HQ2gQ3dn1VaovcPtEQIwtA==" spinCount="100000" sheet="1" objects="1" scenarios="1" selectLockedCells="1"/>
  <mergeCells count="31">
    <mergeCell ref="B25:C25"/>
    <mergeCell ref="B26:C26"/>
    <mergeCell ref="B22:C22"/>
    <mergeCell ref="A23:C23"/>
    <mergeCell ref="B24:C24"/>
    <mergeCell ref="H20:I20"/>
    <mergeCell ref="H14:I14"/>
    <mergeCell ref="H15:I15"/>
    <mergeCell ref="H16:I16"/>
    <mergeCell ref="H17:I17"/>
    <mergeCell ref="H18:I18"/>
    <mergeCell ref="H19:I19"/>
    <mergeCell ref="B15:C15"/>
    <mergeCell ref="B16:C16"/>
    <mergeCell ref="B17:C17"/>
    <mergeCell ref="B18:C18"/>
    <mergeCell ref="B19:C19"/>
    <mergeCell ref="B14:C14"/>
    <mergeCell ref="A1:I3"/>
    <mergeCell ref="B8:C8"/>
    <mergeCell ref="E8:H8"/>
    <mergeCell ref="B9:C9"/>
    <mergeCell ref="B10:C10"/>
    <mergeCell ref="B11:C11"/>
    <mergeCell ref="B12:C12"/>
    <mergeCell ref="B13:C13"/>
    <mergeCell ref="H9:I9"/>
    <mergeCell ref="H10:I10"/>
    <mergeCell ref="H11:I11"/>
    <mergeCell ref="H12:I12"/>
    <mergeCell ref="H13:I13"/>
  </mergeCells>
  <conditionalFormatting sqref="D18:E18">
    <cfRule type="expression" dxfId="1" priority="2">
      <formula>$G$5="No"</formula>
    </cfRule>
  </conditionalFormatting>
  <conditionalFormatting sqref="H18:I18">
    <cfRule type="expression" dxfId="0" priority="1">
      <formula>$G$5="No"</formula>
    </cfRule>
  </conditionalFormatting>
  <dataValidations count="5">
    <dataValidation type="list" allowBlank="1" showInputMessage="1" showErrorMessage="1" sqref="G5" xr:uid="{00000000-0002-0000-0000-000000000000}">
      <formula1>"Yes,No"</formula1>
    </dataValidation>
    <dataValidation type="list" allowBlank="1" showInputMessage="1" showErrorMessage="1" sqref="D5" xr:uid="{00000000-0002-0000-0000-000001000000}">
      <formula1>"16-21,22-29,30-39,40-49,50-64,65-74,75-89"</formula1>
    </dataValidation>
    <dataValidation type="list" allowBlank="1" showInputMessage="1" showErrorMessage="1" sqref="D6" xr:uid="{00000000-0002-0000-0000-000002000000}">
      <formula1>"Self,Other"</formula1>
    </dataValidation>
    <dataValidation type="list" allowBlank="1" showInputMessage="1" showErrorMessage="1" sqref="G6" xr:uid="{00000000-0002-0000-0000-000003000000}">
      <formula1>"95%,90%"</formula1>
    </dataValidation>
    <dataValidation errorStyle="warning" operator="greaterThan" allowBlank="1" showInputMessage="1" showErrorMessage="1" errorTitle="Work Not Available" error="Scaled scores for &quot;Work&quot; are unavailable for ages 75-89. _x000a__x000a_Please select &quot;No&quot; for the  &quot;Include Work?&quot; field. " sqref="I5" xr:uid="{00000000-0002-0000-0000-000004000000}"/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showWhiteSpace="0" view="pageLayout" zoomScaleNormal="100" workbookViewId="0">
      <selection activeCell="B19" sqref="B19"/>
    </sheetView>
  </sheetViews>
  <sheetFormatPr defaultRowHeight="15"/>
  <cols>
    <col min="1" max="1" width="17.28515625" customWidth="1"/>
    <col min="3" max="3" width="7.28515625" customWidth="1"/>
    <col min="4" max="4" width="10.140625" customWidth="1"/>
    <col min="5" max="5" width="6.42578125" customWidth="1"/>
    <col min="7" max="7" width="11.42578125" customWidth="1"/>
  </cols>
  <sheetData>
    <row r="1" spans="1:9" ht="21">
      <c r="A1" s="276" t="s">
        <v>32</v>
      </c>
      <c r="B1" s="276"/>
      <c r="C1" s="276"/>
      <c r="D1" s="276"/>
      <c r="E1" s="276"/>
      <c r="F1" s="276"/>
      <c r="G1" s="276"/>
      <c r="H1" s="276"/>
      <c r="I1" s="276"/>
    </row>
    <row r="3" spans="1:9" ht="15.75">
      <c r="A3" s="277" t="s">
        <v>33</v>
      </c>
      <c r="B3" s="277"/>
      <c r="C3" s="277"/>
      <c r="D3" s="277"/>
      <c r="E3" s="277"/>
      <c r="F3" s="277"/>
      <c r="G3" s="277"/>
      <c r="H3" s="277"/>
      <c r="I3" s="277"/>
    </row>
    <row r="4" spans="1:9">
      <c r="A4" s="3" t="s">
        <v>34</v>
      </c>
      <c r="B4" s="3" t="s">
        <v>35</v>
      </c>
      <c r="C4" s="3" t="s">
        <v>36</v>
      </c>
      <c r="D4" s="3" t="s">
        <v>37</v>
      </c>
      <c r="E4" s="149" t="s">
        <v>38</v>
      </c>
      <c r="F4" s="149"/>
      <c r="G4" s="3" t="s">
        <v>39</v>
      </c>
      <c r="H4" s="3" t="s">
        <v>40</v>
      </c>
    </row>
    <row r="5" spans="1:9">
      <c r="A5" t="s">
        <v>41</v>
      </c>
      <c r="B5" s="1" t="str">
        <f>'Score Summary'!E24</f>
        <v/>
      </c>
      <c r="C5" s="1" t="str">
        <f>'Score Summary'!E25</f>
        <v/>
      </c>
      <c r="D5" s="1" t="str">
        <f>IFERROR(ABS(B5-C5),"")</f>
        <v/>
      </c>
      <c r="E5" s="87">
        <f>IF('Score Summary'!$D$6="Self",Calc3!AL39,Calc3!AL45)</f>
        <v>8.32</v>
      </c>
      <c r="F5" s="87"/>
      <c r="G5" s="1" t="str">
        <f>IF(D5="","",IF(D5&gt;=E5,"Yes","No"))</f>
        <v/>
      </c>
      <c r="H5" s="1" t="str">
        <f>IF(D5="","",IF('Score Summary'!$D$6="Self",Calc3!AM39,Calc3!AM45))</f>
        <v/>
      </c>
    </row>
    <row r="6" spans="1:9">
      <c r="A6" t="s">
        <v>42</v>
      </c>
      <c r="B6" s="1" t="str">
        <f>'Score Summary'!E24</f>
        <v/>
      </c>
      <c r="C6" s="1">
        <f>Calc2!D14</f>
        <v>44</v>
      </c>
      <c r="D6" s="1" t="str">
        <f>IFERROR(ABS(B6-C6),"")</f>
        <v/>
      </c>
      <c r="E6" s="87">
        <f>IF('Score Summary'!$D$6="Self",Calc3!AL40,Calc3!AL46)</f>
        <v>7.78</v>
      </c>
      <c r="F6" s="87"/>
      <c r="G6" s="1" t="str">
        <f>IF(D6="","",IF(D6&gt;=E6,"Yes","No"))</f>
        <v/>
      </c>
      <c r="H6" s="1" t="str">
        <f>IF(D5="","",IF('Score Summary'!$D$6="Self",Calc3!AM40,Calc3!AM46))</f>
        <v/>
      </c>
    </row>
    <row r="7" spans="1:9">
      <c r="A7" t="s">
        <v>43</v>
      </c>
      <c r="B7" s="1" t="str">
        <f>'Score Summary'!E25</f>
        <v/>
      </c>
      <c r="C7" s="1">
        <f>Calc2!D14</f>
        <v>44</v>
      </c>
      <c r="D7" s="1" t="str">
        <f>IFERROR(ABS(B7-C7),"")</f>
        <v/>
      </c>
      <c r="E7" s="256">
        <f>IF('Score Summary'!$D$6="Self",Calc3!AL41,Calc3!AL47)</f>
        <v>7.78</v>
      </c>
      <c r="F7" s="87"/>
      <c r="G7" s="1" t="str">
        <f>IF(D7="","",IF(D7&gt;=E7,"Yes","No"))</f>
        <v/>
      </c>
      <c r="H7" s="1" t="str">
        <f>IF(D5="","",IF('Score Summary'!$D$6="Self",Calc3!AM41,Calc3!AM47))</f>
        <v/>
      </c>
    </row>
    <row r="8" spans="1:9">
      <c r="A8" s="165" t="s">
        <v>44</v>
      </c>
    </row>
    <row r="9" spans="1:9" ht="15.75">
      <c r="A9" s="277" t="s">
        <v>45</v>
      </c>
      <c r="B9" s="277"/>
      <c r="C9" s="277"/>
      <c r="D9" s="277"/>
      <c r="E9" s="277"/>
      <c r="F9" s="277"/>
      <c r="G9" s="277"/>
      <c r="H9" s="277"/>
      <c r="I9" s="277"/>
    </row>
    <row r="10" spans="1:9">
      <c r="A10" t="s">
        <v>46</v>
      </c>
      <c r="B10" s="145" t="s">
        <v>47</v>
      </c>
      <c r="C10" s="145"/>
      <c r="D10" s="145"/>
      <c r="E10" s="146"/>
      <c r="F10" s="146"/>
    </row>
    <row r="11" spans="1:9">
      <c r="A11" s="3" t="s">
        <v>48</v>
      </c>
      <c r="B11" s="279" t="s">
        <v>49</v>
      </c>
      <c r="C11" s="279"/>
      <c r="D11" s="279" t="s">
        <v>50</v>
      </c>
      <c r="E11" s="279"/>
      <c r="F11" s="278" t="s">
        <v>51</v>
      </c>
      <c r="G11" s="278" t="s">
        <v>38</v>
      </c>
      <c r="H11" s="278" t="s">
        <v>39</v>
      </c>
      <c r="I11" s="278" t="s">
        <v>52</v>
      </c>
    </row>
    <row r="12" spans="1:9">
      <c r="A12" s="3"/>
      <c r="B12" s="3" t="s">
        <v>53</v>
      </c>
      <c r="C12" s="3" t="s">
        <v>54</v>
      </c>
      <c r="D12" s="3" t="s">
        <v>53</v>
      </c>
      <c r="E12" s="3" t="s">
        <v>54</v>
      </c>
      <c r="F12" s="278"/>
      <c r="G12" s="278"/>
      <c r="H12" s="278"/>
      <c r="I12" s="278"/>
    </row>
    <row r="13" spans="1:9">
      <c r="A13" t="s">
        <v>55</v>
      </c>
      <c r="B13" s="1" t="str">
        <f>IFERROR(IF('Score Summary'!D6="Self",IF(I19="No",Calc3!G108,Calc3!G64),IF(I19="No",Calc3!P108,Calc3!P64)),"")</f>
        <v/>
      </c>
      <c r="C13" s="1" t="str">
        <f>IF(B13="","",IF('Score Summary'!G5="No",MAX('Score Summary'!E9:E17),MAX('Score Summary'!E9:E18)))</f>
        <v/>
      </c>
      <c r="D13" s="1" t="str">
        <f>IFERROR(IF('Score Summary'!D6="Self",IF(I19="No",Calc3!I108,Calc3!I64),IF(I19="No",Calc3!R108,Calc3!R64)),"")</f>
        <v/>
      </c>
      <c r="E13" s="1" t="str">
        <f>IF(D13="","",IF('Score Summary'!G5="No",MIN('Score Summary'!E9:E17),MIN('Score Summary'!E9:E18)))</f>
        <v/>
      </c>
      <c r="F13" s="1" t="str">
        <f>IFERROR(ABS(C13-E13),"")</f>
        <v/>
      </c>
      <c r="G13" s="156" t="str">
        <f>IFERROR(IF('Score Summary'!D6="Self",IF(I19="No",Calc3!K108,Calc3!K64),IF(I19="No",Calc3!T108,Calc3!T64)),"")</f>
        <v/>
      </c>
      <c r="H13" s="1" t="str">
        <f>IF(F13="","",IF(F13&gt;=G13,"Yes","No"))</f>
        <v/>
      </c>
      <c r="I13" s="1" t="str">
        <f>IF(F13="","",Calc3!M7)</f>
        <v/>
      </c>
    </row>
    <row r="14" spans="1:9">
      <c r="A14" t="s">
        <v>56</v>
      </c>
      <c r="B14" s="1" t="str">
        <f>IFERROR(IF('Score Summary'!D6="Self",Calc3!G120,Calc3!P120),"")</f>
        <v/>
      </c>
      <c r="C14" s="1" t="str">
        <f>IF(B14="","",MAX('Score Summary'!E9,'Score Summary'!E11,'Score Summary'!E16))</f>
        <v/>
      </c>
      <c r="D14" s="1" t="str">
        <f>IFERROR(IF('Score Summary'!D6="Self",Calc3!I120,Calc3!R120),"")</f>
        <v/>
      </c>
      <c r="E14" s="1" t="str">
        <f>IF(D14="","",MIN('Score Summary'!E9,'Score Summary'!E11,'Score Summary'!E16))</f>
        <v/>
      </c>
      <c r="F14" s="1" t="str">
        <f>IFERROR(ABS(C14-E14),"")</f>
        <v/>
      </c>
      <c r="G14" s="156" t="str">
        <f>IFERROR(IF('Score Summary'!D6="Self",Calc3!K120,Calc3!T120),"")</f>
        <v/>
      </c>
      <c r="H14" s="1" t="str">
        <f>IF(F14="","",IF(F14&gt;=G14,"Yes","No"))</f>
        <v/>
      </c>
      <c r="I14" s="1" t="str">
        <f>IF(F14="","",Calc3!M8)</f>
        <v/>
      </c>
    </row>
    <row r="15" spans="1:9">
      <c r="A15" t="s">
        <v>57</v>
      </c>
      <c r="B15" s="1" t="str">
        <f>IFERROR(IF('Score Summary'!D6="Self",Calc3!G125,Calc3!P125),"")</f>
        <v/>
      </c>
      <c r="C15" s="1" t="str">
        <f>IF(B15="","",MAX('Score Summary'!E14,'Score Summary'!E17))</f>
        <v/>
      </c>
      <c r="D15" s="1" t="str">
        <f>IFERROR(IF('Score Summary'!D6="Self",Calc3!I125,Calc3!R125),"")</f>
        <v/>
      </c>
      <c r="E15" s="1" t="str">
        <f>IF(D15="","",MIN('Score Summary'!E14,'Score Summary'!E17))</f>
        <v/>
      </c>
      <c r="F15" s="1" t="str">
        <f>IFERROR(ABS(C15-E15),"")</f>
        <v/>
      </c>
      <c r="G15" s="156">
        <f>IFERROR(IF('Score Summary'!D6="Self",Calc3!J124,Calc3!S124),"")</f>
        <v>2.04</v>
      </c>
      <c r="H15" s="1" t="str">
        <f>IF(F15="","",IF(F15&gt;=G15,"Yes","No"))</f>
        <v/>
      </c>
      <c r="I15" s="1" t="str">
        <f>IF(F15="","",Calc3!M9)</f>
        <v/>
      </c>
    </row>
    <row r="16" spans="1:9">
      <c r="A16" t="s">
        <v>58</v>
      </c>
      <c r="B16" s="1" t="str">
        <f>IFERROR(IF('Score Summary'!D6="Self",IF(I19="No",Calc3!G158,Calc3!G144),IF(I19="No",Calc3!P158,Calc3!P144)),"")</f>
        <v/>
      </c>
      <c r="C16" s="1" t="str">
        <f>IF(B16="","",IF('Score Summary'!G5="No",MAX('Score Summary'!E10,'Score Summary'!E12,'Score Summary'!E13,'Score Summary'!E15),MAX('Score Summary'!E10,'Score Summary'!E12,'Score Summary'!E13,'Score Summary'!E15,'Score Summary'!E18)))</f>
        <v/>
      </c>
      <c r="D16" s="1" t="str">
        <f>IFERROR(IF('Score Summary'!D6="Self",IF(I19="No",Calc3!I158,Calc3!I144),IF(I19="No",Calc3!R158,Calc3!R144)),"")</f>
        <v/>
      </c>
      <c r="E16" s="1" t="str">
        <f>IF(D16="","",IF('Score Summary'!G5="No",MIN('Score Summary'!E10,'Score Summary'!E12,'Score Summary'!E13,'Score Summary'!E15),MIN('Score Summary'!E10,'Score Summary'!E12,'Score Summary'!E13,'Score Summary'!E15,'Score Summary'!E18)))</f>
        <v/>
      </c>
      <c r="F16" s="1" t="str">
        <f>IFERROR(ABS(C16-E16),"")</f>
        <v/>
      </c>
      <c r="G16" s="156" t="str">
        <f>IFERROR(IF('Score Summary'!D6="Self",IF(I19="No",Calc3!K158,Calc3!K144),IF(I19="No",Calc3!T158,Calc3!T144)),"")</f>
        <v/>
      </c>
      <c r="H16" s="1" t="str">
        <f>IF(F16="","",IF(F16&gt;=G16,"Yes","No"))</f>
        <v/>
      </c>
      <c r="I16" s="1" t="str">
        <f>IF(F16="","",Calc3!M10)</f>
        <v/>
      </c>
    </row>
    <row r="17" spans="1:9">
      <c r="A17" s="165"/>
    </row>
    <row r="18" spans="1:9" ht="15.75">
      <c r="A18" s="277" t="s">
        <v>59</v>
      </c>
      <c r="B18" s="277"/>
      <c r="C18" s="277"/>
      <c r="D18" s="277"/>
      <c r="E18" s="277"/>
      <c r="F18" s="277"/>
      <c r="G18" s="277"/>
      <c r="H18" s="277"/>
      <c r="I18" s="277"/>
    </row>
    <row r="19" spans="1:9">
      <c r="A19" t="s">
        <v>60</v>
      </c>
      <c r="B19" s="262" t="s">
        <v>47</v>
      </c>
      <c r="C19" s="161"/>
      <c r="D19" s="162"/>
      <c r="E19" s="162"/>
      <c r="F19" s="163"/>
      <c r="H19" s="2" t="s">
        <v>3</v>
      </c>
      <c r="I19" s="153" t="str">
        <f>'Score Summary'!G5</f>
        <v>No</v>
      </c>
    </row>
    <row r="20" spans="1:9">
      <c r="B20" s="270" t="s">
        <v>22</v>
      </c>
      <c r="C20" s="270"/>
      <c r="D20" s="270" t="s">
        <v>23</v>
      </c>
      <c r="E20" s="270"/>
      <c r="F20" s="270" t="s">
        <v>19</v>
      </c>
      <c r="G20" s="270"/>
      <c r="H20" s="270" t="s">
        <v>24</v>
      </c>
      <c r="I20" s="270"/>
    </row>
    <row r="21" spans="1:9">
      <c r="A21" t="s">
        <v>61</v>
      </c>
      <c r="B21" s="275" t="str">
        <f>'Score Summary'!D23</f>
        <v/>
      </c>
      <c r="C21" s="275"/>
      <c r="D21" s="275" t="str">
        <f>'Score Summary'!D24</f>
        <v/>
      </c>
      <c r="E21" s="275"/>
      <c r="F21" s="275" t="str">
        <f>'Score Summary'!D25</f>
        <v/>
      </c>
      <c r="G21" s="275"/>
      <c r="H21" s="275" t="str">
        <f>'Score Summary'!D26</f>
        <v/>
      </c>
      <c r="I21" s="275"/>
    </row>
    <row r="22" spans="1:9">
      <c r="A22" t="s">
        <v>62</v>
      </c>
      <c r="B22" s="280" t="str">
        <f>IFERROR(IF(I19="No",B21/9,B21/10),"")</f>
        <v/>
      </c>
      <c r="C22" s="280"/>
      <c r="D22" s="280" t="str">
        <f>IFERROR(D21/3,"")</f>
        <v/>
      </c>
      <c r="E22" s="280"/>
      <c r="F22" s="280" t="str">
        <f>IFERROR(F21/2,"")</f>
        <v/>
      </c>
      <c r="G22" s="280"/>
      <c r="H22" s="280" t="str">
        <f>IFERROR(IF(I19="No",H21/4,H21/5),"")</f>
        <v/>
      </c>
      <c r="I22" s="280"/>
    </row>
    <row r="24" spans="1:9" ht="15.75">
      <c r="A24" s="277" t="s">
        <v>63</v>
      </c>
      <c r="B24" s="277"/>
      <c r="C24" s="277"/>
      <c r="D24" s="277"/>
      <c r="E24" s="277"/>
      <c r="F24" s="277"/>
      <c r="G24" s="277"/>
      <c r="H24" s="277"/>
      <c r="I24" s="277"/>
    </row>
    <row r="25" spans="1:9">
      <c r="A25" s="150" t="s">
        <v>64</v>
      </c>
      <c r="B25" s="270" t="s">
        <v>65</v>
      </c>
      <c r="C25" s="270"/>
      <c r="D25" s="3" t="s">
        <v>66</v>
      </c>
      <c r="E25" s="270" t="s">
        <v>37</v>
      </c>
      <c r="F25" s="270"/>
      <c r="G25" s="3" t="s">
        <v>67</v>
      </c>
      <c r="H25" s="3" t="s">
        <v>39</v>
      </c>
      <c r="I25" s="3" t="s">
        <v>68</v>
      </c>
    </row>
    <row r="26" spans="1:9">
      <c r="A26" t="s">
        <v>11</v>
      </c>
      <c r="B26" s="87" t="str">
        <f>'Score Summary'!E9</f>
        <v/>
      </c>
      <c r="C26" s="87"/>
      <c r="D26" s="147" t="str">
        <f>IF(B19="Adaptive domains",D22,B22)</f>
        <v/>
      </c>
      <c r="E26" s="148" t="str">
        <f t="shared" ref="E26:E35" si="0">IFERROR(ABS(B26-D26),"")</f>
        <v/>
      </c>
      <c r="F26" s="148"/>
      <c r="G26" s="156" t="str">
        <f>IF(E26="","",IF('Score Summary'!$D$6="Self",Calc3!AL13,Calc3!AL26))</f>
        <v/>
      </c>
      <c r="H26" s="1" t="str">
        <f t="shared" ref="H26:H34" si="1">IF(E26="","",IF(E26&gt;=G26,"Yes","No"))</f>
        <v/>
      </c>
      <c r="I26" s="1" t="str">
        <f>IFERROR(IF('Score Summary'!$D$6="Self",Calc3!AM13,Calc3!AM26),"")</f>
        <v/>
      </c>
    </row>
    <row r="27" spans="1:9">
      <c r="A27" t="s">
        <v>13</v>
      </c>
      <c r="B27" s="87" t="str">
        <f>'Score Summary'!E11</f>
        <v/>
      </c>
      <c r="C27" s="87"/>
      <c r="D27" s="147" t="str">
        <f>IF(B19="Adaptive domains",D22,B22)</f>
        <v/>
      </c>
      <c r="E27" s="148" t="str">
        <f t="shared" si="0"/>
        <v/>
      </c>
      <c r="F27" s="148"/>
      <c r="G27" s="156" t="str">
        <f>IF(E27="","",IF('Score Summary'!$D$6="Self",Calc3!AL14,Calc3!AL27))</f>
        <v/>
      </c>
      <c r="H27" s="1" t="str">
        <f t="shared" si="1"/>
        <v/>
      </c>
      <c r="I27" s="1" t="str">
        <f>IFERROR(IF('Score Summary'!$D$6="Self",Calc3!AM14,Calc3!AM27),"")</f>
        <v/>
      </c>
    </row>
    <row r="28" spans="1:9">
      <c r="A28" t="s">
        <v>18</v>
      </c>
      <c r="B28" s="87" t="str">
        <f>'Score Summary'!E16</f>
        <v/>
      </c>
      <c r="C28" s="87"/>
      <c r="D28" s="147" t="str">
        <f>IF(B19="Adaptive domains",D22,B22)</f>
        <v/>
      </c>
      <c r="E28" s="148" t="str">
        <f t="shared" si="0"/>
        <v/>
      </c>
      <c r="F28" s="148"/>
      <c r="G28" s="156" t="str">
        <f>IF(E28="","",IF('Score Summary'!$D$6="Self",Calc3!AL15,Calc3!AL28))</f>
        <v/>
      </c>
      <c r="H28" s="1" t="str">
        <f t="shared" si="1"/>
        <v/>
      </c>
      <c r="I28" s="1" t="str">
        <f>IFERROR(IF('Score Summary'!$D$6="Self",Calc3!AM15,Calc3!AM28),"")</f>
        <v/>
      </c>
    </row>
    <row r="29" spans="1:9">
      <c r="A29" t="s">
        <v>16</v>
      </c>
      <c r="B29" s="87" t="str">
        <f>'Score Summary'!E14</f>
        <v/>
      </c>
      <c r="C29" s="87"/>
      <c r="D29" s="147" t="str">
        <f>IF(B19="Adaptive domains",F22,B22)</f>
        <v/>
      </c>
      <c r="E29" s="148" t="str">
        <f t="shared" si="0"/>
        <v/>
      </c>
      <c r="F29" s="148"/>
      <c r="G29" s="156" t="str">
        <f>IF(E29="","",IF('Score Summary'!$D$6="Self",Calc3!AL16,Calc3!AL29))</f>
        <v/>
      </c>
      <c r="H29" s="1" t="str">
        <f t="shared" si="1"/>
        <v/>
      </c>
      <c r="I29" s="1" t="str">
        <f>IFERROR(IF('Score Summary'!$D$6="Self",Calc3!AM16,Calc3!AM29),"")</f>
        <v/>
      </c>
    </row>
    <row r="30" spans="1:9">
      <c r="A30" t="s">
        <v>19</v>
      </c>
      <c r="B30" s="87" t="str">
        <f>'Score Summary'!E17</f>
        <v/>
      </c>
      <c r="C30" s="87"/>
      <c r="D30" s="147" t="str">
        <f>IF(B19="Adaptive domains",F22,B22)</f>
        <v/>
      </c>
      <c r="E30" s="148" t="str">
        <f t="shared" si="0"/>
        <v/>
      </c>
      <c r="F30" s="148"/>
      <c r="G30" s="156" t="str">
        <f>IF(E30="","",IF('Score Summary'!$D$6="Self",Calc3!AL17,Calc3!AL30))</f>
        <v/>
      </c>
      <c r="H30" s="1" t="str">
        <f t="shared" si="1"/>
        <v/>
      </c>
      <c r="I30" s="1" t="str">
        <f>IFERROR(IF('Score Summary'!$D$6="Self",Calc3!AM17,Calc3!AM30),"")</f>
        <v/>
      </c>
    </row>
    <row r="31" spans="1:9">
      <c r="A31" t="s">
        <v>12</v>
      </c>
      <c r="B31" s="87" t="str">
        <f>'Score Summary'!E10</f>
        <v/>
      </c>
      <c r="C31" s="87"/>
      <c r="D31" s="147" t="str">
        <f>IF(B19="Adaptive domains",H22,B22)</f>
        <v/>
      </c>
      <c r="E31" s="148" t="str">
        <f t="shared" si="0"/>
        <v/>
      </c>
      <c r="F31" s="148"/>
      <c r="G31" s="156" t="str">
        <f>IF(E31="","",IF('Score Summary'!$D$6="Self",Calc3!AL18,Calc3!AL31))</f>
        <v/>
      </c>
      <c r="H31" s="1" t="str">
        <f t="shared" si="1"/>
        <v/>
      </c>
      <c r="I31" s="1" t="str">
        <f>IFERROR(IF('Score Summary'!$D$6="Self",Calc3!AM18,Calc3!AM31),"")</f>
        <v/>
      </c>
    </row>
    <row r="32" spans="1:9">
      <c r="A32" t="s">
        <v>14</v>
      </c>
      <c r="B32" s="87" t="str">
        <f>'Score Summary'!E12</f>
        <v/>
      </c>
      <c r="C32" s="87"/>
      <c r="D32" s="147" t="str">
        <f>IF(B19="Adaptive domains",H22,B22)</f>
        <v/>
      </c>
      <c r="E32" s="148" t="str">
        <f t="shared" si="0"/>
        <v/>
      </c>
      <c r="F32" s="148"/>
      <c r="G32" s="156" t="str">
        <f>IF(E32="","",IF('Score Summary'!$D$6="Self",Calc3!AL19,Calc3!AL32))</f>
        <v/>
      </c>
      <c r="H32" s="1" t="str">
        <f t="shared" si="1"/>
        <v/>
      </c>
      <c r="I32" s="1" t="str">
        <f>IFERROR(IF('Score Summary'!$D$6="Self",Calc3!AM19,Calc3!AM32),"")</f>
        <v/>
      </c>
    </row>
    <row r="33" spans="1:9">
      <c r="A33" t="s">
        <v>15</v>
      </c>
      <c r="B33" s="87" t="str">
        <f>'Score Summary'!E13</f>
        <v/>
      </c>
      <c r="C33" s="87"/>
      <c r="D33" s="147" t="str">
        <f>IF(B19="Adaptive domains",H22,B22)</f>
        <v/>
      </c>
      <c r="E33" s="148" t="str">
        <f t="shared" si="0"/>
        <v/>
      </c>
      <c r="F33" s="148"/>
      <c r="G33" s="156" t="str">
        <f>IF(E33="","",IF('Score Summary'!$D$6="Self",Calc3!AL20,Calc3!AL33))</f>
        <v/>
      </c>
      <c r="H33" s="1" t="str">
        <f t="shared" si="1"/>
        <v/>
      </c>
      <c r="I33" s="1" t="str">
        <f>IFERROR(IF('Score Summary'!$D$6="Self",Calc3!AM20,Calc3!AM33),"")</f>
        <v/>
      </c>
    </row>
    <row r="34" spans="1:9">
      <c r="A34" t="s">
        <v>17</v>
      </c>
      <c r="B34" s="87" t="str">
        <f>'Score Summary'!E15</f>
        <v/>
      </c>
      <c r="C34" s="87"/>
      <c r="D34" s="147" t="str">
        <f>IF(B19="Adaptive domains",H22,B22)</f>
        <v/>
      </c>
      <c r="E34" s="148" t="str">
        <f t="shared" si="0"/>
        <v/>
      </c>
      <c r="F34" s="148"/>
      <c r="G34" s="156" t="str">
        <f>IF(E34="","",IF('Score Summary'!$D$6="Self",Calc3!AL21,Calc3!AL34))</f>
        <v/>
      </c>
      <c r="H34" s="1" t="str">
        <f t="shared" si="1"/>
        <v/>
      </c>
      <c r="I34" s="1" t="str">
        <f>IFERROR(IF('Score Summary'!$D$6="Self",Calc3!AM21,Calc3!AM34),"")</f>
        <v/>
      </c>
    </row>
    <row r="35" spans="1:9">
      <c r="A35" t="str">
        <f>IF(I19="No","","Work")</f>
        <v/>
      </c>
      <c r="B35" s="87" t="str">
        <f>IF(I19="No","",'Score Summary'!E18)</f>
        <v/>
      </c>
      <c r="C35" s="87"/>
      <c r="D35" s="147" t="str">
        <f>IF(I19="No","",IF(B19="Adaptive domains",H22,B22))</f>
        <v/>
      </c>
      <c r="E35" s="148" t="str">
        <f t="shared" si="0"/>
        <v/>
      </c>
      <c r="F35" s="148"/>
      <c r="G35" s="156" t="str">
        <f>IF(E35="","",IF(I19="No","",IF('Score Summary'!$D$6="Self",Calc3!AL22,Calc3!AL35)))</f>
        <v/>
      </c>
      <c r="H35" s="1" t="str">
        <f>IF(E35="","",IF(I19="No","",IF(E35&gt;=G35,"Yes","No")))</f>
        <v/>
      </c>
      <c r="I35" s="1" t="str">
        <f>IFERROR(IF(I19="No","",IF('Score Summary'!$D$6="Self",Calc3!AM22,Calc3!AM35)),"")</f>
        <v/>
      </c>
    </row>
  </sheetData>
  <sheetProtection algorithmName="SHA-512" hashValue="J6rswix8UfO3e/XA8oyv10gN1bkDUQURj8cDt8g+pjzYZk80E/eTtwAkqF7s2jAsZ9EkxqCNx0C71E6v1eCL/g==" saltValue="i/9VugvjErivqmyCyRGOig==" spinCount="100000" sheet="1" objects="1" scenarios="1" selectLockedCells="1"/>
  <mergeCells count="25">
    <mergeCell ref="B25:C25"/>
    <mergeCell ref="E25:F25"/>
    <mergeCell ref="A24:I24"/>
    <mergeCell ref="F11:F12"/>
    <mergeCell ref="G11:G12"/>
    <mergeCell ref="H11:H12"/>
    <mergeCell ref="I11:I12"/>
    <mergeCell ref="B11:C11"/>
    <mergeCell ref="D11:E11"/>
    <mergeCell ref="B22:C22"/>
    <mergeCell ref="D21:E21"/>
    <mergeCell ref="D22:E22"/>
    <mergeCell ref="F21:G21"/>
    <mergeCell ref="F22:G22"/>
    <mergeCell ref="H22:I22"/>
    <mergeCell ref="H21:I21"/>
    <mergeCell ref="B21:C21"/>
    <mergeCell ref="A1:I1"/>
    <mergeCell ref="A9:I9"/>
    <mergeCell ref="A3:I3"/>
    <mergeCell ref="A18:I18"/>
    <mergeCell ref="B20:C20"/>
    <mergeCell ref="D20:E20"/>
    <mergeCell ref="F20:G20"/>
    <mergeCell ref="H20:I20"/>
  </mergeCells>
  <dataValidations count="1">
    <dataValidation type="list" allowBlank="1" showInputMessage="1" showErrorMessage="1" sqref="B10 B19" xr:uid="{00000000-0002-0000-0100-000000000000}">
      <formula1>"General Adaptive Composite (GAC) (all skill areas),Adaptive domains"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K231"/>
  <sheetViews>
    <sheetView workbookViewId="0">
      <selection activeCell="D38" sqref="D38"/>
    </sheetView>
  </sheetViews>
  <sheetFormatPr defaultRowHeight="15"/>
  <cols>
    <col min="7" max="63" width="9.140625" style="1"/>
  </cols>
  <sheetData>
    <row r="1" spans="1:63" s="22" customFormat="1" ht="22.5" thickTop="1" thickBot="1">
      <c r="G1" s="23"/>
      <c r="H1" s="284" t="s">
        <v>69</v>
      </c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95" t="s">
        <v>70</v>
      </c>
      <c r="W1" s="296"/>
      <c r="X1" s="296"/>
      <c r="Y1" s="296"/>
      <c r="Z1" s="296"/>
      <c r="AA1" s="296"/>
      <c r="AB1" s="296"/>
      <c r="AC1" s="296"/>
      <c r="AD1" s="296"/>
      <c r="AE1" s="296"/>
      <c r="AF1" s="296"/>
      <c r="AG1" s="296"/>
      <c r="AH1" s="296"/>
      <c r="AI1" s="297"/>
      <c r="AJ1" s="303" t="s">
        <v>71</v>
      </c>
      <c r="AK1" s="294"/>
      <c r="AL1" s="294"/>
      <c r="AM1" s="294"/>
      <c r="AN1" s="294"/>
      <c r="AO1" s="294"/>
      <c r="AP1" s="294"/>
      <c r="AQ1" s="294"/>
      <c r="AR1" s="294"/>
      <c r="AS1" s="294"/>
      <c r="AT1" s="294"/>
      <c r="AU1" s="294"/>
      <c r="AV1" s="294"/>
      <c r="AW1" s="294"/>
      <c r="AX1" s="287" t="s">
        <v>72</v>
      </c>
      <c r="AY1" s="288"/>
      <c r="AZ1" s="288"/>
      <c r="BA1" s="288"/>
      <c r="BB1" s="288"/>
      <c r="BC1" s="288"/>
      <c r="BD1" s="288"/>
      <c r="BE1" s="288"/>
      <c r="BF1" s="288"/>
      <c r="BG1" s="288"/>
      <c r="BH1" s="288"/>
      <c r="BI1" s="288"/>
      <c r="BJ1" s="288"/>
      <c r="BK1" s="289"/>
    </row>
    <row r="2" spans="1:63" ht="15.75" thickTop="1">
      <c r="H2" s="281" t="s">
        <v>73</v>
      </c>
      <c r="I2" s="282"/>
      <c r="J2" s="282"/>
      <c r="K2" s="282"/>
      <c r="L2" s="282"/>
      <c r="M2" s="282"/>
      <c r="N2" s="283"/>
      <c r="O2" s="282" t="s">
        <v>74</v>
      </c>
      <c r="P2" s="282"/>
      <c r="Q2" s="282"/>
      <c r="R2" s="282"/>
      <c r="S2" s="282"/>
      <c r="T2" s="282"/>
      <c r="U2" s="282"/>
      <c r="V2" s="298" t="s">
        <v>73</v>
      </c>
      <c r="W2" s="299"/>
      <c r="X2" s="299"/>
      <c r="Y2" s="299"/>
      <c r="Z2" s="299"/>
      <c r="AA2" s="299"/>
      <c r="AB2" s="299"/>
      <c r="AC2" s="300" t="s">
        <v>74</v>
      </c>
      <c r="AD2" s="301"/>
      <c r="AE2" s="301"/>
      <c r="AF2" s="301"/>
      <c r="AG2" s="301"/>
      <c r="AH2" s="301"/>
      <c r="AI2" s="302"/>
      <c r="AJ2" s="304" t="s">
        <v>73</v>
      </c>
      <c r="AK2" s="305"/>
      <c r="AL2" s="305"/>
      <c r="AM2" s="305"/>
      <c r="AN2" s="305"/>
      <c r="AO2" s="305"/>
      <c r="AP2" s="305"/>
      <c r="AQ2" s="306" t="s">
        <v>74</v>
      </c>
      <c r="AR2" s="305"/>
      <c r="AS2" s="305"/>
      <c r="AT2" s="305"/>
      <c r="AU2" s="305"/>
      <c r="AV2" s="305"/>
      <c r="AW2" s="305"/>
      <c r="AX2" s="290" t="s">
        <v>73</v>
      </c>
      <c r="AY2" s="291"/>
      <c r="AZ2" s="291"/>
      <c r="BA2" s="291"/>
      <c r="BB2" s="291"/>
      <c r="BC2" s="291"/>
      <c r="BD2" s="291"/>
      <c r="BE2" s="290" t="s">
        <v>74</v>
      </c>
      <c r="BF2" s="291"/>
      <c r="BG2" s="291"/>
      <c r="BH2" s="291"/>
      <c r="BI2" s="291"/>
      <c r="BJ2" s="291"/>
      <c r="BK2" s="292"/>
    </row>
    <row r="3" spans="1:63" ht="15.75" thickBot="1">
      <c r="A3" s="265" t="s">
        <v>75</v>
      </c>
      <c r="B3" s="265"/>
      <c r="C3" s="4" t="s">
        <v>76</v>
      </c>
      <c r="G3" s="83" t="s">
        <v>9</v>
      </c>
      <c r="H3" s="24" t="s">
        <v>2</v>
      </c>
      <c r="I3" s="25" t="s">
        <v>77</v>
      </c>
      <c r="J3" s="25" t="s">
        <v>78</v>
      </c>
      <c r="K3" s="25" t="s">
        <v>79</v>
      </c>
      <c r="L3" s="25" t="s">
        <v>80</v>
      </c>
      <c r="M3" s="25" t="s">
        <v>81</v>
      </c>
      <c r="N3" s="26" t="s">
        <v>82</v>
      </c>
      <c r="O3" s="25" t="s">
        <v>2</v>
      </c>
      <c r="P3" s="25" t="s">
        <v>77</v>
      </c>
      <c r="Q3" s="25" t="s">
        <v>78</v>
      </c>
      <c r="R3" s="25" t="s">
        <v>79</v>
      </c>
      <c r="S3" s="25" t="s">
        <v>80</v>
      </c>
      <c r="T3" s="25" t="s">
        <v>81</v>
      </c>
      <c r="U3" s="25" t="s">
        <v>82</v>
      </c>
      <c r="V3" s="39" t="s">
        <v>2</v>
      </c>
      <c r="W3" s="40" t="s">
        <v>77</v>
      </c>
      <c r="X3" s="40" t="s">
        <v>78</v>
      </c>
      <c r="Y3" s="40" t="s">
        <v>79</v>
      </c>
      <c r="Z3" s="40" t="s">
        <v>80</v>
      </c>
      <c r="AA3" s="40" t="s">
        <v>81</v>
      </c>
      <c r="AB3" s="40" t="s">
        <v>82</v>
      </c>
      <c r="AC3" s="39" t="s">
        <v>2</v>
      </c>
      <c r="AD3" s="40" t="s">
        <v>77</v>
      </c>
      <c r="AE3" s="40" t="s">
        <v>78</v>
      </c>
      <c r="AF3" s="40" t="s">
        <v>79</v>
      </c>
      <c r="AG3" s="40" t="s">
        <v>80</v>
      </c>
      <c r="AH3" s="40" t="s">
        <v>81</v>
      </c>
      <c r="AI3" s="41" t="s">
        <v>82</v>
      </c>
      <c r="AJ3" s="63" t="s">
        <v>2</v>
      </c>
      <c r="AK3" s="57" t="s">
        <v>77</v>
      </c>
      <c r="AL3" s="57" t="s">
        <v>78</v>
      </c>
      <c r="AM3" s="57" t="s">
        <v>79</v>
      </c>
      <c r="AN3" s="57" t="s">
        <v>80</v>
      </c>
      <c r="AO3" s="57" t="s">
        <v>81</v>
      </c>
      <c r="AP3" s="57" t="s">
        <v>82</v>
      </c>
      <c r="AQ3" s="56" t="s">
        <v>2</v>
      </c>
      <c r="AR3" s="57" t="s">
        <v>77</v>
      </c>
      <c r="AS3" s="57" t="s">
        <v>78</v>
      </c>
      <c r="AT3" s="57" t="s">
        <v>79</v>
      </c>
      <c r="AU3" s="57" t="s">
        <v>80</v>
      </c>
      <c r="AV3" s="57" t="s">
        <v>81</v>
      </c>
      <c r="AW3" s="57" t="s">
        <v>82</v>
      </c>
      <c r="AX3" s="74" t="s">
        <v>2</v>
      </c>
      <c r="AY3" s="75" t="s">
        <v>77</v>
      </c>
      <c r="AZ3" s="75" t="s">
        <v>78</v>
      </c>
      <c r="BA3" s="75" t="s">
        <v>79</v>
      </c>
      <c r="BB3" s="75" t="s">
        <v>80</v>
      </c>
      <c r="BC3" s="75" t="s">
        <v>81</v>
      </c>
      <c r="BD3" s="75" t="s">
        <v>82</v>
      </c>
      <c r="BE3" s="74" t="s">
        <v>2</v>
      </c>
      <c r="BF3" s="75" t="s">
        <v>77</v>
      </c>
      <c r="BG3" s="75" t="s">
        <v>78</v>
      </c>
      <c r="BH3" s="75" t="s">
        <v>79</v>
      </c>
      <c r="BI3" s="75" t="s">
        <v>80</v>
      </c>
      <c r="BJ3" s="75" t="s">
        <v>81</v>
      </c>
      <c r="BK3" s="76" t="s">
        <v>82</v>
      </c>
    </row>
    <row r="4" spans="1:63" ht="15.75" thickTop="1">
      <c r="A4" s="18" t="s">
        <v>83</v>
      </c>
      <c r="B4" s="45" t="str">
        <f>'Score Summary'!D5</f>
        <v>16-21</v>
      </c>
      <c r="C4" s="1">
        <f>VLOOKUP(B4,A21:B28,2,FALSE)</f>
        <v>0</v>
      </c>
      <c r="F4" s="21"/>
      <c r="G4" s="84">
        <v>0</v>
      </c>
      <c r="H4" s="27">
        <v>1</v>
      </c>
      <c r="I4" s="28">
        <v>1</v>
      </c>
      <c r="J4" s="28">
        <v>1</v>
      </c>
      <c r="K4" s="28">
        <v>1</v>
      </c>
      <c r="L4" s="28">
        <v>1</v>
      </c>
      <c r="M4" s="28">
        <v>1</v>
      </c>
      <c r="N4" s="29">
        <v>1</v>
      </c>
      <c r="O4" s="28">
        <v>1</v>
      </c>
      <c r="P4" s="28">
        <v>1</v>
      </c>
      <c r="Q4" s="28">
        <v>1</v>
      </c>
      <c r="R4" s="28">
        <v>1</v>
      </c>
      <c r="S4" s="28">
        <v>1</v>
      </c>
      <c r="T4" s="28">
        <v>1</v>
      </c>
      <c r="U4" s="28">
        <v>1</v>
      </c>
      <c r="V4" s="37">
        <v>1</v>
      </c>
      <c r="W4" s="47">
        <v>1</v>
      </c>
      <c r="X4" s="47">
        <v>1</v>
      </c>
      <c r="Y4" s="47">
        <v>1</v>
      </c>
      <c r="Z4" s="47">
        <v>1</v>
      </c>
      <c r="AA4" s="47">
        <v>1</v>
      </c>
      <c r="AB4" s="47">
        <v>1</v>
      </c>
      <c r="AC4" s="37">
        <v>1</v>
      </c>
      <c r="AD4" s="47">
        <v>1</v>
      </c>
      <c r="AE4" s="47">
        <v>1</v>
      </c>
      <c r="AF4" s="47">
        <v>1</v>
      </c>
      <c r="AG4" s="47">
        <v>1</v>
      </c>
      <c r="AH4" s="47">
        <v>1</v>
      </c>
      <c r="AI4" s="48">
        <v>1</v>
      </c>
      <c r="AJ4" s="58">
        <v>1</v>
      </c>
      <c r="AK4" s="53">
        <v>1</v>
      </c>
      <c r="AL4" s="53">
        <v>1</v>
      </c>
      <c r="AM4" s="53">
        <v>1</v>
      </c>
      <c r="AN4" s="53">
        <v>1</v>
      </c>
      <c r="AO4" s="53">
        <v>1</v>
      </c>
      <c r="AP4" s="53">
        <v>1</v>
      </c>
      <c r="AQ4" s="53">
        <v>1</v>
      </c>
      <c r="AR4" s="53">
        <v>1</v>
      </c>
      <c r="AS4" s="53">
        <v>1</v>
      </c>
      <c r="AT4" s="53">
        <v>1</v>
      </c>
      <c r="AU4" s="53">
        <v>1</v>
      </c>
      <c r="AV4" s="53">
        <v>1</v>
      </c>
      <c r="AW4" s="53">
        <v>1</v>
      </c>
      <c r="AX4" s="68">
        <v>1</v>
      </c>
      <c r="AY4" s="69">
        <v>1</v>
      </c>
      <c r="AZ4" s="69">
        <v>1</v>
      </c>
      <c r="BA4" s="69">
        <v>1</v>
      </c>
      <c r="BB4" s="69">
        <v>1</v>
      </c>
      <c r="BC4" s="69">
        <v>1</v>
      </c>
      <c r="BD4" s="69">
        <v>1</v>
      </c>
      <c r="BE4" s="69">
        <v>1</v>
      </c>
      <c r="BF4" s="69">
        <v>1</v>
      </c>
      <c r="BG4" s="69">
        <v>1</v>
      </c>
      <c r="BH4" s="69">
        <v>1</v>
      </c>
      <c r="BI4" s="69">
        <v>1</v>
      </c>
      <c r="BJ4" s="69">
        <v>1</v>
      </c>
      <c r="BK4" s="70">
        <v>1</v>
      </c>
    </row>
    <row r="5" spans="1:63">
      <c r="A5" s="18" t="s">
        <v>5</v>
      </c>
      <c r="B5" s="42" t="str">
        <f>'Score Summary'!D6</f>
        <v>Self</v>
      </c>
      <c r="C5" s="1">
        <f>IF(B5="Self",0,IF(B5="Other",7,""))</f>
        <v>0</v>
      </c>
      <c r="G5" s="84">
        <v>1</v>
      </c>
      <c r="H5" s="30">
        <v>1</v>
      </c>
      <c r="I5" s="31">
        <v>1</v>
      </c>
      <c r="J5" s="31">
        <v>1</v>
      </c>
      <c r="K5" s="31">
        <v>1</v>
      </c>
      <c r="L5" s="31">
        <v>1</v>
      </c>
      <c r="M5" s="31">
        <v>1</v>
      </c>
      <c r="N5" s="32">
        <v>1</v>
      </c>
      <c r="O5" s="31">
        <v>1</v>
      </c>
      <c r="P5" s="31">
        <v>1</v>
      </c>
      <c r="Q5" s="31">
        <v>1</v>
      </c>
      <c r="R5" s="31">
        <v>1</v>
      </c>
      <c r="S5" s="31">
        <v>1</v>
      </c>
      <c r="T5" s="31">
        <v>1</v>
      </c>
      <c r="U5" s="31">
        <v>1</v>
      </c>
      <c r="V5" s="37">
        <v>1</v>
      </c>
      <c r="W5" s="47">
        <v>1</v>
      </c>
      <c r="X5" s="47">
        <v>1</v>
      </c>
      <c r="Y5" s="47">
        <v>1</v>
      </c>
      <c r="Z5" s="47">
        <v>1</v>
      </c>
      <c r="AA5" s="47">
        <v>1</v>
      </c>
      <c r="AB5" s="47">
        <v>1</v>
      </c>
      <c r="AC5" s="37">
        <v>1</v>
      </c>
      <c r="AD5" s="47">
        <v>1</v>
      </c>
      <c r="AE5" s="47">
        <v>1</v>
      </c>
      <c r="AF5" s="47">
        <v>1</v>
      </c>
      <c r="AG5" s="47">
        <v>1</v>
      </c>
      <c r="AH5" s="47">
        <v>1</v>
      </c>
      <c r="AI5" s="48">
        <v>1</v>
      </c>
      <c r="AJ5" s="58">
        <v>1</v>
      </c>
      <c r="AK5" s="53">
        <v>1</v>
      </c>
      <c r="AL5" s="53">
        <v>1</v>
      </c>
      <c r="AM5" s="53">
        <v>1</v>
      </c>
      <c r="AN5" s="53">
        <v>1</v>
      </c>
      <c r="AO5" s="53">
        <v>1</v>
      </c>
      <c r="AP5" s="53">
        <v>1</v>
      </c>
      <c r="AQ5" s="53">
        <v>1</v>
      </c>
      <c r="AR5" s="53">
        <v>1</v>
      </c>
      <c r="AS5" s="53">
        <v>1</v>
      </c>
      <c r="AT5" s="53">
        <v>1</v>
      </c>
      <c r="AU5" s="53">
        <v>1</v>
      </c>
      <c r="AV5" s="53">
        <v>1</v>
      </c>
      <c r="AW5" s="53">
        <v>1</v>
      </c>
      <c r="AX5" s="68">
        <v>1</v>
      </c>
      <c r="AY5" s="69">
        <v>1</v>
      </c>
      <c r="AZ5" s="69">
        <v>1</v>
      </c>
      <c r="BA5" s="69">
        <v>1</v>
      </c>
      <c r="BB5" s="69">
        <v>1</v>
      </c>
      <c r="BC5" s="69">
        <v>1</v>
      </c>
      <c r="BD5" s="69">
        <v>1</v>
      </c>
      <c r="BE5" s="69">
        <v>1</v>
      </c>
      <c r="BF5" s="69">
        <v>1</v>
      </c>
      <c r="BG5" s="69">
        <v>1</v>
      </c>
      <c r="BH5" s="69">
        <v>1</v>
      </c>
      <c r="BI5" s="69">
        <v>1</v>
      </c>
      <c r="BJ5" s="69">
        <v>1</v>
      </c>
      <c r="BK5" s="70">
        <v>1</v>
      </c>
    </row>
    <row r="6" spans="1:63">
      <c r="A6" s="18" t="s">
        <v>84</v>
      </c>
      <c r="B6" s="46">
        <f>'Score Summary'!G6</f>
        <v>0.95</v>
      </c>
      <c r="C6" s="1"/>
      <c r="G6" s="84">
        <v>2</v>
      </c>
      <c r="H6" s="30">
        <v>1</v>
      </c>
      <c r="I6" s="31">
        <v>1</v>
      </c>
      <c r="J6" s="31">
        <v>1</v>
      </c>
      <c r="K6" s="31">
        <v>1</v>
      </c>
      <c r="L6" s="31">
        <v>1</v>
      </c>
      <c r="M6" s="31">
        <v>1</v>
      </c>
      <c r="N6" s="32">
        <v>1</v>
      </c>
      <c r="O6" s="31">
        <v>1</v>
      </c>
      <c r="P6" s="31">
        <v>1</v>
      </c>
      <c r="Q6" s="31">
        <v>1</v>
      </c>
      <c r="R6" s="31">
        <v>1</v>
      </c>
      <c r="S6" s="31">
        <v>1</v>
      </c>
      <c r="T6" s="31">
        <v>1</v>
      </c>
      <c r="U6" s="31">
        <v>1</v>
      </c>
      <c r="V6" s="37">
        <v>1</v>
      </c>
      <c r="W6" s="47">
        <v>1</v>
      </c>
      <c r="X6" s="47">
        <v>1</v>
      </c>
      <c r="Y6" s="47">
        <v>1</v>
      </c>
      <c r="Z6" s="47">
        <v>1</v>
      </c>
      <c r="AA6" s="47">
        <v>1</v>
      </c>
      <c r="AB6" s="47">
        <v>1</v>
      </c>
      <c r="AC6" s="37">
        <v>1</v>
      </c>
      <c r="AD6" s="47">
        <v>1</v>
      </c>
      <c r="AE6" s="47">
        <v>1</v>
      </c>
      <c r="AF6" s="47">
        <v>1</v>
      </c>
      <c r="AG6" s="47">
        <v>1</v>
      </c>
      <c r="AH6" s="47">
        <v>1</v>
      </c>
      <c r="AI6" s="48">
        <v>1</v>
      </c>
      <c r="AJ6" s="58">
        <v>1</v>
      </c>
      <c r="AK6" s="53">
        <v>1</v>
      </c>
      <c r="AL6" s="53">
        <v>1</v>
      </c>
      <c r="AM6" s="53">
        <v>1</v>
      </c>
      <c r="AN6" s="53">
        <v>1</v>
      </c>
      <c r="AO6" s="53">
        <v>1</v>
      </c>
      <c r="AP6" s="53">
        <v>1</v>
      </c>
      <c r="AQ6" s="53">
        <v>1</v>
      </c>
      <c r="AR6" s="53">
        <v>1</v>
      </c>
      <c r="AS6" s="53">
        <v>1</v>
      </c>
      <c r="AT6" s="53">
        <v>1</v>
      </c>
      <c r="AU6" s="53">
        <v>1</v>
      </c>
      <c r="AV6" s="53">
        <v>1</v>
      </c>
      <c r="AW6" s="53">
        <v>1</v>
      </c>
      <c r="AX6" s="68">
        <v>1</v>
      </c>
      <c r="AY6" s="69">
        <v>1</v>
      </c>
      <c r="AZ6" s="69">
        <v>1</v>
      </c>
      <c r="BA6" s="69">
        <v>1</v>
      </c>
      <c r="BB6" s="69">
        <v>1</v>
      </c>
      <c r="BC6" s="69">
        <v>1</v>
      </c>
      <c r="BD6" s="69">
        <v>1</v>
      </c>
      <c r="BE6" s="69">
        <v>1</v>
      </c>
      <c r="BF6" s="69">
        <v>1</v>
      </c>
      <c r="BG6" s="69">
        <v>1</v>
      </c>
      <c r="BH6" s="69">
        <v>1</v>
      </c>
      <c r="BI6" s="69">
        <v>1</v>
      </c>
      <c r="BJ6" s="69">
        <v>1</v>
      </c>
      <c r="BK6" s="70">
        <v>1</v>
      </c>
    </row>
    <row r="7" spans="1:63">
      <c r="A7" s="18" t="s">
        <v>85</v>
      </c>
      <c r="B7" s="45" t="str">
        <f>'Score Summary'!G5</f>
        <v>No</v>
      </c>
      <c r="C7" s="1"/>
      <c r="G7" s="84">
        <v>3</v>
      </c>
      <c r="H7" s="30">
        <v>1</v>
      </c>
      <c r="I7" s="31">
        <v>1</v>
      </c>
      <c r="J7" s="31">
        <v>1</v>
      </c>
      <c r="K7" s="31">
        <v>1</v>
      </c>
      <c r="L7" s="31">
        <v>1</v>
      </c>
      <c r="M7" s="31">
        <v>1</v>
      </c>
      <c r="N7" s="32">
        <v>1</v>
      </c>
      <c r="O7" s="31">
        <v>1</v>
      </c>
      <c r="P7" s="31">
        <v>1</v>
      </c>
      <c r="Q7" s="31">
        <v>1</v>
      </c>
      <c r="R7" s="31">
        <v>1</v>
      </c>
      <c r="S7" s="31">
        <v>1</v>
      </c>
      <c r="T7" s="31">
        <v>1</v>
      </c>
      <c r="U7" s="31">
        <v>1</v>
      </c>
      <c r="V7" s="37">
        <v>1</v>
      </c>
      <c r="W7" s="47">
        <v>1</v>
      </c>
      <c r="X7" s="47">
        <v>1</v>
      </c>
      <c r="Y7" s="47">
        <v>1</v>
      </c>
      <c r="Z7" s="47">
        <v>1</v>
      </c>
      <c r="AA7" s="47">
        <v>1</v>
      </c>
      <c r="AB7" s="47">
        <v>1</v>
      </c>
      <c r="AC7" s="37">
        <v>1</v>
      </c>
      <c r="AD7" s="47">
        <v>1</v>
      </c>
      <c r="AE7" s="47">
        <v>1</v>
      </c>
      <c r="AF7" s="47">
        <v>1</v>
      </c>
      <c r="AG7" s="47">
        <v>1</v>
      </c>
      <c r="AH7" s="47">
        <v>1</v>
      </c>
      <c r="AI7" s="48">
        <v>1</v>
      </c>
      <c r="AJ7" s="58">
        <v>1</v>
      </c>
      <c r="AK7" s="53">
        <v>1</v>
      </c>
      <c r="AL7" s="53">
        <v>1</v>
      </c>
      <c r="AM7" s="53">
        <v>1</v>
      </c>
      <c r="AN7" s="53">
        <v>1</v>
      </c>
      <c r="AO7" s="53">
        <v>1</v>
      </c>
      <c r="AP7" s="53">
        <v>1</v>
      </c>
      <c r="AQ7" s="53">
        <v>1</v>
      </c>
      <c r="AR7" s="53">
        <v>1</v>
      </c>
      <c r="AS7" s="53">
        <v>1</v>
      </c>
      <c r="AT7" s="53">
        <v>1</v>
      </c>
      <c r="AU7" s="53">
        <v>1</v>
      </c>
      <c r="AV7" s="53">
        <v>1</v>
      </c>
      <c r="AW7" s="53">
        <v>1</v>
      </c>
      <c r="AX7" s="68">
        <v>1</v>
      </c>
      <c r="AY7" s="69">
        <v>1</v>
      </c>
      <c r="AZ7" s="69">
        <v>1</v>
      </c>
      <c r="BA7" s="69">
        <v>1</v>
      </c>
      <c r="BB7" s="69">
        <v>1</v>
      </c>
      <c r="BC7" s="69">
        <v>1</v>
      </c>
      <c r="BD7" s="69">
        <v>1</v>
      </c>
      <c r="BE7" s="69">
        <v>1</v>
      </c>
      <c r="BF7" s="69">
        <v>1</v>
      </c>
      <c r="BG7" s="69">
        <v>1</v>
      </c>
      <c r="BH7" s="69">
        <v>1</v>
      </c>
      <c r="BI7" s="69">
        <v>1</v>
      </c>
      <c r="BJ7" s="69">
        <v>1</v>
      </c>
      <c r="BK7" s="70">
        <v>1</v>
      </c>
    </row>
    <row r="8" spans="1:63">
      <c r="G8" s="84">
        <v>4</v>
      </c>
      <c r="H8" s="30">
        <v>1</v>
      </c>
      <c r="I8" s="31">
        <v>1</v>
      </c>
      <c r="J8" s="31">
        <v>1</v>
      </c>
      <c r="K8" s="31">
        <v>1</v>
      </c>
      <c r="L8" s="31">
        <v>1</v>
      </c>
      <c r="M8" s="31">
        <v>1</v>
      </c>
      <c r="N8" s="32">
        <v>1</v>
      </c>
      <c r="O8" s="31">
        <v>1</v>
      </c>
      <c r="P8" s="31">
        <v>1</v>
      </c>
      <c r="Q8" s="31">
        <v>1</v>
      </c>
      <c r="R8" s="31">
        <v>1</v>
      </c>
      <c r="S8" s="31">
        <v>1</v>
      </c>
      <c r="T8" s="31">
        <v>1</v>
      </c>
      <c r="U8" s="31">
        <v>1</v>
      </c>
      <c r="V8" s="37">
        <v>1</v>
      </c>
      <c r="W8" s="47">
        <v>1</v>
      </c>
      <c r="X8" s="47">
        <v>1</v>
      </c>
      <c r="Y8" s="47">
        <v>1</v>
      </c>
      <c r="Z8" s="47">
        <v>1</v>
      </c>
      <c r="AA8" s="47">
        <v>1</v>
      </c>
      <c r="AB8" s="47">
        <v>1</v>
      </c>
      <c r="AC8" s="37">
        <v>1</v>
      </c>
      <c r="AD8" s="47">
        <v>1</v>
      </c>
      <c r="AE8" s="47">
        <v>1</v>
      </c>
      <c r="AF8" s="47">
        <v>1</v>
      </c>
      <c r="AG8" s="47">
        <v>1</v>
      </c>
      <c r="AH8" s="47">
        <v>1</v>
      </c>
      <c r="AI8" s="48">
        <v>1</v>
      </c>
      <c r="AJ8" s="58">
        <v>1</v>
      </c>
      <c r="AK8" s="53">
        <v>1</v>
      </c>
      <c r="AL8" s="53">
        <v>1</v>
      </c>
      <c r="AM8" s="53">
        <v>1</v>
      </c>
      <c r="AN8" s="53">
        <v>1</v>
      </c>
      <c r="AO8" s="53">
        <v>1</v>
      </c>
      <c r="AP8" s="53">
        <v>1</v>
      </c>
      <c r="AQ8" s="53">
        <v>1</v>
      </c>
      <c r="AR8" s="53">
        <v>1</v>
      </c>
      <c r="AS8" s="53">
        <v>1</v>
      </c>
      <c r="AT8" s="53">
        <v>1</v>
      </c>
      <c r="AU8" s="53">
        <v>1</v>
      </c>
      <c r="AV8" s="53">
        <v>1</v>
      </c>
      <c r="AW8" s="53">
        <v>1</v>
      </c>
      <c r="AX8" s="68">
        <v>1</v>
      </c>
      <c r="AY8" s="69">
        <v>1</v>
      </c>
      <c r="AZ8" s="69">
        <v>1</v>
      </c>
      <c r="BA8" s="69">
        <v>1</v>
      </c>
      <c r="BB8" s="69">
        <v>1</v>
      </c>
      <c r="BC8" s="69">
        <v>1</v>
      </c>
      <c r="BD8" s="69">
        <v>1</v>
      </c>
      <c r="BE8" s="69">
        <v>1</v>
      </c>
      <c r="BF8" s="69">
        <v>1</v>
      </c>
      <c r="BG8" s="69">
        <v>1</v>
      </c>
      <c r="BH8" s="69">
        <v>1</v>
      </c>
      <c r="BI8" s="69">
        <v>1</v>
      </c>
      <c r="BJ8" s="69">
        <v>1</v>
      </c>
      <c r="BK8" s="70">
        <v>1</v>
      </c>
    </row>
    <row r="9" spans="1:63">
      <c r="A9" s="265" t="s">
        <v>8</v>
      </c>
      <c r="B9" s="265"/>
      <c r="C9" s="4" t="s">
        <v>9</v>
      </c>
      <c r="D9" s="4" t="s">
        <v>86</v>
      </c>
      <c r="E9" s="4" t="s">
        <v>87</v>
      </c>
      <c r="G9" s="84">
        <v>5</v>
      </c>
      <c r="H9" s="30">
        <v>1</v>
      </c>
      <c r="I9" s="31">
        <v>1</v>
      </c>
      <c r="J9" s="31">
        <v>1</v>
      </c>
      <c r="K9" s="31">
        <v>1</v>
      </c>
      <c r="L9" s="31">
        <v>1</v>
      </c>
      <c r="M9" s="31">
        <v>1</v>
      </c>
      <c r="N9" s="32">
        <v>1</v>
      </c>
      <c r="O9" s="31">
        <v>1</v>
      </c>
      <c r="P9" s="31">
        <v>1</v>
      </c>
      <c r="Q9" s="31">
        <v>1</v>
      </c>
      <c r="R9" s="31">
        <v>1</v>
      </c>
      <c r="S9" s="31">
        <v>1</v>
      </c>
      <c r="T9" s="31">
        <v>1</v>
      </c>
      <c r="U9" s="31">
        <v>1</v>
      </c>
      <c r="V9" s="37">
        <v>1</v>
      </c>
      <c r="W9" s="47">
        <v>1</v>
      </c>
      <c r="X9" s="47">
        <v>1</v>
      </c>
      <c r="Y9" s="47">
        <v>1</v>
      </c>
      <c r="Z9" s="47">
        <v>1</v>
      </c>
      <c r="AA9" s="47">
        <v>1</v>
      </c>
      <c r="AB9" s="47">
        <v>1</v>
      </c>
      <c r="AC9" s="37">
        <v>1</v>
      </c>
      <c r="AD9" s="47">
        <v>1</v>
      </c>
      <c r="AE9" s="47">
        <v>1</v>
      </c>
      <c r="AF9" s="47">
        <v>1</v>
      </c>
      <c r="AG9" s="47">
        <v>1</v>
      </c>
      <c r="AH9" s="47">
        <v>1</v>
      </c>
      <c r="AI9" s="48">
        <v>1</v>
      </c>
      <c r="AJ9" s="58">
        <v>1</v>
      </c>
      <c r="AK9" s="53">
        <v>1</v>
      </c>
      <c r="AL9" s="53">
        <v>1</v>
      </c>
      <c r="AM9" s="53">
        <v>1</v>
      </c>
      <c r="AN9" s="53">
        <v>1</v>
      </c>
      <c r="AO9" s="53">
        <v>1</v>
      </c>
      <c r="AP9" s="53">
        <v>1</v>
      </c>
      <c r="AQ9" s="53">
        <v>1</v>
      </c>
      <c r="AR9" s="53">
        <v>1</v>
      </c>
      <c r="AS9" s="53">
        <v>1</v>
      </c>
      <c r="AT9" s="53">
        <v>1</v>
      </c>
      <c r="AU9" s="53">
        <v>1</v>
      </c>
      <c r="AV9" s="53">
        <v>1</v>
      </c>
      <c r="AW9" s="53">
        <v>1</v>
      </c>
      <c r="AX9" s="68">
        <v>1</v>
      </c>
      <c r="AY9" s="69">
        <v>1</v>
      </c>
      <c r="AZ9" s="69">
        <v>1</v>
      </c>
      <c r="BA9" s="69">
        <v>1</v>
      </c>
      <c r="BB9" s="69">
        <v>1</v>
      </c>
      <c r="BC9" s="69">
        <v>1</v>
      </c>
      <c r="BD9" s="69">
        <v>1</v>
      </c>
      <c r="BE9" s="69">
        <v>1</v>
      </c>
      <c r="BF9" s="69">
        <v>1</v>
      </c>
      <c r="BG9" s="69">
        <v>1</v>
      </c>
      <c r="BH9" s="69">
        <v>1</v>
      </c>
      <c r="BI9" s="69">
        <v>1</v>
      </c>
      <c r="BJ9" s="69">
        <v>1</v>
      </c>
      <c r="BK9" s="70">
        <v>1</v>
      </c>
    </row>
    <row r="10" spans="1:63">
      <c r="A10" s="263" t="s">
        <v>11</v>
      </c>
      <c r="B10" s="263"/>
      <c r="C10" s="6" t="str">
        <f>IF('Score Summary'!D9="","",'Score Summary'!D9)</f>
        <v/>
      </c>
      <c r="D10" s="9" t="e">
        <f>VLOOKUP(C10,G3:U79,SUM(C4,C5,E10),FALSE)</f>
        <v>#N/A</v>
      </c>
      <c r="E10" s="51">
        <v>2</v>
      </c>
      <c r="G10" s="84">
        <v>6</v>
      </c>
      <c r="H10" s="30">
        <v>1</v>
      </c>
      <c r="I10" s="31">
        <v>1</v>
      </c>
      <c r="J10" s="31">
        <v>1</v>
      </c>
      <c r="K10" s="31">
        <v>1</v>
      </c>
      <c r="L10" s="31">
        <v>1</v>
      </c>
      <c r="M10" s="31">
        <v>1</v>
      </c>
      <c r="N10" s="32">
        <v>1</v>
      </c>
      <c r="O10" s="31">
        <v>1</v>
      </c>
      <c r="P10" s="31">
        <v>1</v>
      </c>
      <c r="Q10" s="31">
        <v>1</v>
      </c>
      <c r="R10" s="31">
        <v>1</v>
      </c>
      <c r="S10" s="31">
        <v>1</v>
      </c>
      <c r="T10" s="31">
        <v>1</v>
      </c>
      <c r="U10" s="31">
        <v>1</v>
      </c>
      <c r="V10" s="37">
        <v>1</v>
      </c>
      <c r="W10" s="47">
        <v>1</v>
      </c>
      <c r="X10" s="47">
        <v>1</v>
      </c>
      <c r="Y10" s="47">
        <v>1</v>
      </c>
      <c r="Z10" s="47">
        <v>1</v>
      </c>
      <c r="AA10" s="47">
        <v>1</v>
      </c>
      <c r="AB10" s="47">
        <v>1</v>
      </c>
      <c r="AC10" s="37">
        <v>1</v>
      </c>
      <c r="AD10" s="47">
        <v>1</v>
      </c>
      <c r="AE10" s="47">
        <v>1</v>
      </c>
      <c r="AF10" s="47">
        <v>1</v>
      </c>
      <c r="AG10" s="47">
        <v>1</v>
      </c>
      <c r="AH10" s="47">
        <v>1</v>
      </c>
      <c r="AI10" s="48">
        <v>1</v>
      </c>
      <c r="AJ10" s="58">
        <v>1</v>
      </c>
      <c r="AK10" s="53">
        <v>1</v>
      </c>
      <c r="AL10" s="53">
        <v>1</v>
      </c>
      <c r="AM10" s="53">
        <v>1</v>
      </c>
      <c r="AN10" s="53">
        <v>1</v>
      </c>
      <c r="AO10" s="53">
        <v>1</v>
      </c>
      <c r="AP10" s="53">
        <v>1</v>
      </c>
      <c r="AQ10" s="53">
        <v>1</v>
      </c>
      <c r="AR10" s="53">
        <v>1</v>
      </c>
      <c r="AS10" s="53">
        <v>1</v>
      </c>
      <c r="AT10" s="53">
        <v>1</v>
      </c>
      <c r="AU10" s="53">
        <v>1</v>
      </c>
      <c r="AV10" s="53">
        <v>1</v>
      </c>
      <c r="AW10" s="53">
        <v>1</v>
      </c>
      <c r="AX10" s="68">
        <v>1</v>
      </c>
      <c r="AY10" s="69">
        <v>1</v>
      </c>
      <c r="AZ10" s="69">
        <v>1</v>
      </c>
      <c r="BA10" s="69">
        <v>1</v>
      </c>
      <c r="BB10" s="69">
        <v>1</v>
      </c>
      <c r="BC10" s="69">
        <v>1</v>
      </c>
      <c r="BD10" s="69">
        <v>1</v>
      </c>
      <c r="BE10" s="69">
        <v>1</v>
      </c>
      <c r="BF10" s="69">
        <v>1</v>
      </c>
      <c r="BG10" s="69">
        <v>1</v>
      </c>
      <c r="BH10" s="69">
        <v>1</v>
      </c>
      <c r="BI10" s="69">
        <v>1</v>
      </c>
      <c r="BJ10" s="69">
        <v>1</v>
      </c>
      <c r="BK10" s="70">
        <v>1</v>
      </c>
    </row>
    <row r="11" spans="1:63">
      <c r="A11" s="263" t="s">
        <v>12</v>
      </c>
      <c r="B11" s="263"/>
      <c r="C11" s="6" t="str">
        <f>IF('Score Summary'!D10="","",'Score Summary'!D10)</f>
        <v/>
      </c>
      <c r="D11" s="9" t="e">
        <f>VLOOKUP(C11,G86:U159,SUM(E11,C4,C5),FALSE)</f>
        <v>#N/A</v>
      </c>
      <c r="E11" s="51">
        <v>2</v>
      </c>
      <c r="G11" s="84">
        <v>7</v>
      </c>
      <c r="H11" s="30">
        <v>1</v>
      </c>
      <c r="I11" s="31">
        <v>1</v>
      </c>
      <c r="J11" s="31">
        <v>1</v>
      </c>
      <c r="K11" s="31">
        <v>1</v>
      </c>
      <c r="L11" s="31">
        <v>1</v>
      </c>
      <c r="M11" s="31">
        <v>1</v>
      </c>
      <c r="N11" s="32">
        <v>1</v>
      </c>
      <c r="O11" s="31">
        <v>1</v>
      </c>
      <c r="P11" s="31">
        <v>1</v>
      </c>
      <c r="Q11" s="31">
        <v>1</v>
      </c>
      <c r="R11" s="31">
        <v>1</v>
      </c>
      <c r="S11" s="31">
        <v>1</v>
      </c>
      <c r="T11" s="31">
        <v>1</v>
      </c>
      <c r="U11" s="31">
        <v>1</v>
      </c>
      <c r="V11" s="37">
        <v>1</v>
      </c>
      <c r="W11" s="47">
        <v>1</v>
      </c>
      <c r="X11" s="47">
        <v>1</v>
      </c>
      <c r="Y11" s="47">
        <v>1</v>
      </c>
      <c r="Z11" s="47">
        <v>1</v>
      </c>
      <c r="AA11" s="47">
        <v>1</v>
      </c>
      <c r="AB11" s="47">
        <v>1</v>
      </c>
      <c r="AC11" s="37">
        <v>1</v>
      </c>
      <c r="AD11" s="47">
        <v>1</v>
      </c>
      <c r="AE11" s="47">
        <v>1</v>
      </c>
      <c r="AF11" s="47">
        <v>1</v>
      </c>
      <c r="AG11" s="47">
        <v>1</v>
      </c>
      <c r="AH11" s="47">
        <v>1</v>
      </c>
      <c r="AI11" s="48">
        <v>1</v>
      </c>
      <c r="AJ11" s="58">
        <v>1</v>
      </c>
      <c r="AK11" s="53">
        <v>1</v>
      </c>
      <c r="AL11" s="53">
        <v>1</v>
      </c>
      <c r="AM11" s="53">
        <v>1</v>
      </c>
      <c r="AN11" s="53">
        <v>1</v>
      </c>
      <c r="AO11" s="53">
        <v>1</v>
      </c>
      <c r="AP11" s="53">
        <v>1</v>
      </c>
      <c r="AQ11" s="53">
        <v>1</v>
      </c>
      <c r="AR11" s="53">
        <v>1</v>
      </c>
      <c r="AS11" s="53">
        <v>1</v>
      </c>
      <c r="AT11" s="53">
        <v>1</v>
      </c>
      <c r="AU11" s="53">
        <v>1</v>
      </c>
      <c r="AV11" s="53">
        <v>1</v>
      </c>
      <c r="AW11" s="53">
        <v>1</v>
      </c>
      <c r="AX11" s="68">
        <v>1</v>
      </c>
      <c r="AY11" s="69">
        <v>1</v>
      </c>
      <c r="AZ11" s="69">
        <v>1</v>
      </c>
      <c r="BA11" s="69">
        <v>1</v>
      </c>
      <c r="BB11" s="69">
        <v>1</v>
      </c>
      <c r="BC11" s="69">
        <v>1</v>
      </c>
      <c r="BD11" s="69">
        <v>1</v>
      </c>
      <c r="BE11" s="69">
        <v>1</v>
      </c>
      <c r="BF11" s="69">
        <v>1</v>
      </c>
      <c r="BG11" s="69">
        <v>1</v>
      </c>
      <c r="BH11" s="69">
        <v>1</v>
      </c>
      <c r="BI11" s="69">
        <v>1</v>
      </c>
      <c r="BJ11" s="69">
        <v>1</v>
      </c>
      <c r="BK11" s="70">
        <v>1</v>
      </c>
    </row>
    <row r="12" spans="1:63">
      <c r="A12" s="263" t="s">
        <v>13</v>
      </c>
      <c r="B12" s="263"/>
      <c r="C12" s="6" t="str">
        <f>IF('Score Summary'!D11="","",'Score Summary'!D11)</f>
        <v/>
      </c>
      <c r="D12" s="9" t="e">
        <f>VLOOKUP(C12,G86:AI159,SUM(E12,C4,C5),FALSE)</f>
        <v>#N/A</v>
      </c>
      <c r="E12" s="51">
        <v>16</v>
      </c>
      <c r="G12" s="84">
        <v>8</v>
      </c>
      <c r="H12" s="30">
        <v>1</v>
      </c>
      <c r="I12" s="31">
        <v>1</v>
      </c>
      <c r="J12" s="31">
        <v>1</v>
      </c>
      <c r="K12" s="31">
        <v>1</v>
      </c>
      <c r="L12" s="31">
        <v>1</v>
      </c>
      <c r="M12" s="31">
        <v>1</v>
      </c>
      <c r="N12" s="32">
        <v>1</v>
      </c>
      <c r="O12" s="31">
        <v>1</v>
      </c>
      <c r="P12" s="31">
        <v>1</v>
      </c>
      <c r="Q12" s="31">
        <v>1</v>
      </c>
      <c r="R12" s="31">
        <v>1</v>
      </c>
      <c r="S12" s="31">
        <v>1</v>
      </c>
      <c r="T12" s="31">
        <v>1</v>
      </c>
      <c r="U12" s="31">
        <v>1</v>
      </c>
      <c r="V12" s="37">
        <v>1</v>
      </c>
      <c r="W12" s="47">
        <v>1</v>
      </c>
      <c r="X12" s="47">
        <v>1</v>
      </c>
      <c r="Y12" s="47">
        <v>1</v>
      </c>
      <c r="Z12" s="47">
        <v>1</v>
      </c>
      <c r="AA12" s="47">
        <v>1</v>
      </c>
      <c r="AB12" s="47">
        <v>1</v>
      </c>
      <c r="AC12" s="37">
        <v>1</v>
      </c>
      <c r="AD12" s="47">
        <v>1</v>
      </c>
      <c r="AE12" s="47">
        <v>1</v>
      </c>
      <c r="AF12" s="47">
        <v>1</v>
      </c>
      <c r="AG12" s="47">
        <v>1</v>
      </c>
      <c r="AH12" s="47">
        <v>1</v>
      </c>
      <c r="AI12" s="48">
        <v>1</v>
      </c>
      <c r="AJ12" s="58">
        <v>1</v>
      </c>
      <c r="AK12" s="53">
        <v>1</v>
      </c>
      <c r="AL12" s="53">
        <v>1</v>
      </c>
      <c r="AM12" s="53">
        <v>1</v>
      </c>
      <c r="AN12" s="53">
        <v>1</v>
      </c>
      <c r="AO12" s="53">
        <v>1</v>
      </c>
      <c r="AP12" s="53">
        <v>1</v>
      </c>
      <c r="AQ12" s="53">
        <v>1</v>
      </c>
      <c r="AR12" s="53">
        <v>1</v>
      </c>
      <c r="AS12" s="53">
        <v>1</v>
      </c>
      <c r="AT12" s="53">
        <v>1</v>
      </c>
      <c r="AU12" s="53">
        <v>1</v>
      </c>
      <c r="AV12" s="53">
        <v>1</v>
      </c>
      <c r="AW12" s="53">
        <v>1</v>
      </c>
      <c r="AX12" s="68">
        <v>1</v>
      </c>
      <c r="AY12" s="69">
        <v>1</v>
      </c>
      <c r="AZ12" s="69">
        <v>1</v>
      </c>
      <c r="BA12" s="69">
        <v>1</v>
      </c>
      <c r="BB12" s="69">
        <v>1</v>
      </c>
      <c r="BC12" s="69">
        <v>1</v>
      </c>
      <c r="BD12" s="69">
        <v>1</v>
      </c>
      <c r="BE12" s="69">
        <v>1</v>
      </c>
      <c r="BF12" s="69">
        <v>1</v>
      </c>
      <c r="BG12" s="69">
        <v>1</v>
      </c>
      <c r="BH12" s="69">
        <v>1</v>
      </c>
      <c r="BI12" s="69">
        <v>1</v>
      </c>
      <c r="BJ12" s="69">
        <v>1</v>
      </c>
      <c r="BK12" s="70">
        <v>1</v>
      </c>
    </row>
    <row r="13" spans="1:63">
      <c r="A13" s="263" t="s">
        <v>14</v>
      </c>
      <c r="B13" s="263"/>
      <c r="C13" s="6" t="str">
        <f>IF('Score Summary'!D12="","",'Score Summary'!D12)</f>
        <v/>
      </c>
      <c r="D13" s="9" t="e">
        <f>VLOOKUP(C13,G86:AW159,SUM(E13,C4,C5),FALSE)</f>
        <v>#N/A</v>
      </c>
      <c r="E13" s="51">
        <v>30</v>
      </c>
      <c r="G13" s="84">
        <v>9</v>
      </c>
      <c r="H13" s="30">
        <v>1</v>
      </c>
      <c r="I13" s="31">
        <v>1</v>
      </c>
      <c r="J13" s="31">
        <v>1</v>
      </c>
      <c r="K13" s="31">
        <v>1</v>
      </c>
      <c r="L13" s="31">
        <v>1</v>
      </c>
      <c r="M13" s="31">
        <v>1</v>
      </c>
      <c r="N13" s="32">
        <v>1</v>
      </c>
      <c r="O13" s="31">
        <v>1</v>
      </c>
      <c r="P13" s="31">
        <v>1</v>
      </c>
      <c r="Q13" s="31">
        <v>1</v>
      </c>
      <c r="R13" s="31">
        <v>1</v>
      </c>
      <c r="S13" s="31">
        <v>1</v>
      </c>
      <c r="T13" s="31">
        <v>1</v>
      </c>
      <c r="U13" s="31">
        <v>1</v>
      </c>
      <c r="V13" s="37">
        <v>1</v>
      </c>
      <c r="W13" s="47">
        <v>1</v>
      </c>
      <c r="X13" s="47">
        <v>1</v>
      </c>
      <c r="Y13" s="47">
        <v>1</v>
      </c>
      <c r="Z13" s="47">
        <v>1</v>
      </c>
      <c r="AA13" s="47">
        <v>1</v>
      </c>
      <c r="AB13" s="47">
        <v>1</v>
      </c>
      <c r="AC13" s="37">
        <v>1</v>
      </c>
      <c r="AD13" s="47">
        <v>1</v>
      </c>
      <c r="AE13" s="47">
        <v>1</v>
      </c>
      <c r="AF13" s="47">
        <v>1</v>
      </c>
      <c r="AG13" s="47">
        <v>1</v>
      </c>
      <c r="AH13" s="47">
        <v>1</v>
      </c>
      <c r="AI13" s="48">
        <v>1</v>
      </c>
      <c r="AJ13" s="58">
        <v>1</v>
      </c>
      <c r="AK13" s="53">
        <v>1</v>
      </c>
      <c r="AL13" s="53">
        <v>1</v>
      </c>
      <c r="AM13" s="53">
        <v>1</v>
      </c>
      <c r="AN13" s="53">
        <v>1</v>
      </c>
      <c r="AO13" s="53">
        <v>1</v>
      </c>
      <c r="AP13" s="53">
        <v>1</v>
      </c>
      <c r="AQ13" s="53">
        <v>1</v>
      </c>
      <c r="AR13" s="53">
        <v>1</v>
      </c>
      <c r="AS13" s="53">
        <v>1</v>
      </c>
      <c r="AT13" s="53">
        <v>1</v>
      </c>
      <c r="AU13" s="53">
        <v>1</v>
      </c>
      <c r="AV13" s="53">
        <v>1</v>
      </c>
      <c r="AW13" s="53">
        <v>1</v>
      </c>
      <c r="AX13" s="68">
        <v>1</v>
      </c>
      <c r="AY13" s="69">
        <v>1</v>
      </c>
      <c r="AZ13" s="69">
        <v>1</v>
      </c>
      <c r="BA13" s="69">
        <v>1</v>
      </c>
      <c r="BB13" s="69">
        <v>1</v>
      </c>
      <c r="BC13" s="69">
        <v>1</v>
      </c>
      <c r="BD13" s="69">
        <v>1</v>
      </c>
      <c r="BE13" s="69">
        <v>1</v>
      </c>
      <c r="BF13" s="69">
        <v>1</v>
      </c>
      <c r="BG13" s="69">
        <v>1</v>
      </c>
      <c r="BH13" s="69">
        <v>1</v>
      </c>
      <c r="BI13" s="69">
        <v>1</v>
      </c>
      <c r="BJ13" s="69">
        <v>1</v>
      </c>
      <c r="BK13" s="70">
        <v>1</v>
      </c>
    </row>
    <row r="14" spans="1:63">
      <c r="A14" s="263" t="s">
        <v>15</v>
      </c>
      <c r="B14" s="263"/>
      <c r="C14" s="6" t="str">
        <f>IF('Score Summary'!D13="","",'Score Summary'!D13)</f>
        <v/>
      </c>
      <c r="D14" s="9" t="e">
        <f>VLOOKUP(C14,G163:U224,SUM(E14,C4,C5),FALSE)</f>
        <v>#N/A</v>
      </c>
      <c r="E14" s="51">
        <v>2</v>
      </c>
      <c r="G14" s="84">
        <v>10</v>
      </c>
      <c r="H14" s="30">
        <v>1</v>
      </c>
      <c r="I14" s="31">
        <v>1</v>
      </c>
      <c r="J14" s="31">
        <v>1</v>
      </c>
      <c r="K14" s="31">
        <v>1</v>
      </c>
      <c r="L14" s="31">
        <v>1</v>
      </c>
      <c r="M14" s="31">
        <v>1</v>
      </c>
      <c r="N14" s="32">
        <v>1</v>
      </c>
      <c r="O14" s="31">
        <v>1</v>
      </c>
      <c r="P14" s="31">
        <v>1</v>
      </c>
      <c r="Q14" s="31">
        <v>1</v>
      </c>
      <c r="R14" s="31">
        <v>1</v>
      </c>
      <c r="S14" s="31">
        <v>1</v>
      </c>
      <c r="T14" s="31">
        <v>1</v>
      </c>
      <c r="U14" s="31">
        <v>1</v>
      </c>
      <c r="V14" s="37">
        <v>1</v>
      </c>
      <c r="W14" s="47">
        <v>1</v>
      </c>
      <c r="X14" s="47">
        <v>1</v>
      </c>
      <c r="Y14" s="47">
        <v>1</v>
      </c>
      <c r="Z14" s="47">
        <v>1</v>
      </c>
      <c r="AA14" s="47">
        <v>1</v>
      </c>
      <c r="AB14" s="47">
        <v>1</v>
      </c>
      <c r="AC14" s="37">
        <v>1</v>
      </c>
      <c r="AD14" s="47">
        <v>1</v>
      </c>
      <c r="AE14" s="47">
        <v>1</v>
      </c>
      <c r="AF14" s="47">
        <v>1</v>
      </c>
      <c r="AG14" s="47">
        <v>1</v>
      </c>
      <c r="AH14" s="47">
        <v>1</v>
      </c>
      <c r="AI14" s="48">
        <v>1</v>
      </c>
      <c r="AJ14" s="58">
        <v>1</v>
      </c>
      <c r="AK14" s="53">
        <v>1</v>
      </c>
      <c r="AL14" s="53">
        <v>1</v>
      </c>
      <c r="AM14" s="53">
        <v>1</v>
      </c>
      <c r="AN14" s="53">
        <v>1</v>
      </c>
      <c r="AO14" s="53">
        <v>1</v>
      </c>
      <c r="AP14" s="53">
        <v>1</v>
      </c>
      <c r="AQ14" s="53">
        <v>1</v>
      </c>
      <c r="AR14" s="53">
        <v>1</v>
      </c>
      <c r="AS14" s="53">
        <v>1</v>
      </c>
      <c r="AT14" s="53">
        <v>1</v>
      </c>
      <c r="AU14" s="53">
        <v>1</v>
      </c>
      <c r="AV14" s="53">
        <v>1</v>
      </c>
      <c r="AW14" s="53">
        <v>1</v>
      </c>
      <c r="AX14" s="68">
        <v>1</v>
      </c>
      <c r="AY14" s="69">
        <v>1</v>
      </c>
      <c r="AZ14" s="69">
        <v>1</v>
      </c>
      <c r="BA14" s="69">
        <v>1</v>
      </c>
      <c r="BB14" s="69">
        <v>1</v>
      </c>
      <c r="BC14" s="69">
        <v>1</v>
      </c>
      <c r="BD14" s="69">
        <v>1</v>
      </c>
      <c r="BE14" s="69">
        <v>1</v>
      </c>
      <c r="BF14" s="69">
        <v>1</v>
      </c>
      <c r="BG14" s="69">
        <v>1</v>
      </c>
      <c r="BH14" s="69">
        <v>1</v>
      </c>
      <c r="BI14" s="69">
        <v>1</v>
      </c>
      <c r="BJ14" s="69">
        <v>1</v>
      </c>
      <c r="BK14" s="70">
        <v>1</v>
      </c>
    </row>
    <row r="15" spans="1:63">
      <c r="A15" s="263" t="s">
        <v>16</v>
      </c>
      <c r="B15" s="263"/>
      <c r="C15" s="6" t="str">
        <f>IF('Score Summary'!D14="","",'Score Summary'!D14)</f>
        <v/>
      </c>
      <c r="D15" s="9" t="e">
        <f>VLOOKUP(C15,G163:AI230,SUM(E15,C4,C5),FALSE)</f>
        <v>#N/A</v>
      </c>
      <c r="E15" s="51">
        <v>16</v>
      </c>
      <c r="G15" s="84">
        <v>11</v>
      </c>
      <c r="H15" s="30">
        <v>1</v>
      </c>
      <c r="I15" s="31">
        <v>1</v>
      </c>
      <c r="J15" s="31">
        <v>1</v>
      </c>
      <c r="K15" s="31">
        <v>1</v>
      </c>
      <c r="L15" s="31">
        <v>1</v>
      </c>
      <c r="M15" s="31">
        <v>1</v>
      </c>
      <c r="N15" s="32">
        <v>1</v>
      </c>
      <c r="O15" s="31">
        <v>1</v>
      </c>
      <c r="P15" s="31">
        <v>1</v>
      </c>
      <c r="Q15" s="31">
        <v>1</v>
      </c>
      <c r="R15" s="31">
        <v>1</v>
      </c>
      <c r="S15" s="31">
        <v>1</v>
      </c>
      <c r="T15" s="31">
        <v>1</v>
      </c>
      <c r="U15" s="31">
        <v>1</v>
      </c>
      <c r="V15" s="37">
        <v>1</v>
      </c>
      <c r="W15" s="47">
        <v>1</v>
      </c>
      <c r="X15" s="47">
        <v>1</v>
      </c>
      <c r="Y15" s="47">
        <v>1</v>
      </c>
      <c r="Z15" s="47">
        <v>1</v>
      </c>
      <c r="AA15" s="47">
        <v>1</v>
      </c>
      <c r="AB15" s="47">
        <v>1</v>
      </c>
      <c r="AC15" s="37">
        <v>1</v>
      </c>
      <c r="AD15" s="47">
        <v>1</v>
      </c>
      <c r="AE15" s="47">
        <v>1</v>
      </c>
      <c r="AF15" s="47">
        <v>1</v>
      </c>
      <c r="AG15" s="47">
        <v>1</v>
      </c>
      <c r="AH15" s="47">
        <v>1</v>
      </c>
      <c r="AI15" s="48">
        <v>1</v>
      </c>
      <c r="AJ15" s="58">
        <v>1</v>
      </c>
      <c r="AK15" s="53">
        <v>1</v>
      </c>
      <c r="AL15" s="53">
        <v>1</v>
      </c>
      <c r="AM15" s="53">
        <v>1</v>
      </c>
      <c r="AN15" s="53">
        <v>1</v>
      </c>
      <c r="AO15" s="53">
        <v>1</v>
      </c>
      <c r="AP15" s="53">
        <v>1</v>
      </c>
      <c r="AQ15" s="53">
        <v>1</v>
      </c>
      <c r="AR15" s="53">
        <v>1</v>
      </c>
      <c r="AS15" s="53">
        <v>1</v>
      </c>
      <c r="AT15" s="53">
        <v>1</v>
      </c>
      <c r="AU15" s="53">
        <v>1</v>
      </c>
      <c r="AV15" s="53">
        <v>1</v>
      </c>
      <c r="AW15" s="53">
        <v>1</v>
      </c>
      <c r="AX15" s="68">
        <v>1</v>
      </c>
      <c r="AY15" s="69">
        <v>1</v>
      </c>
      <c r="AZ15" s="69">
        <v>1</v>
      </c>
      <c r="BA15" s="69">
        <v>1</v>
      </c>
      <c r="BB15" s="69">
        <v>1</v>
      </c>
      <c r="BC15" s="69">
        <v>1</v>
      </c>
      <c r="BD15" s="69">
        <v>1</v>
      </c>
      <c r="BE15" s="69">
        <v>1</v>
      </c>
      <c r="BF15" s="69">
        <v>1</v>
      </c>
      <c r="BG15" s="69">
        <v>1</v>
      </c>
      <c r="BH15" s="69">
        <v>1</v>
      </c>
      <c r="BI15" s="69">
        <v>1</v>
      </c>
      <c r="BJ15" s="69">
        <v>1</v>
      </c>
      <c r="BK15" s="70">
        <v>1</v>
      </c>
    </row>
    <row r="16" spans="1:63">
      <c r="A16" s="263" t="s">
        <v>17</v>
      </c>
      <c r="B16" s="263"/>
      <c r="C16" s="6" t="str">
        <f>IF('Score Summary'!D15="","",'Score Summary'!D15)</f>
        <v/>
      </c>
      <c r="D16" s="9" t="e">
        <f>VLOOKUP(C16,G3:AI82,SUM(E16,C4,C5),FALSE)</f>
        <v>#N/A</v>
      </c>
      <c r="E16" s="51">
        <v>16</v>
      </c>
      <c r="G16" s="84">
        <v>12</v>
      </c>
      <c r="H16" s="30">
        <v>1</v>
      </c>
      <c r="I16" s="31">
        <v>1</v>
      </c>
      <c r="J16" s="31">
        <v>1</v>
      </c>
      <c r="K16" s="31">
        <v>1</v>
      </c>
      <c r="L16" s="31">
        <v>1</v>
      </c>
      <c r="M16" s="31">
        <v>1</v>
      </c>
      <c r="N16" s="32">
        <v>1</v>
      </c>
      <c r="O16" s="31">
        <v>1</v>
      </c>
      <c r="P16" s="31">
        <v>1</v>
      </c>
      <c r="Q16" s="31">
        <v>1</v>
      </c>
      <c r="R16" s="31">
        <v>1</v>
      </c>
      <c r="S16" s="31">
        <v>1</v>
      </c>
      <c r="T16" s="31">
        <v>1</v>
      </c>
      <c r="U16" s="31">
        <v>1</v>
      </c>
      <c r="V16" s="37">
        <v>1</v>
      </c>
      <c r="W16" s="47">
        <v>1</v>
      </c>
      <c r="X16" s="47">
        <v>1</v>
      </c>
      <c r="Y16" s="47">
        <v>1</v>
      </c>
      <c r="Z16" s="47">
        <v>1</v>
      </c>
      <c r="AA16" s="47">
        <v>1</v>
      </c>
      <c r="AB16" s="47">
        <v>1</v>
      </c>
      <c r="AC16" s="37">
        <v>1</v>
      </c>
      <c r="AD16" s="47">
        <v>1</v>
      </c>
      <c r="AE16" s="47">
        <v>1</v>
      </c>
      <c r="AF16" s="47">
        <v>1</v>
      </c>
      <c r="AG16" s="47">
        <v>1</v>
      </c>
      <c r="AH16" s="47">
        <v>1</v>
      </c>
      <c r="AI16" s="48">
        <v>1</v>
      </c>
      <c r="AJ16" s="58">
        <v>1</v>
      </c>
      <c r="AK16" s="53">
        <v>1</v>
      </c>
      <c r="AL16" s="53">
        <v>1</v>
      </c>
      <c r="AM16" s="53">
        <v>1</v>
      </c>
      <c r="AN16" s="53">
        <v>1</v>
      </c>
      <c r="AO16" s="53">
        <v>1</v>
      </c>
      <c r="AP16" s="53">
        <v>1</v>
      </c>
      <c r="AQ16" s="53">
        <v>1</v>
      </c>
      <c r="AR16" s="53">
        <v>1</v>
      </c>
      <c r="AS16" s="53">
        <v>1</v>
      </c>
      <c r="AT16" s="53">
        <v>1</v>
      </c>
      <c r="AU16" s="53">
        <v>1</v>
      </c>
      <c r="AV16" s="53">
        <v>1</v>
      </c>
      <c r="AW16" s="53">
        <v>1</v>
      </c>
      <c r="AX16" s="68">
        <v>1</v>
      </c>
      <c r="AY16" s="69">
        <v>1</v>
      </c>
      <c r="AZ16" s="69">
        <v>1</v>
      </c>
      <c r="BA16" s="69">
        <v>1</v>
      </c>
      <c r="BB16" s="69">
        <v>1</v>
      </c>
      <c r="BC16" s="69">
        <v>1</v>
      </c>
      <c r="BD16" s="69">
        <v>1</v>
      </c>
      <c r="BE16" s="69">
        <v>1</v>
      </c>
      <c r="BF16" s="69">
        <v>1</v>
      </c>
      <c r="BG16" s="69">
        <v>1</v>
      </c>
      <c r="BH16" s="69">
        <v>1</v>
      </c>
      <c r="BI16" s="69">
        <v>1</v>
      </c>
      <c r="BJ16" s="69">
        <v>1</v>
      </c>
      <c r="BK16" s="70">
        <v>1</v>
      </c>
    </row>
    <row r="17" spans="1:63">
      <c r="A17" s="263" t="s">
        <v>18</v>
      </c>
      <c r="B17" s="263"/>
      <c r="C17" s="6" t="str">
        <f>IF('Score Summary'!D16="","",'Score Summary'!D16)</f>
        <v/>
      </c>
      <c r="D17" s="9" t="e">
        <f>VLOOKUP(C17,G3:AW79,SUM(E17,C4,C5),FALSE)</f>
        <v>#N/A</v>
      </c>
      <c r="E17" s="51">
        <v>30</v>
      </c>
      <c r="G17" s="84">
        <v>13</v>
      </c>
      <c r="H17" s="30">
        <v>1</v>
      </c>
      <c r="I17" s="31">
        <v>1</v>
      </c>
      <c r="J17" s="31">
        <v>1</v>
      </c>
      <c r="K17" s="31">
        <v>1</v>
      </c>
      <c r="L17" s="31">
        <v>1</v>
      </c>
      <c r="M17" s="31">
        <v>1</v>
      </c>
      <c r="N17" s="32">
        <v>1</v>
      </c>
      <c r="O17" s="31">
        <v>1</v>
      </c>
      <c r="P17" s="31">
        <v>1</v>
      </c>
      <c r="Q17" s="31">
        <v>1</v>
      </c>
      <c r="R17" s="31">
        <v>1</v>
      </c>
      <c r="S17" s="31">
        <v>1</v>
      </c>
      <c r="T17" s="31">
        <v>1</v>
      </c>
      <c r="U17" s="31">
        <v>1</v>
      </c>
      <c r="V17" s="37">
        <v>1</v>
      </c>
      <c r="W17" s="47">
        <v>1</v>
      </c>
      <c r="X17" s="47">
        <v>1</v>
      </c>
      <c r="Y17" s="47">
        <v>1</v>
      </c>
      <c r="Z17" s="47">
        <v>1</v>
      </c>
      <c r="AA17" s="47">
        <v>1</v>
      </c>
      <c r="AB17" s="47">
        <v>1</v>
      </c>
      <c r="AC17" s="37">
        <v>1</v>
      </c>
      <c r="AD17" s="47">
        <v>1</v>
      </c>
      <c r="AE17" s="47">
        <v>1</v>
      </c>
      <c r="AF17" s="47">
        <v>1</v>
      </c>
      <c r="AG17" s="47">
        <v>1</v>
      </c>
      <c r="AH17" s="47">
        <v>1</v>
      </c>
      <c r="AI17" s="48">
        <v>1</v>
      </c>
      <c r="AJ17" s="58">
        <v>1</v>
      </c>
      <c r="AK17" s="53">
        <v>1</v>
      </c>
      <c r="AL17" s="53">
        <v>1</v>
      </c>
      <c r="AM17" s="53">
        <v>1</v>
      </c>
      <c r="AN17" s="53">
        <v>1</v>
      </c>
      <c r="AO17" s="53">
        <v>1</v>
      </c>
      <c r="AP17" s="53">
        <v>1</v>
      </c>
      <c r="AQ17" s="53">
        <v>1</v>
      </c>
      <c r="AR17" s="53">
        <v>1</v>
      </c>
      <c r="AS17" s="53">
        <v>1</v>
      </c>
      <c r="AT17" s="53">
        <v>1</v>
      </c>
      <c r="AU17" s="53">
        <v>1</v>
      </c>
      <c r="AV17" s="53">
        <v>1</v>
      </c>
      <c r="AW17" s="53">
        <v>1</v>
      </c>
      <c r="AX17" s="68">
        <v>1</v>
      </c>
      <c r="AY17" s="69">
        <v>1</v>
      </c>
      <c r="AZ17" s="69">
        <v>1</v>
      </c>
      <c r="BA17" s="69">
        <v>1</v>
      </c>
      <c r="BB17" s="69">
        <v>1</v>
      </c>
      <c r="BC17" s="69">
        <v>1</v>
      </c>
      <c r="BD17" s="69">
        <v>1</v>
      </c>
      <c r="BE17" s="69">
        <v>1</v>
      </c>
      <c r="BF17" s="69">
        <v>1</v>
      </c>
      <c r="BG17" s="69">
        <v>1</v>
      </c>
      <c r="BH17" s="69">
        <v>1</v>
      </c>
      <c r="BI17" s="69">
        <v>1</v>
      </c>
      <c r="BJ17" s="69">
        <v>1</v>
      </c>
      <c r="BK17" s="70">
        <v>1</v>
      </c>
    </row>
    <row r="18" spans="1:63">
      <c r="A18" s="263" t="s">
        <v>19</v>
      </c>
      <c r="B18" s="263"/>
      <c r="C18" s="6" t="str">
        <f>IF('Score Summary'!D17="","",'Score Summary'!D17)</f>
        <v/>
      </c>
      <c r="D18" s="9" t="e">
        <f>VLOOKUP(C18,G3:BK79,SUM(E18,C4,C5),FALSE)</f>
        <v>#N/A</v>
      </c>
      <c r="E18" s="51">
        <v>44</v>
      </c>
      <c r="G18" s="84">
        <v>14</v>
      </c>
      <c r="H18" s="30">
        <v>1</v>
      </c>
      <c r="I18" s="31">
        <v>1</v>
      </c>
      <c r="J18" s="31">
        <v>1</v>
      </c>
      <c r="K18" s="31">
        <v>1</v>
      </c>
      <c r="L18" s="31">
        <v>1</v>
      </c>
      <c r="M18" s="31">
        <v>1</v>
      </c>
      <c r="N18" s="32">
        <v>1</v>
      </c>
      <c r="O18" s="31">
        <v>1</v>
      </c>
      <c r="P18" s="31">
        <v>1</v>
      </c>
      <c r="Q18" s="31">
        <v>1</v>
      </c>
      <c r="R18" s="31">
        <v>1</v>
      </c>
      <c r="S18" s="31">
        <v>1</v>
      </c>
      <c r="T18" s="31">
        <v>1</v>
      </c>
      <c r="U18" s="31">
        <v>1</v>
      </c>
      <c r="V18" s="37">
        <v>1</v>
      </c>
      <c r="W18" s="47">
        <v>1</v>
      </c>
      <c r="X18" s="47">
        <v>1</v>
      </c>
      <c r="Y18" s="47">
        <v>1</v>
      </c>
      <c r="Z18" s="47">
        <v>1</v>
      </c>
      <c r="AA18" s="47">
        <v>1</v>
      </c>
      <c r="AB18" s="47">
        <v>1</v>
      </c>
      <c r="AC18" s="37">
        <v>1</v>
      </c>
      <c r="AD18" s="47">
        <v>1</v>
      </c>
      <c r="AE18" s="47">
        <v>1</v>
      </c>
      <c r="AF18" s="47">
        <v>1</v>
      </c>
      <c r="AG18" s="47">
        <v>1</v>
      </c>
      <c r="AH18" s="47">
        <v>1</v>
      </c>
      <c r="AI18" s="48">
        <v>1</v>
      </c>
      <c r="AJ18" s="58">
        <v>1</v>
      </c>
      <c r="AK18" s="53">
        <v>1</v>
      </c>
      <c r="AL18" s="53">
        <v>1</v>
      </c>
      <c r="AM18" s="53">
        <v>1</v>
      </c>
      <c r="AN18" s="53">
        <v>1</v>
      </c>
      <c r="AO18" s="53">
        <v>1</v>
      </c>
      <c r="AP18" s="53">
        <v>1</v>
      </c>
      <c r="AQ18" s="53">
        <v>1</v>
      </c>
      <c r="AR18" s="53">
        <v>1</v>
      </c>
      <c r="AS18" s="53">
        <v>1</v>
      </c>
      <c r="AT18" s="53">
        <v>1</v>
      </c>
      <c r="AU18" s="53">
        <v>1</v>
      </c>
      <c r="AV18" s="53">
        <v>1</v>
      </c>
      <c r="AW18" s="53">
        <v>1</v>
      </c>
      <c r="AX18" s="68">
        <v>1</v>
      </c>
      <c r="AY18" s="69">
        <v>1</v>
      </c>
      <c r="AZ18" s="69">
        <v>1</v>
      </c>
      <c r="BA18" s="69">
        <v>1</v>
      </c>
      <c r="BB18" s="69">
        <v>1</v>
      </c>
      <c r="BC18" s="69">
        <v>1</v>
      </c>
      <c r="BD18" s="69">
        <v>1</v>
      </c>
      <c r="BE18" s="69">
        <v>1</v>
      </c>
      <c r="BF18" s="69">
        <v>1</v>
      </c>
      <c r="BG18" s="69">
        <v>1</v>
      </c>
      <c r="BH18" s="69">
        <v>1</v>
      </c>
      <c r="BI18" s="69">
        <v>1</v>
      </c>
      <c r="BJ18" s="69">
        <v>1</v>
      </c>
      <c r="BK18" s="70">
        <v>1</v>
      </c>
    </row>
    <row r="19" spans="1:63">
      <c r="A19" s="263" t="s">
        <v>20</v>
      </c>
      <c r="B19" s="263"/>
      <c r="C19" s="6" t="str">
        <f>IF('Score Summary'!D18="","",'Score Summary'!D18)</f>
        <v/>
      </c>
      <c r="D19" s="9" t="e">
        <f>VLOOKUP(C19,G86:BK159,SUM(E19,C4,C5),FALSE)</f>
        <v>#N/A</v>
      </c>
      <c r="E19" s="51">
        <v>44</v>
      </c>
      <c r="G19" s="84">
        <v>15</v>
      </c>
      <c r="H19" s="30">
        <v>1</v>
      </c>
      <c r="I19" s="31">
        <v>1</v>
      </c>
      <c r="J19" s="31">
        <v>1</v>
      </c>
      <c r="K19" s="31">
        <v>1</v>
      </c>
      <c r="L19" s="31">
        <v>1</v>
      </c>
      <c r="M19" s="31">
        <v>1</v>
      </c>
      <c r="N19" s="32">
        <v>1</v>
      </c>
      <c r="O19" s="31">
        <v>1</v>
      </c>
      <c r="P19" s="31">
        <v>1</v>
      </c>
      <c r="Q19" s="31">
        <v>1</v>
      </c>
      <c r="R19" s="31">
        <v>1</v>
      </c>
      <c r="S19" s="31">
        <v>1</v>
      </c>
      <c r="T19" s="31">
        <v>1</v>
      </c>
      <c r="U19" s="31">
        <v>1</v>
      </c>
      <c r="V19" s="37">
        <v>1</v>
      </c>
      <c r="W19" s="47">
        <v>1</v>
      </c>
      <c r="X19" s="47">
        <v>1</v>
      </c>
      <c r="Y19" s="47">
        <v>1</v>
      </c>
      <c r="Z19" s="47">
        <v>1</v>
      </c>
      <c r="AA19" s="47">
        <v>1</v>
      </c>
      <c r="AB19" s="47">
        <v>1</v>
      </c>
      <c r="AC19" s="37">
        <v>1</v>
      </c>
      <c r="AD19" s="47">
        <v>1</v>
      </c>
      <c r="AE19" s="47">
        <v>1</v>
      </c>
      <c r="AF19" s="47">
        <v>1</v>
      </c>
      <c r="AG19" s="47">
        <v>1</v>
      </c>
      <c r="AH19" s="47">
        <v>1</v>
      </c>
      <c r="AI19" s="48">
        <v>1</v>
      </c>
      <c r="AJ19" s="58">
        <v>1</v>
      </c>
      <c r="AK19" s="53">
        <v>1</v>
      </c>
      <c r="AL19" s="53">
        <v>1</v>
      </c>
      <c r="AM19" s="53">
        <v>1</v>
      </c>
      <c r="AN19" s="53">
        <v>1</v>
      </c>
      <c r="AO19" s="53">
        <v>1</v>
      </c>
      <c r="AP19" s="53">
        <v>1</v>
      </c>
      <c r="AQ19" s="53">
        <v>1</v>
      </c>
      <c r="AR19" s="53">
        <v>1</v>
      </c>
      <c r="AS19" s="53">
        <v>1</v>
      </c>
      <c r="AT19" s="53">
        <v>1</v>
      </c>
      <c r="AU19" s="53">
        <v>1</v>
      </c>
      <c r="AV19" s="53">
        <v>1</v>
      </c>
      <c r="AW19" s="53">
        <v>1</v>
      </c>
      <c r="AX19" s="68">
        <v>1</v>
      </c>
      <c r="AY19" s="69">
        <v>1</v>
      </c>
      <c r="AZ19" s="69">
        <v>1</v>
      </c>
      <c r="BA19" s="69">
        <v>1</v>
      </c>
      <c r="BB19" s="69">
        <v>1</v>
      </c>
      <c r="BC19" s="69">
        <v>1</v>
      </c>
      <c r="BD19" s="69">
        <v>1</v>
      </c>
      <c r="BE19" s="69">
        <v>1</v>
      </c>
      <c r="BF19" s="69">
        <v>1</v>
      </c>
      <c r="BG19" s="69">
        <v>1</v>
      </c>
      <c r="BH19" s="69">
        <v>1</v>
      </c>
      <c r="BI19" s="69">
        <v>1</v>
      </c>
      <c r="BJ19" s="69">
        <v>1</v>
      </c>
      <c r="BK19" s="70">
        <v>1</v>
      </c>
    </row>
    <row r="20" spans="1:63">
      <c r="G20" s="84">
        <v>16</v>
      </c>
      <c r="H20" s="30">
        <v>1</v>
      </c>
      <c r="I20" s="31">
        <v>1</v>
      </c>
      <c r="J20" s="31">
        <v>1</v>
      </c>
      <c r="K20" s="31">
        <v>1</v>
      </c>
      <c r="L20" s="31">
        <v>1</v>
      </c>
      <c r="M20" s="31">
        <v>1</v>
      </c>
      <c r="N20" s="32">
        <v>1</v>
      </c>
      <c r="O20" s="31">
        <v>1</v>
      </c>
      <c r="P20" s="31">
        <v>1</v>
      </c>
      <c r="Q20" s="31">
        <v>1</v>
      </c>
      <c r="R20" s="31">
        <v>1</v>
      </c>
      <c r="S20" s="31">
        <v>1</v>
      </c>
      <c r="T20" s="31">
        <v>1</v>
      </c>
      <c r="U20" s="31">
        <v>1</v>
      </c>
      <c r="V20" s="37">
        <v>1</v>
      </c>
      <c r="W20" s="47">
        <v>1</v>
      </c>
      <c r="X20" s="47">
        <v>1</v>
      </c>
      <c r="Y20" s="47">
        <v>1</v>
      </c>
      <c r="Z20" s="47">
        <v>1</v>
      </c>
      <c r="AA20" s="47">
        <v>1</v>
      </c>
      <c r="AB20" s="47">
        <v>1</v>
      </c>
      <c r="AC20" s="37">
        <v>1</v>
      </c>
      <c r="AD20" s="47">
        <v>1</v>
      </c>
      <c r="AE20" s="47">
        <v>1</v>
      </c>
      <c r="AF20" s="47">
        <v>1</v>
      </c>
      <c r="AG20" s="47">
        <v>1</v>
      </c>
      <c r="AH20" s="47">
        <v>1</v>
      </c>
      <c r="AI20" s="48">
        <v>1</v>
      </c>
      <c r="AJ20" s="58">
        <v>1</v>
      </c>
      <c r="AK20" s="53">
        <v>1</v>
      </c>
      <c r="AL20" s="53">
        <v>1</v>
      </c>
      <c r="AM20" s="53">
        <v>1</v>
      </c>
      <c r="AN20" s="53">
        <v>1</v>
      </c>
      <c r="AO20" s="53">
        <v>1</v>
      </c>
      <c r="AP20" s="53">
        <v>1</v>
      </c>
      <c r="AQ20" s="53">
        <v>1</v>
      </c>
      <c r="AR20" s="53">
        <v>1</v>
      </c>
      <c r="AS20" s="53">
        <v>1</v>
      </c>
      <c r="AT20" s="53">
        <v>1</v>
      </c>
      <c r="AU20" s="53">
        <v>1</v>
      </c>
      <c r="AV20" s="53">
        <v>1</v>
      </c>
      <c r="AW20" s="53">
        <v>1</v>
      </c>
      <c r="AX20" s="68">
        <v>1</v>
      </c>
      <c r="AY20" s="69">
        <v>1</v>
      </c>
      <c r="AZ20" s="69">
        <v>1</v>
      </c>
      <c r="BA20" s="69">
        <v>1</v>
      </c>
      <c r="BB20" s="69">
        <v>1</v>
      </c>
      <c r="BC20" s="69">
        <v>1</v>
      </c>
      <c r="BD20" s="69">
        <v>1</v>
      </c>
      <c r="BE20" s="69">
        <v>1</v>
      </c>
      <c r="BF20" s="69">
        <v>1</v>
      </c>
      <c r="BG20" s="69">
        <v>1</v>
      </c>
      <c r="BH20" s="69">
        <v>1</v>
      </c>
      <c r="BI20" s="69">
        <v>1</v>
      </c>
      <c r="BJ20" s="69">
        <v>1</v>
      </c>
      <c r="BK20" s="70">
        <v>1</v>
      </c>
    </row>
    <row r="21" spans="1:63">
      <c r="A21" s="4" t="s">
        <v>88</v>
      </c>
      <c r="B21" s="4" t="s">
        <v>89</v>
      </c>
      <c r="G21" s="84">
        <v>17</v>
      </c>
      <c r="H21" s="30">
        <v>1</v>
      </c>
      <c r="I21" s="31">
        <v>1</v>
      </c>
      <c r="J21" s="31">
        <v>1</v>
      </c>
      <c r="K21" s="31">
        <v>1</v>
      </c>
      <c r="L21" s="31">
        <v>1</v>
      </c>
      <c r="M21" s="31">
        <v>1</v>
      </c>
      <c r="N21" s="32">
        <v>1</v>
      </c>
      <c r="O21" s="31">
        <v>1</v>
      </c>
      <c r="P21" s="31">
        <v>1</v>
      </c>
      <c r="Q21" s="31">
        <v>1</v>
      </c>
      <c r="R21" s="31">
        <v>1</v>
      </c>
      <c r="S21" s="31">
        <v>1</v>
      </c>
      <c r="T21" s="31">
        <v>1</v>
      </c>
      <c r="U21" s="31">
        <v>1</v>
      </c>
      <c r="V21" s="37">
        <v>1</v>
      </c>
      <c r="W21" s="47">
        <v>1</v>
      </c>
      <c r="X21" s="47">
        <v>1</v>
      </c>
      <c r="Y21" s="47">
        <v>1</v>
      </c>
      <c r="Z21" s="47">
        <v>1</v>
      </c>
      <c r="AA21" s="47">
        <v>1</v>
      </c>
      <c r="AB21" s="47">
        <v>1</v>
      </c>
      <c r="AC21" s="37">
        <v>1</v>
      </c>
      <c r="AD21" s="47">
        <v>1</v>
      </c>
      <c r="AE21" s="47">
        <v>1</v>
      </c>
      <c r="AF21" s="47">
        <v>1</v>
      </c>
      <c r="AG21" s="47">
        <v>1</v>
      </c>
      <c r="AH21" s="47">
        <v>1</v>
      </c>
      <c r="AI21" s="48">
        <v>1</v>
      </c>
      <c r="AJ21" s="58">
        <v>1</v>
      </c>
      <c r="AK21" s="53">
        <v>1</v>
      </c>
      <c r="AL21" s="53">
        <v>1</v>
      </c>
      <c r="AM21" s="53">
        <v>1</v>
      </c>
      <c r="AN21" s="53">
        <v>1</v>
      </c>
      <c r="AO21" s="53">
        <v>1</v>
      </c>
      <c r="AP21" s="53">
        <v>1</v>
      </c>
      <c r="AQ21" s="53">
        <v>1</v>
      </c>
      <c r="AR21" s="53">
        <v>1</v>
      </c>
      <c r="AS21" s="53">
        <v>1</v>
      </c>
      <c r="AT21" s="53">
        <v>1</v>
      </c>
      <c r="AU21" s="53">
        <v>1</v>
      </c>
      <c r="AV21" s="53">
        <v>1</v>
      </c>
      <c r="AW21" s="53">
        <v>1</v>
      </c>
      <c r="AX21" s="68">
        <v>1</v>
      </c>
      <c r="AY21" s="69">
        <v>1</v>
      </c>
      <c r="AZ21" s="69">
        <v>1</v>
      </c>
      <c r="BA21" s="69">
        <v>1</v>
      </c>
      <c r="BB21" s="69">
        <v>1</v>
      </c>
      <c r="BC21" s="69">
        <v>1</v>
      </c>
      <c r="BD21" s="69">
        <v>1</v>
      </c>
      <c r="BE21" s="69">
        <v>1</v>
      </c>
      <c r="BF21" s="69">
        <v>1</v>
      </c>
      <c r="BG21" s="69">
        <v>1</v>
      </c>
      <c r="BH21" s="69">
        <v>1</v>
      </c>
      <c r="BI21" s="69">
        <v>1</v>
      </c>
      <c r="BJ21" s="69">
        <v>1</v>
      </c>
      <c r="BK21" s="70">
        <v>1</v>
      </c>
    </row>
    <row r="22" spans="1:63">
      <c r="A22" s="1" t="s">
        <v>2</v>
      </c>
      <c r="B22" s="1">
        <v>0</v>
      </c>
      <c r="G22" s="84">
        <v>18</v>
      </c>
      <c r="H22" s="30">
        <v>1</v>
      </c>
      <c r="I22" s="31">
        <v>1</v>
      </c>
      <c r="J22" s="31">
        <v>1</v>
      </c>
      <c r="K22" s="31">
        <v>1</v>
      </c>
      <c r="L22" s="31">
        <v>1</v>
      </c>
      <c r="M22" s="31">
        <v>1</v>
      </c>
      <c r="N22" s="32">
        <v>1</v>
      </c>
      <c r="O22" s="31">
        <v>1</v>
      </c>
      <c r="P22" s="31">
        <v>1</v>
      </c>
      <c r="Q22" s="31">
        <v>1</v>
      </c>
      <c r="R22" s="31">
        <v>1</v>
      </c>
      <c r="S22" s="31">
        <v>1</v>
      </c>
      <c r="T22" s="31">
        <v>1</v>
      </c>
      <c r="U22" s="31">
        <v>1</v>
      </c>
      <c r="V22" s="37">
        <v>1</v>
      </c>
      <c r="W22" s="47">
        <v>1</v>
      </c>
      <c r="X22" s="47">
        <v>1</v>
      </c>
      <c r="Y22" s="47">
        <v>1</v>
      </c>
      <c r="Z22" s="47">
        <v>1</v>
      </c>
      <c r="AA22" s="47">
        <v>1</v>
      </c>
      <c r="AB22" s="47">
        <v>1</v>
      </c>
      <c r="AC22" s="37">
        <v>1</v>
      </c>
      <c r="AD22" s="47">
        <v>1</v>
      </c>
      <c r="AE22" s="47">
        <v>1</v>
      </c>
      <c r="AF22" s="47">
        <v>1</v>
      </c>
      <c r="AG22" s="47">
        <v>1</v>
      </c>
      <c r="AH22" s="47">
        <v>1</v>
      </c>
      <c r="AI22" s="48">
        <v>1</v>
      </c>
      <c r="AJ22" s="58">
        <v>1</v>
      </c>
      <c r="AK22" s="53">
        <v>1</v>
      </c>
      <c r="AL22" s="53">
        <v>1</v>
      </c>
      <c r="AM22" s="53">
        <v>1</v>
      </c>
      <c r="AN22" s="53">
        <v>1</v>
      </c>
      <c r="AO22" s="53">
        <v>1</v>
      </c>
      <c r="AP22" s="53">
        <v>1</v>
      </c>
      <c r="AQ22" s="53">
        <v>1</v>
      </c>
      <c r="AR22" s="53">
        <v>1</v>
      </c>
      <c r="AS22" s="53">
        <v>1</v>
      </c>
      <c r="AT22" s="53">
        <v>1</v>
      </c>
      <c r="AU22" s="53">
        <v>1</v>
      </c>
      <c r="AV22" s="53">
        <v>1</v>
      </c>
      <c r="AW22" s="53">
        <v>1</v>
      </c>
      <c r="AX22" s="68">
        <v>1</v>
      </c>
      <c r="AY22" s="69">
        <v>1</v>
      </c>
      <c r="AZ22" s="69">
        <v>1</v>
      </c>
      <c r="BA22" s="69">
        <v>1</v>
      </c>
      <c r="BB22" s="69">
        <v>1</v>
      </c>
      <c r="BC22" s="69">
        <v>1</v>
      </c>
      <c r="BD22" s="69">
        <v>1</v>
      </c>
      <c r="BE22" s="69">
        <v>1</v>
      </c>
      <c r="BF22" s="69">
        <v>1</v>
      </c>
      <c r="BG22" s="69">
        <v>1</v>
      </c>
      <c r="BH22" s="69">
        <v>1</v>
      </c>
      <c r="BI22" s="69">
        <v>1</v>
      </c>
      <c r="BJ22" s="69">
        <v>1</v>
      </c>
      <c r="BK22" s="70">
        <v>1</v>
      </c>
    </row>
    <row r="23" spans="1:63">
      <c r="A23" s="1" t="s">
        <v>77</v>
      </c>
      <c r="B23" s="1">
        <v>1</v>
      </c>
      <c r="G23" s="84">
        <v>19</v>
      </c>
      <c r="H23" s="30">
        <v>1</v>
      </c>
      <c r="I23" s="31">
        <v>1</v>
      </c>
      <c r="J23" s="31">
        <v>1</v>
      </c>
      <c r="K23" s="31">
        <v>1</v>
      </c>
      <c r="L23" s="31">
        <v>1</v>
      </c>
      <c r="M23" s="31">
        <v>1</v>
      </c>
      <c r="N23" s="32">
        <v>1</v>
      </c>
      <c r="O23" s="31">
        <v>1</v>
      </c>
      <c r="P23" s="31">
        <v>1</v>
      </c>
      <c r="Q23" s="31">
        <v>1</v>
      </c>
      <c r="R23" s="31">
        <v>1</v>
      </c>
      <c r="S23" s="31">
        <v>1</v>
      </c>
      <c r="T23" s="31">
        <v>1</v>
      </c>
      <c r="U23" s="31">
        <v>1</v>
      </c>
      <c r="V23" s="37">
        <v>1</v>
      </c>
      <c r="W23" s="47">
        <v>1</v>
      </c>
      <c r="X23" s="47">
        <v>1</v>
      </c>
      <c r="Y23" s="47">
        <v>1</v>
      </c>
      <c r="Z23" s="47">
        <v>1</v>
      </c>
      <c r="AA23" s="47">
        <v>1</v>
      </c>
      <c r="AB23" s="47">
        <v>1</v>
      </c>
      <c r="AC23" s="37">
        <v>1</v>
      </c>
      <c r="AD23" s="47">
        <v>1</v>
      </c>
      <c r="AE23" s="47">
        <v>1</v>
      </c>
      <c r="AF23" s="47">
        <v>1</v>
      </c>
      <c r="AG23" s="47">
        <v>1</v>
      </c>
      <c r="AH23" s="47">
        <v>1</v>
      </c>
      <c r="AI23" s="48">
        <v>1</v>
      </c>
      <c r="AJ23" s="58">
        <v>1</v>
      </c>
      <c r="AK23" s="53">
        <v>1</v>
      </c>
      <c r="AL23" s="53">
        <v>1</v>
      </c>
      <c r="AM23" s="53">
        <v>1</v>
      </c>
      <c r="AN23" s="53">
        <v>1</v>
      </c>
      <c r="AO23" s="53">
        <v>1</v>
      </c>
      <c r="AP23" s="53">
        <v>1</v>
      </c>
      <c r="AQ23" s="53">
        <v>1</v>
      </c>
      <c r="AR23" s="53">
        <v>1</v>
      </c>
      <c r="AS23" s="53">
        <v>1</v>
      </c>
      <c r="AT23" s="53">
        <v>1</v>
      </c>
      <c r="AU23" s="53">
        <v>1</v>
      </c>
      <c r="AV23" s="53">
        <v>1</v>
      </c>
      <c r="AW23" s="53">
        <v>1</v>
      </c>
      <c r="AX23" s="68">
        <v>1</v>
      </c>
      <c r="AY23" s="69">
        <v>1</v>
      </c>
      <c r="AZ23" s="69">
        <v>1</v>
      </c>
      <c r="BA23" s="69">
        <v>1</v>
      </c>
      <c r="BB23" s="69">
        <v>1</v>
      </c>
      <c r="BC23" s="69">
        <v>1</v>
      </c>
      <c r="BD23" s="69">
        <v>1</v>
      </c>
      <c r="BE23" s="69">
        <v>1</v>
      </c>
      <c r="BF23" s="69">
        <v>1</v>
      </c>
      <c r="BG23" s="69">
        <v>1</v>
      </c>
      <c r="BH23" s="69">
        <v>1</v>
      </c>
      <c r="BI23" s="69">
        <v>1</v>
      </c>
      <c r="BJ23" s="69">
        <v>1</v>
      </c>
      <c r="BK23" s="70">
        <v>1</v>
      </c>
    </row>
    <row r="24" spans="1:63">
      <c r="A24" s="1" t="s">
        <v>78</v>
      </c>
      <c r="B24" s="1">
        <v>2</v>
      </c>
      <c r="G24" s="84">
        <v>20</v>
      </c>
      <c r="H24" s="30">
        <v>1</v>
      </c>
      <c r="I24" s="31">
        <v>1</v>
      </c>
      <c r="J24" s="31">
        <v>1</v>
      </c>
      <c r="K24" s="31">
        <v>1</v>
      </c>
      <c r="L24" s="31">
        <v>1</v>
      </c>
      <c r="M24" s="31">
        <v>1</v>
      </c>
      <c r="N24" s="32">
        <v>1</v>
      </c>
      <c r="O24" s="31">
        <v>1</v>
      </c>
      <c r="P24" s="31">
        <v>1</v>
      </c>
      <c r="Q24" s="31">
        <v>1</v>
      </c>
      <c r="R24" s="31">
        <v>1</v>
      </c>
      <c r="S24" s="31">
        <v>1</v>
      </c>
      <c r="T24" s="31">
        <v>1</v>
      </c>
      <c r="U24" s="31">
        <v>1</v>
      </c>
      <c r="V24" s="37">
        <v>1</v>
      </c>
      <c r="W24" s="47">
        <v>1</v>
      </c>
      <c r="X24" s="47">
        <v>1</v>
      </c>
      <c r="Y24" s="47">
        <v>1</v>
      </c>
      <c r="Z24" s="47">
        <v>1</v>
      </c>
      <c r="AA24" s="47">
        <v>1</v>
      </c>
      <c r="AB24" s="47">
        <v>1</v>
      </c>
      <c r="AC24" s="37">
        <v>1</v>
      </c>
      <c r="AD24" s="47">
        <v>1</v>
      </c>
      <c r="AE24" s="47">
        <v>1</v>
      </c>
      <c r="AF24" s="47">
        <v>1</v>
      </c>
      <c r="AG24" s="47">
        <v>1</v>
      </c>
      <c r="AH24" s="47">
        <v>1</v>
      </c>
      <c r="AI24" s="48">
        <v>1</v>
      </c>
      <c r="AJ24" s="58">
        <v>1</v>
      </c>
      <c r="AK24" s="53">
        <v>1</v>
      </c>
      <c r="AL24" s="53">
        <v>1</v>
      </c>
      <c r="AM24" s="53">
        <v>1</v>
      </c>
      <c r="AN24" s="53">
        <v>1</v>
      </c>
      <c r="AO24" s="53">
        <v>1</v>
      </c>
      <c r="AP24" s="53">
        <v>1</v>
      </c>
      <c r="AQ24" s="53">
        <v>1</v>
      </c>
      <c r="AR24" s="53">
        <v>1</v>
      </c>
      <c r="AS24" s="53">
        <v>1</v>
      </c>
      <c r="AT24" s="53">
        <v>1</v>
      </c>
      <c r="AU24" s="53">
        <v>1</v>
      </c>
      <c r="AV24" s="53">
        <v>1</v>
      </c>
      <c r="AW24" s="53">
        <v>1</v>
      </c>
      <c r="AX24" s="68">
        <v>1</v>
      </c>
      <c r="AY24" s="69">
        <v>1</v>
      </c>
      <c r="AZ24" s="69">
        <v>1</v>
      </c>
      <c r="BA24" s="69">
        <v>1</v>
      </c>
      <c r="BB24" s="69">
        <v>1</v>
      </c>
      <c r="BC24" s="69">
        <v>1</v>
      </c>
      <c r="BD24" s="69">
        <v>1</v>
      </c>
      <c r="BE24" s="69">
        <v>1</v>
      </c>
      <c r="BF24" s="69">
        <v>1</v>
      </c>
      <c r="BG24" s="69">
        <v>1</v>
      </c>
      <c r="BH24" s="69">
        <v>1</v>
      </c>
      <c r="BI24" s="69">
        <v>1</v>
      </c>
      <c r="BJ24" s="69">
        <v>1</v>
      </c>
      <c r="BK24" s="70">
        <v>1</v>
      </c>
    </row>
    <row r="25" spans="1:63">
      <c r="A25" s="1" t="s">
        <v>79</v>
      </c>
      <c r="B25" s="1">
        <v>3</v>
      </c>
      <c r="G25" s="84">
        <v>21</v>
      </c>
      <c r="H25" s="30">
        <v>1</v>
      </c>
      <c r="I25" s="31">
        <v>1</v>
      </c>
      <c r="J25" s="31">
        <v>1</v>
      </c>
      <c r="K25" s="31">
        <v>1</v>
      </c>
      <c r="L25" s="31">
        <v>1</v>
      </c>
      <c r="M25" s="31">
        <v>1</v>
      </c>
      <c r="N25" s="32">
        <v>1</v>
      </c>
      <c r="O25" s="31">
        <v>1</v>
      </c>
      <c r="P25" s="31">
        <v>1</v>
      </c>
      <c r="Q25" s="31">
        <v>1</v>
      </c>
      <c r="R25" s="31">
        <v>1</v>
      </c>
      <c r="S25" s="31">
        <v>1</v>
      </c>
      <c r="T25" s="31">
        <v>1</v>
      </c>
      <c r="U25" s="31">
        <v>1</v>
      </c>
      <c r="V25" s="37">
        <v>1</v>
      </c>
      <c r="W25" s="47">
        <v>1</v>
      </c>
      <c r="X25" s="47">
        <v>1</v>
      </c>
      <c r="Y25" s="47">
        <v>1</v>
      </c>
      <c r="Z25" s="47">
        <v>1</v>
      </c>
      <c r="AA25" s="47">
        <v>1</v>
      </c>
      <c r="AB25" s="47">
        <v>1</v>
      </c>
      <c r="AC25" s="37">
        <v>1</v>
      </c>
      <c r="AD25" s="47">
        <v>1</v>
      </c>
      <c r="AE25" s="47">
        <v>1</v>
      </c>
      <c r="AF25" s="47">
        <v>1</v>
      </c>
      <c r="AG25" s="47">
        <v>1</v>
      </c>
      <c r="AH25" s="47">
        <v>1</v>
      </c>
      <c r="AI25" s="48">
        <v>1</v>
      </c>
      <c r="AJ25" s="58">
        <v>1</v>
      </c>
      <c r="AK25" s="53">
        <v>1</v>
      </c>
      <c r="AL25" s="53">
        <v>1</v>
      </c>
      <c r="AM25" s="53">
        <v>1</v>
      </c>
      <c r="AN25" s="53">
        <v>1</v>
      </c>
      <c r="AO25" s="53">
        <v>1</v>
      </c>
      <c r="AP25" s="53">
        <v>1</v>
      </c>
      <c r="AQ25" s="53">
        <v>1</v>
      </c>
      <c r="AR25" s="53">
        <v>1</v>
      </c>
      <c r="AS25" s="53">
        <v>1</v>
      </c>
      <c r="AT25" s="53">
        <v>1</v>
      </c>
      <c r="AU25" s="53">
        <v>1</v>
      </c>
      <c r="AV25" s="53">
        <v>1</v>
      </c>
      <c r="AW25" s="53">
        <v>1</v>
      </c>
      <c r="AX25" s="68">
        <v>1</v>
      </c>
      <c r="AY25" s="69">
        <v>1</v>
      </c>
      <c r="AZ25" s="69">
        <v>1</v>
      </c>
      <c r="BA25" s="69">
        <v>1</v>
      </c>
      <c r="BB25" s="69">
        <v>1</v>
      </c>
      <c r="BC25" s="69">
        <v>1</v>
      </c>
      <c r="BD25" s="69">
        <v>1</v>
      </c>
      <c r="BE25" s="69">
        <v>1</v>
      </c>
      <c r="BF25" s="69">
        <v>1</v>
      </c>
      <c r="BG25" s="69">
        <v>1</v>
      </c>
      <c r="BH25" s="69">
        <v>1</v>
      </c>
      <c r="BI25" s="69">
        <v>1</v>
      </c>
      <c r="BJ25" s="69">
        <v>1</v>
      </c>
      <c r="BK25" s="70">
        <v>1</v>
      </c>
    </row>
    <row r="26" spans="1:63">
      <c r="A26" s="1" t="s">
        <v>80</v>
      </c>
      <c r="B26" s="1">
        <v>4</v>
      </c>
      <c r="G26" s="84">
        <v>22</v>
      </c>
      <c r="H26" s="30">
        <v>1</v>
      </c>
      <c r="I26" s="31">
        <v>1</v>
      </c>
      <c r="J26" s="31">
        <v>1</v>
      </c>
      <c r="K26" s="31">
        <v>1</v>
      </c>
      <c r="L26" s="31">
        <v>1</v>
      </c>
      <c r="M26" s="31">
        <v>1</v>
      </c>
      <c r="N26" s="32">
        <v>1</v>
      </c>
      <c r="O26" s="31">
        <v>1</v>
      </c>
      <c r="P26" s="31">
        <v>1</v>
      </c>
      <c r="Q26" s="31">
        <v>1</v>
      </c>
      <c r="R26" s="31">
        <v>1</v>
      </c>
      <c r="S26" s="31">
        <v>1</v>
      </c>
      <c r="T26" s="31">
        <v>1</v>
      </c>
      <c r="U26" s="31">
        <v>1</v>
      </c>
      <c r="V26" s="37">
        <v>1</v>
      </c>
      <c r="W26" s="47">
        <v>1</v>
      </c>
      <c r="X26" s="47">
        <v>1</v>
      </c>
      <c r="Y26" s="47">
        <v>1</v>
      </c>
      <c r="Z26" s="47">
        <v>1</v>
      </c>
      <c r="AA26" s="47">
        <v>1</v>
      </c>
      <c r="AB26" s="47">
        <v>1</v>
      </c>
      <c r="AC26" s="37">
        <v>1</v>
      </c>
      <c r="AD26" s="47">
        <v>1</v>
      </c>
      <c r="AE26" s="47">
        <v>1</v>
      </c>
      <c r="AF26" s="47">
        <v>1</v>
      </c>
      <c r="AG26" s="47">
        <v>1</v>
      </c>
      <c r="AH26" s="47">
        <v>1</v>
      </c>
      <c r="AI26" s="48">
        <v>1</v>
      </c>
      <c r="AJ26" s="58">
        <v>1</v>
      </c>
      <c r="AK26" s="53">
        <v>1</v>
      </c>
      <c r="AL26" s="53">
        <v>1</v>
      </c>
      <c r="AM26" s="53">
        <v>1</v>
      </c>
      <c r="AN26" s="53">
        <v>1</v>
      </c>
      <c r="AO26" s="53">
        <v>1</v>
      </c>
      <c r="AP26" s="53">
        <v>1</v>
      </c>
      <c r="AQ26" s="53">
        <v>1</v>
      </c>
      <c r="AR26" s="53">
        <v>1</v>
      </c>
      <c r="AS26" s="53">
        <v>1</v>
      </c>
      <c r="AT26" s="53">
        <v>1</v>
      </c>
      <c r="AU26" s="53">
        <v>1</v>
      </c>
      <c r="AV26" s="53">
        <v>1</v>
      </c>
      <c r="AW26" s="53">
        <v>2</v>
      </c>
      <c r="AX26" s="68">
        <v>1</v>
      </c>
      <c r="AY26" s="69">
        <v>1</v>
      </c>
      <c r="AZ26" s="69">
        <v>1</v>
      </c>
      <c r="BA26" s="69">
        <v>1</v>
      </c>
      <c r="BB26" s="69">
        <v>1</v>
      </c>
      <c r="BC26" s="69">
        <v>1</v>
      </c>
      <c r="BD26" s="69">
        <v>1</v>
      </c>
      <c r="BE26" s="69">
        <v>1</v>
      </c>
      <c r="BF26" s="69">
        <v>1</v>
      </c>
      <c r="BG26" s="69">
        <v>1</v>
      </c>
      <c r="BH26" s="69">
        <v>1</v>
      </c>
      <c r="BI26" s="69">
        <v>1</v>
      </c>
      <c r="BJ26" s="69">
        <v>1</v>
      </c>
      <c r="BK26" s="70">
        <v>1</v>
      </c>
    </row>
    <row r="27" spans="1:63">
      <c r="A27" s="1" t="s">
        <v>81</v>
      </c>
      <c r="B27" s="1">
        <v>5</v>
      </c>
      <c r="G27" s="84">
        <v>23</v>
      </c>
      <c r="H27" s="30">
        <v>1</v>
      </c>
      <c r="I27" s="31">
        <v>1</v>
      </c>
      <c r="J27" s="31">
        <v>1</v>
      </c>
      <c r="K27" s="31">
        <v>1</v>
      </c>
      <c r="L27" s="31">
        <v>1</v>
      </c>
      <c r="M27" s="31">
        <v>1</v>
      </c>
      <c r="N27" s="32">
        <v>1</v>
      </c>
      <c r="O27" s="31">
        <v>1</v>
      </c>
      <c r="P27" s="31">
        <v>1</v>
      </c>
      <c r="Q27" s="31">
        <v>1</v>
      </c>
      <c r="R27" s="31">
        <v>1</v>
      </c>
      <c r="S27" s="31">
        <v>1</v>
      </c>
      <c r="T27" s="31">
        <v>1</v>
      </c>
      <c r="U27" s="31">
        <v>1</v>
      </c>
      <c r="V27" s="37">
        <v>1</v>
      </c>
      <c r="W27" s="47">
        <v>1</v>
      </c>
      <c r="X27" s="47">
        <v>1</v>
      </c>
      <c r="Y27" s="47">
        <v>1</v>
      </c>
      <c r="Z27" s="47">
        <v>1</v>
      </c>
      <c r="AA27" s="47">
        <v>1</v>
      </c>
      <c r="AB27" s="47">
        <v>1</v>
      </c>
      <c r="AC27" s="37">
        <v>1</v>
      </c>
      <c r="AD27" s="47">
        <v>1</v>
      </c>
      <c r="AE27" s="47">
        <v>1</v>
      </c>
      <c r="AF27" s="47">
        <v>1</v>
      </c>
      <c r="AG27" s="47">
        <v>1</v>
      </c>
      <c r="AH27" s="47">
        <v>1</v>
      </c>
      <c r="AI27" s="48">
        <v>1</v>
      </c>
      <c r="AJ27" s="58">
        <v>1</v>
      </c>
      <c r="AK27" s="53">
        <v>1</v>
      </c>
      <c r="AL27" s="53">
        <v>1</v>
      </c>
      <c r="AM27" s="53">
        <v>1</v>
      </c>
      <c r="AN27" s="53">
        <v>1</v>
      </c>
      <c r="AO27" s="53">
        <v>1</v>
      </c>
      <c r="AP27" s="53">
        <v>1</v>
      </c>
      <c r="AQ27" s="53">
        <v>1</v>
      </c>
      <c r="AR27" s="53">
        <v>1</v>
      </c>
      <c r="AS27" s="53">
        <v>1</v>
      </c>
      <c r="AT27" s="53">
        <v>1</v>
      </c>
      <c r="AU27" s="53">
        <v>1</v>
      </c>
      <c r="AV27" s="53">
        <v>1</v>
      </c>
      <c r="AW27" s="53">
        <v>2</v>
      </c>
      <c r="AX27" s="68">
        <v>1</v>
      </c>
      <c r="AY27" s="69">
        <v>1</v>
      </c>
      <c r="AZ27" s="69">
        <v>1</v>
      </c>
      <c r="BA27" s="69">
        <v>1</v>
      </c>
      <c r="BB27" s="69">
        <v>1</v>
      </c>
      <c r="BC27" s="69">
        <v>1</v>
      </c>
      <c r="BD27" s="69">
        <v>1</v>
      </c>
      <c r="BE27" s="69">
        <v>1</v>
      </c>
      <c r="BF27" s="69">
        <v>1</v>
      </c>
      <c r="BG27" s="69">
        <v>1</v>
      </c>
      <c r="BH27" s="69">
        <v>1</v>
      </c>
      <c r="BI27" s="69">
        <v>1</v>
      </c>
      <c r="BJ27" s="69">
        <v>1</v>
      </c>
      <c r="BK27" s="70">
        <v>1</v>
      </c>
    </row>
    <row r="28" spans="1:63">
      <c r="A28" s="1" t="s">
        <v>82</v>
      </c>
      <c r="B28" s="1">
        <v>6</v>
      </c>
      <c r="G28" s="84">
        <v>24</v>
      </c>
      <c r="H28" s="30">
        <v>1</v>
      </c>
      <c r="I28" s="31">
        <v>1</v>
      </c>
      <c r="J28" s="31">
        <v>1</v>
      </c>
      <c r="K28" s="31">
        <v>1</v>
      </c>
      <c r="L28" s="31">
        <v>1</v>
      </c>
      <c r="M28" s="31">
        <v>1</v>
      </c>
      <c r="N28" s="32">
        <v>1</v>
      </c>
      <c r="O28" s="31">
        <v>1</v>
      </c>
      <c r="P28" s="31">
        <v>1</v>
      </c>
      <c r="Q28" s="31">
        <v>1</v>
      </c>
      <c r="R28" s="31">
        <v>1</v>
      </c>
      <c r="S28" s="31">
        <v>1</v>
      </c>
      <c r="T28" s="31">
        <v>1</v>
      </c>
      <c r="U28" s="31">
        <v>1</v>
      </c>
      <c r="V28" s="37">
        <v>1</v>
      </c>
      <c r="W28" s="47">
        <v>1</v>
      </c>
      <c r="X28" s="47">
        <v>1</v>
      </c>
      <c r="Y28" s="47">
        <v>1</v>
      </c>
      <c r="Z28" s="47">
        <v>1</v>
      </c>
      <c r="AA28" s="47">
        <v>1</v>
      </c>
      <c r="AB28" s="47">
        <v>1</v>
      </c>
      <c r="AC28" s="37">
        <v>1</v>
      </c>
      <c r="AD28" s="47">
        <v>1</v>
      </c>
      <c r="AE28" s="47">
        <v>1</v>
      </c>
      <c r="AF28" s="47">
        <v>1</v>
      </c>
      <c r="AG28" s="47">
        <v>1</v>
      </c>
      <c r="AH28" s="47">
        <v>1</v>
      </c>
      <c r="AI28" s="48">
        <v>1</v>
      </c>
      <c r="AJ28" s="58">
        <v>1</v>
      </c>
      <c r="AK28" s="53">
        <v>1</v>
      </c>
      <c r="AL28" s="53">
        <v>1</v>
      </c>
      <c r="AM28" s="53">
        <v>1</v>
      </c>
      <c r="AN28" s="53">
        <v>1</v>
      </c>
      <c r="AO28" s="53">
        <v>1</v>
      </c>
      <c r="AP28" s="53">
        <v>1</v>
      </c>
      <c r="AQ28" s="53">
        <v>1</v>
      </c>
      <c r="AR28" s="53">
        <v>1</v>
      </c>
      <c r="AS28" s="53">
        <v>1</v>
      </c>
      <c r="AT28" s="53">
        <v>1</v>
      </c>
      <c r="AU28" s="53">
        <v>1</v>
      </c>
      <c r="AV28" s="53">
        <v>1</v>
      </c>
      <c r="AW28" s="53">
        <v>2</v>
      </c>
      <c r="AX28" s="68">
        <v>1</v>
      </c>
      <c r="AY28" s="69">
        <v>1</v>
      </c>
      <c r="AZ28" s="69">
        <v>1</v>
      </c>
      <c r="BA28" s="69">
        <v>1</v>
      </c>
      <c r="BB28" s="69">
        <v>1</v>
      </c>
      <c r="BC28" s="69">
        <v>1</v>
      </c>
      <c r="BD28" s="69">
        <v>1</v>
      </c>
      <c r="BE28" s="69">
        <v>1</v>
      </c>
      <c r="BF28" s="69">
        <v>1</v>
      </c>
      <c r="BG28" s="69">
        <v>1</v>
      </c>
      <c r="BH28" s="69">
        <v>1</v>
      </c>
      <c r="BI28" s="69">
        <v>1</v>
      </c>
      <c r="BJ28" s="69">
        <v>1</v>
      </c>
      <c r="BK28" s="70">
        <v>1</v>
      </c>
    </row>
    <row r="29" spans="1:63">
      <c r="G29" s="84">
        <v>25</v>
      </c>
      <c r="H29" s="30">
        <v>1</v>
      </c>
      <c r="I29" s="31">
        <v>1</v>
      </c>
      <c r="J29" s="31">
        <v>1</v>
      </c>
      <c r="K29" s="31">
        <v>1</v>
      </c>
      <c r="L29" s="31">
        <v>1</v>
      </c>
      <c r="M29" s="31">
        <v>1</v>
      </c>
      <c r="N29" s="32">
        <v>1</v>
      </c>
      <c r="O29" s="31">
        <v>1</v>
      </c>
      <c r="P29" s="31">
        <v>1</v>
      </c>
      <c r="Q29" s="31">
        <v>1</v>
      </c>
      <c r="R29" s="31">
        <v>1</v>
      </c>
      <c r="S29" s="31">
        <v>1</v>
      </c>
      <c r="T29" s="31">
        <v>1</v>
      </c>
      <c r="U29" s="31">
        <v>1</v>
      </c>
      <c r="V29" s="37">
        <v>1</v>
      </c>
      <c r="W29" s="47">
        <v>1</v>
      </c>
      <c r="X29" s="47">
        <v>1</v>
      </c>
      <c r="Y29" s="47">
        <v>1</v>
      </c>
      <c r="Z29" s="47">
        <v>1</v>
      </c>
      <c r="AA29" s="47">
        <v>1</v>
      </c>
      <c r="AB29" s="47">
        <v>1</v>
      </c>
      <c r="AC29" s="37">
        <v>1</v>
      </c>
      <c r="AD29" s="47">
        <v>1</v>
      </c>
      <c r="AE29" s="47">
        <v>1</v>
      </c>
      <c r="AF29" s="47">
        <v>1</v>
      </c>
      <c r="AG29" s="47">
        <v>1</v>
      </c>
      <c r="AH29" s="47">
        <v>1</v>
      </c>
      <c r="AI29" s="48">
        <v>1</v>
      </c>
      <c r="AJ29" s="58">
        <v>1</v>
      </c>
      <c r="AK29" s="53">
        <v>1</v>
      </c>
      <c r="AL29" s="53">
        <v>1</v>
      </c>
      <c r="AM29" s="53">
        <v>1</v>
      </c>
      <c r="AN29" s="53">
        <v>1</v>
      </c>
      <c r="AO29" s="53">
        <v>1</v>
      </c>
      <c r="AP29" s="53">
        <v>1</v>
      </c>
      <c r="AQ29" s="53">
        <v>1</v>
      </c>
      <c r="AR29" s="53">
        <v>1</v>
      </c>
      <c r="AS29" s="53">
        <v>1</v>
      </c>
      <c r="AT29" s="53">
        <v>1</v>
      </c>
      <c r="AU29" s="53">
        <v>1</v>
      </c>
      <c r="AV29" s="53">
        <v>1</v>
      </c>
      <c r="AW29" s="53">
        <v>2</v>
      </c>
      <c r="AX29" s="68">
        <v>1</v>
      </c>
      <c r="AY29" s="69">
        <v>1</v>
      </c>
      <c r="AZ29" s="69">
        <v>1</v>
      </c>
      <c r="BA29" s="69">
        <v>1</v>
      </c>
      <c r="BB29" s="69">
        <v>1</v>
      </c>
      <c r="BC29" s="69">
        <v>1</v>
      </c>
      <c r="BD29" s="69">
        <v>1</v>
      </c>
      <c r="BE29" s="69">
        <v>1</v>
      </c>
      <c r="BF29" s="69">
        <v>1</v>
      </c>
      <c r="BG29" s="69">
        <v>1</v>
      </c>
      <c r="BH29" s="69">
        <v>1</v>
      </c>
      <c r="BI29" s="69">
        <v>1</v>
      </c>
      <c r="BJ29" s="69">
        <v>1</v>
      </c>
      <c r="BK29" s="70">
        <v>1</v>
      </c>
    </row>
    <row r="30" spans="1:63">
      <c r="G30" s="84">
        <v>26</v>
      </c>
      <c r="H30" s="30">
        <v>1</v>
      </c>
      <c r="I30" s="31">
        <v>1</v>
      </c>
      <c r="J30" s="31">
        <v>1</v>
      </c>
      <c r="K30" s="31">
        <v>1</v>
      </c>
      <c r="L30" s="31">
        <v>1</v>
      </c>
      <c r="M30" s="31">
        <v>1</v>
      </c>
      <c r="N30" s="32">
        <v>1</v>
      </c>
      <c r="O30" s="31">
        <v>1</v>
      </c>
      <c r="P30" s="31">
        <v>1</v>
      </c>
      <c r="Q30" s="31">
        <v>1</v>
      </c>
      <c r="R30" s="31">
        <v>1</v>
      </c>
      <c r="S30" s="31">
        <v>1</v>
      </c>
      <c r="T30" s="31">
        <v>1</v>
      </c>
      <c r="U30" s="31">
        <v>1</v>
      </c>
      <c r="V30" s="37">
        <v>1</v>
      </c>
      <c r="W30" s="47">
        <v>1</v>
      </c>
      <c r="X30" s="47">
        <v>1</v>
      </c>
      <c r="Y30" s="47">
        <v>1</v>
      </c>
      <c r="Z30" s="47">
        <v>1</v>
      </c>
      <c r="AA30" s="47">
        <v>1</v>
      </c>
      <c r="AB30" s="47">
        <v>1</v>
      </c>
      <c r="AC30" s="37">
        <v>1</v>
      </c>
      <c r="AD30" s="47">
        <v>1</v>
      </c>
      <c r="AE30" s="47">
        <v>1</v>
      </c>
      <c r="AF30" s="47">
        <v>1</v>
      </c>
      <c r="AG30" s="47">
        <v>1</v>
      </c>
      <c r="AH30" s="47">
        <v>1</v>
      </c>
      <c r="AI30" s="48">
        <v>1</v>
      </c>
      <c r="AJ30" s="58">
        <v>1</v>
      </c>
      <c r="AK30" s="53">
        <v>1</v>
      </c>
      <c r="AL30" s="53">
        <v>1</v>
      </c>
      <c r="AM30" s="53">
        <v>1</v>
      </c>
      <c r="AN30" s="53">
        <v>1</v>
      </c>
      <c r="AO30" s="53">
        <v>1</v>
      </c>
      <c r="AP30" s="53">
        <v>1</v>
      </c>
      <c r="AQ30" s="53">
        <v>1</v>
      </c>
      <c r="AR30" s="53">
        <v>1</v>
      </c>
      <c r="AS30" s="53">
        <v>1</v>
      </c>
      <c r="AT30" s="53">
        <v>1</v>
      </c>
      <c r="AU30" s="53">
        <v>1</v>
      </c>
      <c r="AV30" s="53">
        <v>1</v>
      </c>
      <c r="AW30" s="53">
        <v>2</v>
      </c>
      <c r="AX30" s="68">
        <v>1</v>
      </c>
      <c r="AY30" s="69">
        <v>1</v>
      </c>
      <c r="AZ30" s="69">
        <v>1</v>
      </c>
      <c r="BA30" s="69">
        <v>1</v>
      </c>
      <c r="BB30" s="69">
        <v>1</v>
      </c>
      <c r="BC30" s="69">
        <v>1</v>
      </c>
      <c r="BD30" s="69">
        <v>1</v>
      </c>
      <c r="BE30" s="69">
        <v>1</v>
      </c>
      <c r="BF30" s="69">
        <v>1</v>
      </c>
      <c r="BG30" s="69">
        <v>1</v>
      </c>
      <c r="BH30" s="69">
        <v>1</v>
      </c>
      <c r="BI30" s="69">
        <v>1</v>
      </c>
      <c r="BJ30" s="69">
        <v>1</v>
      </c>
      <c r="BK30" s="70">
        <v>1</v>
      </c>
    </row>
    <row r="31" spans="1:63">
      <c r="G31" s="84">
        <v>27</v>
      </c>
      <c r="H31" s="30">
        <v>1</v>
      </c>
      <c r="I31" s="31">
        <v>1</v>
      </c>
      <c r="J31" s="31">
        <v>1</v>
      </c>
      <c r="K31" s="31">
        <v>1</v>
      </c>
      <c r="L31" s="31">
        <v>1</v>
      </c>
      <c r="M31" s="31">
        <v>1</v>
      </c>
      <c r="N31" s="32">
        <v>1</v>
      </c>
      <c r="O31" s="31">
        <v>1</v>
      </c>
      <c r="P31" s="31">
        <v>1</v>
      </c>
      <c r="Q31" s="31">
        <v>1</v>
      </c>
      <c r="R31" s="31">
        <v>1</v>
      </c>
      <c r="S31" s="31">
        <v>1</v>
      </c>
      <c r="T31" s="31">
        <v>1</v>
      </c>
      <c r="U31" s="31">
        <v>1</v>
      </c>
      <c r="V31" s="37">
        <v>1</v>
      </c>
      <c r="W31" s="47">
        <v>1</v>
      </c>
      <c r="X31" s="47">
        <v>1</v>
      </c>
      <c r="Y31" s="47">
        <v>1</v>
      </c>
      <c r="Z31" s="47">
        <v>1</v>
      </c>
      <c r="AA31" s="47">
        <v>1</v>
      </c>
      <c r="AB31" s="47">
        <v>1</v>
      </c>
      <c r="AC31" s="37">
        <v>1</v>
      </c>
      <c r="AD31" s="47">
        <v>1</v>
      </c>
      <c r="AE31" s="47">
        <v>1</v>
      </c>
      <c r="AF31" s="47">
        <v>1</v>
      </c>
      <c r="AG31" s="47">
        <v>1</v>
      </c>
      <c r="AH31" s="47">
        <v>1</v>
      </c>
      <c r="AI31" s="48">
        <v>1</v>
      </c>
      <c r="AJ31" s="58">
        <v>1</v>
      </c>
      <c r="AK31" s="53">
        <v>1</v>
      </c>
      <c r="AL31" s="53">
        <v>1</v>
      </c>
      <c r="AM31" s="53">
        <v>1</v>
      </c>
      <c r="AN31" s="53">
        <v>1</v>
      </c>
      <c r="AO31" s="53">
        <v>1</v>
      </c>
      <c r="AP31" s="53">
        <v>1</v>
      </c>
      <c r="AQ31" s="53">
        <v>1</v>
      </c>
      <c r="AR31" s="53">
        <v>1</v>
      </c>
      <c r="AS31" s="53">
        <v>1</v>
      </c>
      <c r="AT31" s="53">
        <v>1</v>
      </c>
      <c r="AU31" s="53">
        <v>1</v>
      </c>
      <c r="AV31" s="53">
        <v>1</v>
      </c>
      <c r="AW31" s="53">
        <v>2</v>
      </c>
      <c r="AX31" s="68">
        <v>1</v>
      </c>
      <c r="AY31" s="69">
        <v>1</v>
      </c>
      <c r="AZ31" s="69">
        <v>1</v>
      </c>
      <c r="BA31" s="69">
        <v>1</v>
      </c>
      <c r="BB31" s="69">
        <v>1</v>
      </c>
      <c r="BC31" s="69">
        <v>1</v>
      </c>
      <c r="BD31" s="69">
        <v>1</v>
      </c>
      <c r="BE31" s="69">
        <v>1</v>
      </c>
      <c r="BF31" s="69">
        <v>1</v>
      </c>
      <c r="BG31" s="69">
        <v>1</v>
      </c>
      <c r="BH31" s="69">
        <v>1</v>
      </c>
      <c r="BI31" s="69">
        <v>1</v>
      </c>
      <c r="BJ31" s="69">
        <v>1</v>
      </c>
      <c r="BK31" s="70">
        <v>1</v>
      </c>
    </row>
    <row r="32" spans="1:63">
      <c r="G32" s="84">
        <v>28</v>
      </c>
      <c r="H32" s="30">
        <v>1</v>
      </c>
      <c r="I32" s="31">
        <v>1</v>
      </c>
      <c r="J32" s="31">
        <v>1</v>
      </c>
      <c r="K32" s="31">
        <v>1</v>
      </c>
      <c r="L32" s="31">
        <v>1</v>
      </c>
      <c r="M32" s="31">
        <v>1</v>
      </c>
      <c r="N32" s="32">
        <v>1</v>
      </c>
      <c r="O32" s="31">
        <v>1</v>
      </c>
      <c r="P32" s="31">
        <v>1</v>
      </c>
      <c r="Q32" s="31">
        <v>1</v>
      </c>
      <c r="R32" s="31">
        <v>1</v>
      </c>
      <c r="S32" s="31">
        <v>1</v>
      </c>
      <c r="T32" s="31">
        <v>1</v>
      </c>
      <c r="U32" s="31">
        <v>1</v>
      </c>
      <c r="V32" s="37">
        <v>1</v>
      </c>
      <c r="W32" s="47">
        <v>1</v>
      </c>
      <c r="X32" s="47">
        <v>1</v>
      </c>
      <c r="Y32" s="47">
        <v>1</v>
      </c>
      <c r="Z32" s="47">
        <v>1</v>
      </c>
      <c r="AA32" s="47">
        <v>1</v>
      </c>
      <c r="AB32" s="47">
        <v>1</v>
      </c>
      <c r="AC32" s="37">
        <v>1</v>
      </c>
      <c r="AD32" s="47">
        <v>1</v>
      </c>
      <c r="AE32" s="47">
        <v>1</v>
      </c>
      <c r="AF32" s="47">
        <v>1</v>
      </c>
      <c r="AG32" s="47">
        <v>1</v>
      </c>
      <c r="AH32" s="47">
        <v>1</v>
      </c>
      <c r="AI32" s="48">
        <v>1</v>
      </c>
      <c r="AJ32" s="58">
        <v>1</v>
      </c>
      <c r="AK32" s="53">
        <v>1</v>
      </c>
      <c r="AL32" s="53">
        <v>1</v>
      </c>
      <c r="AM32" s="53">
        <v>1</v>
      </c>
      <c r="AN32" s="53">
        <v>1</v>
      </c>
      <c r="AO32" s="53">
        <v>1</v>
      </c>
      <c r="AP32" s="53">
        <v>1</v>
      </c>
      <c r="AQ32" s="53">
        <v>1</v>
      </c>
      <c r="AR32" s="53">
        <v>1</v>
      </c>
      <c r="AS32" s="53">
        <v>1</v>
      </c>
      <c r="AT32" s="53">
        <v>1</v>
      </c>
      <c r="AU32" s="53">
        <v>1</v>
      </c>
      <c r="AV32" s="53">
        <v>1</v>
      </c>
      <c r="AW32" s="53">
        <v>3</v>
      </c>
      <c r="AX32" s="68">
        <v>1</v>
      </c>
      <c r="AY32" s="69">
        <v>1</v>
      </c>
      <c r="AZ32" s="69">
        <v>1</v>
      </c>
      <c r="BA32" s="69">
        <v>1</v>
      </c>
      <c r="BB32" s="69">
        <v>1</v>
      </c>
      <c r="BC32" s="69">
        <v>1</v>
      </c>
      <c r="BD32" s="69">
        <v>1</v>
      </c>
      <c r="BE32" s="69">
        <v>1</v>
      </c>
      <c r="BF32" s="69">
        <v>1</v>
      </c>
      <c r="BG32" s="69">
        <v>1</v>
      </c>
      <c r="BH32" s="69">
        <v>1</v>
      </c>
      <c r="BI32" s="69">
        <v>1</v>
      </c>
      <c r="BJ32" s="69">
        <v>1</v>
      </c>
      <c r="BK32" s="70">
        <v>1</v>
      </c>
    </row>
    <row r="33" spans="7:63">
      <c r="G33" s="84">
        <v>29</v>
      </c>
      <c r="H33" s="30">
        <v>1</v>
      </c>
      <c r="I33" s="31">
        <v>1</v>
      </c>
      <c r="J33" s="31">
        <v>1</v>
      </c>
      <c r="K33" s="31">
        <v>1</v>
      </c>
      <c r="L33" s="31">
        <v>1</v>
      </c>
      <c r="M33" s="31">
        <v>1</v>
      </c>
      <c r="N33" s="32">
        <v>1</v>
      </c>
      <c r="O33" s="31">
        <v>1</v>
      </c>
      <c r="P33" s="31">
        <v>1</v>
      </c>
      <c r="Q33" s="31">
        <v>1</v>
      </c>
      <c r="R33" s="31">
        <v>1</v>
      </c>
      <c r="S33" s="31">
        <v>1</v>
      </c>
      <c r="T33" s="31">
        <v>1</v>
      </c>
      <c r="U33" s="31">
        <v>1</v>
      </c>
      <c r="V33" s="37">
        <v>1</v>
      </c>
      <c r="W33" s="47">
        <v>1</v>
      </c>
      <c r="X33" s="47">
        <v>1</v>
      </c>
      <c r="Y33" s="47">
        <v>1</v>
      </c>
      <c r="Z33" s="47">
        <v>1</v>
      </c>
      <c r="AA33" s="47">
        <v>1</v>
      </c>
      <c r="AB33" s="47">
        <v>1</v>
      </c>
      <c r="AC33" s="37">
        <v>1</v>
      </c>
      <c r="AD33" s="47">
        <v>1</v>
      </c>
      <c r="AE33" s="47">
        <v>1</v>
      </c>
      <c r="AF33" s="47">
        <v>1</v>
      </c>
      <c r="AG33" s="47">
        <v>1</v>
      </c>
      <c r="AH33" s="47">
        <v>1</v>
      </c>
      <c r="AI33" s="48">
        <v>1</v>
      </c>
      <c r="AJ33" s="58">
        <v>1</v>
      </c>
      <c r="AK33" s="53">
        <v>1</v>
      </c>
      <c r="AL33" s="53">
        <v>1</v>
      </c>
      <c r="AM33" s="53">
        <v>1</v>
      </c>
      <c r="AN33" s="53">
        <v>1</v>
      </c>
      <c r="AO33" s="53">
        <v>1</v>
      </c>
      <c r="AP33" s="53">
        <v>1</v>
      </c>
      <c r="AQ33" s="53">
        <v>1</v>
      </c>
      <c r="AR33" s="53">
        <v>1</v>
      </c>
      <c r="AS33" s="53">
        <v>1</v>
      </c>
      <c r="AT33" s="53">
        <v>1</v>
      </c>
      <c r="AU33" s="53">
        <v>1</v>
      </c>
      <c r="AV33" s="53">
        <v>1</v>
      </c>
      <c r="AW33" s="53">
        <v>3</v>
      </c>
      <c r="AX33" s="68">
        <v>1</v>
      </c>
      <c r="AY33" s="69">
        <v>1</v>
      </c>
      <c r="AZ33" s="69">
        <v>1</v>
      </c>
      <c r="BA33" s="69">
        <v>1</v>
      </c>
      <c r="BB33" s="69">
        <v>1</v>
      </c>
      <c r="BC33" s="69">
        <v>1</v>
      </c>
      <c r="BD33" s="69">
        <v>1</v>
      </c>
      <c r="BE33" s="69">
        <v>1</v>
      </c>
      <c r="BF33" s="69">
        <v>1</v>
      </c>
      <c r="BG33" s="69">
        <v>1</v>
      </c>
      <c r="BH33" s="69">
        <v>1</v>
      </c>
      <c r="BI33" s="69">
        <v>1</v>
      </c>
      <c r="BJ33" s="69">
        <v>1</v>
      </c>
      <c r="BK33" s="70">
        <v>1</v>
      </c>
    </row>
    <row r="34" spans="7:63">
      <c r="G34" s="84">
        <v>30</v>
      </c>
      <c r="H34" s="30">
        <v>1</v>
      </c>
      <c r="I34" s="31">
        <v>1</v>
      </c>
      <c r="J34" s="31">
        <v>1</v>
      </c>
      <c r="K34" s="31">
        <v>1</v>
      </c>
      <c r="L34" s="31">
        <v>1</v>
      </c>
      <c r="M34" s="31">
        <v>1</v>
      </c>
      <c r="N34" s="32">
        <v>1</v>
      </c>
      <c r="O34" s="31">
        <v>1</v>
      </c>
      <c r="P34" s="31">
        <v>1</v>
      </c>
      <c r="Q34" s="31">
        <v>1</v>
      </c>
      <c r="R34" s="31">
        <v>1</v>
      </c>
      <c r="S34" s="31">
        <v>1</v>
      </c>
      <c r="T34" s="31">
        <v>1</v>
      </c>
      <c r="U34" s="31">
        <v>1</v>
      </c>
      <c r="V34" s="37">
        <v>1</v>
      </c>
      <c r="W34" s="47">
        <v>1</v>
      </c>
      <c r="X34" s="47">
        <v>1</v>
      </c>
      <c r="Y34" s="47">
        <v>1</v>
      </c>
      <c r="Z34" s="47">
        <v>1</v>
      </c>
      <c r="AA34" s="47">
        <v>1</v>
      </c>
      <c r="AB34" s="47">
        <v>1</v>
      </c>
      <c r="AC34" s="37">
        <v>1</v>
      </c>
      <c r="AD34" s="47">
        <v>1</v>
      </c>
      <c r="AE34" s="47">
        <v>1</v>
      </c>
      <c r="AF34" s="47">
        <v>1</v>
      </c>
      <c r="AG34" s="47">
        <v>1</v>
      </c>
      <c r="AH34" s="47">
        <v>1</v>
      </c>
      <c r="AI34" s="48">
        <v>1</v>
      </c>
      <c r="AJ34" s="58">
        <v>1</v>
      </c>
      <c r="AK34" s="53">
        <v>1</v>
      </c>
      <c r="AL34" s="53">
        <v>1</v>
      </c>
      <c r="AM34" s="53">
        <v>1</v>
      </c>
      <c r="AN34" s="53">
        <v>1</v>
      </c>
      <c r="AO34" s="53">
        <v>1</v>
      </c>
      <c r="AP34" s="53">
        <v>1</v>
      </c>
      <c r="AQ34" s="53">
        <v>1</v>
      </c>
      <c r="AR34" s="53">
        <v>1</v>
      </c>
      <c r="AS34" s="53">
        <v>1</v>
      </c>
      <c r="AT34" s="53">
        <v>1</v>
      </c>
      <c r="AU34" s="53">
        <v>1</v>
      </c>
      <c r="AV34" s="53">
        <v>1</v>
      </c>
      <c r="AW34" s="53">
        <v>3</v>
      </c>
      <c r="AX34" s="68">
        <v>1</v>
      </c>
      <c r="AY34" s="69">
        <v>1</v>
      </c>
      <c r="AZ34" s="69">
        <v>1</v>
      </c>
      <c r="BA34" s="69">
        <v>1</v>
      </c>
      <c r="BB34" s="69">
        <v>1</v>
      </c>
      <c r="BC34" s="69">
        <v>1</v>
      </c>
      <c r="BD34" s="69">
        <v>1</v>
      </c>
      <c r="BE34" s="69">
        <v>2</v>
      </c>
      <c r="BF34" s="69">
        <v>1</v>
      </c>
      <c r="BG34" s="69">
        <v>1</v>
      </c>
      <c r="BH34" s="69">
        <v>1</v>
      </c>
      <c r="BI34" s="69">
        <v>1</v>
      </c>
      <c r="BJ34" s="69">
        <v>1</v>
      </c>
      <c r="BK34" s="70">
        <v>1</v>
      </c>
    </row>
    <row r="35" spans="7:63">
      <c r="G35" s="84">
        <v>31</v>
      </c>
      <c r="H35" s="30">
        <v>1</v>
      </c>
      <c r="I35" s="31">
        <v>1</v>
      </c>
      <c r="J35" s="31">
        <v>1</v>
      </c>
      <c r="K35" s="31">
        <v>1</v>
      </c>
      <c r="L35" s="31">
        <v>1</v>
      </c>
      <c r="M35" s="31">
        <v>1</v>
      </c>
      <c r="N35" s="32">
        <v>1</v>
      </c>
      <c r="O35" s="31">
        <v>1</v>
      </c>
      <c r="P35" s="31">
        <v>1</v>
      </c>
      <c r="Q35" s="31">
        <v>1</v>
      </c>
      <c r="R35" s="31">
        <v>1</v>
      </c>
      <c r="S35" s="31">
        <v>1</v>
      </c>
      <c r="T35" s="31">
        <v>1</v>
      </c>
      <c r="U35" s="31">
        <v>1</v>
      </c>
      <c r="V35" s="37">
        <v>1</v>
      </c>
      <c r="W35" s="47">
        <v>1</v>
      </c>
      <c r="X35" s="47">
        <v>1</v>
      </c>
      <c r="Y35" s="47">
        <v>1</v>
      </c>
      <c r="Z35" s="47">
        <v>1</v>
      </c>
      <c r="AA35" s="47">
        <v>1</v>
      </c>
      <c r="AB35" s="47">
        <v>1</v>
      </c>
      <c r="AC35" s="37">
        <v>1</v>
      </c>
      <c r="AD35" s="47">
        <v>1</v>
      </c>
      <c r="AE35" s="47">
        <v>1</v>
      </c>
      <c r="AF35" s="47">
        <v>1</v>
      </c>
      <c r="AG35" s="47">
        <v>1</v>
      </c>
      <c r="AH35" s="47">
        <v>1</v>
      </c>
      <c r="AI35" s="48">
        <v>1</v>
      </c>
      <c r="AJ35" s="58">
        <v>1</v>
      </c>
      <c r="AK35" s="53">
        <v>1</v>
      </c>
      <c r="AL35" s="53">
        <v>1</v>
      </c>
      <c r="AM35" s="53">
        <v>1</v>
      </c>
      <c r="AN35" s="53">
        <v>1</v>
      </c>
      <c r="AO35" s="53">
        <v>1</v>
      </c>
      <c r="AP35" s="53">
        <v>1</v>
      </c>
      <c r="AQ35" s="53">
        <v>2</v>
      </c>
      <c r="AR35" s="53">
        <v>1</v>
      </c>
      <c r="AS35" s="53">
        <v>1</v>
      </c>
      <c r="AT35" s="53">
        <v>1</v>
      </c>
      <c r="AU35" s="53">
        <v>1</v>
      </c>
      <c r="AV35" s="53">
        <v>1</v>
      </c>
      <c r="AW35" s="53">
        <v>3</v>
      </c>
      <c r="AX35" s="68">
        <v>1</v>
      </c>
      <c r="AY35" s="69">
        <v>1</v>
      </c>
      <c r="AZ35" s="69">
        <v>1</v>
      </c>
      <c r="BA35" s="69">
        <v>1</v>
      </c>
      <c r="BB35" s="69">
        <v>1</v>
      </c>
      <c r="BC35" s="69">
        <v>1</v>
      </c>
      <c r="BD35" s="69">
        <v>1</v>
      </c>
      <c r="BE35" s="69">
        <v>2</v>
      </c>
      <c r="BF35" s="69">
        <v>1</v>
      </c>
      <c r="BG35" s="69">
        <v>1</v>
      </c>
      <c r="BH35" s="69">
        <v>1</v>
      </c>
      <c r="BI35" s="69">
        <v>1</v>
      </c>
      <c r="BJ35" s="69">
        <v>1</v>
      </c>
      <c r="BK35" s="70">
        <v>1</v>
      </c>
    </row>
    <row r="36" spans="7:63">
      <c r="G36" s="84">
        <v>32</v>
      </c>
      <c r="H36" s="30">
        <v>1</v>
      </c>
      <c r="I36" s="31">
        <v>1</v>
      </c>
      <c r="J36" s="31">
        <v>1</v>
      </c>
      <c r="K36" s="31">
        <v>1</v>
      </c>
      <c r="L36" s="31">
        <v>1</v>
      </c>
      <c r="M36" s="31">
        <v>1</v>
      </c>
      <c r="N36" s="32">
        <v>1</v>
      </c>
      <c r="O36" s="31">
        <v>1</v>
      </c>
      <c r="P36" s="31">
        <v>1</v>
      </c>
      <c r="Q36" s="31">
        <v>1</v>
      </c>
      <c r="R36" s="31">
        <v>1</v>
      </c>
      <c r="S36" s="31">
        <v>1</v>
      </c>
      <c r="T36" s="31">
        <v>1</v>
      </c>
      <c r="U36" s="31">
        <v>1</v>
      </c>
      <c r="V36" s="37">
        <v>1</v>
      </c>
      <c r="W36" s="47">
        <v>1</v>
      </c>
      <c r="X36" s="47">
        <v>1</v>
      </c>
      <c r="Y36" s="47">
        <v>1</v>
      </c>
      <c r="Z36" s="47">
        <v>1</v>
      </c>
      <c r="AA36" s="47">
        <v>1</v>
      </c>
      <c r="AB36" s="47">
        <v>1</v>
      </c>
      <c r="AC36" s="37">
        <v>1</v>
      </c>
      <c r="AD36" s="47">
        <v>1</v>
      </c>
      <c r="AE36" s="47">
        <v>1</v>
      </c>
      <c r="AF36" s="47">
        <v>1</v>
      </c>
      <c r="AG36" s="47">
        <v>1</v>
      </c>
      <c r="AH36" s="47">
        <v>1</v>
      </c>
      <c r="AI36" s="48">
        <v>1</v>
      </c>
      <c r="AJ36" s="58">
        <v>1</v>
      </c>
      <c r="AK36" s="53">
        <v>1</v>
      </c>
      <c r="AL36" s="53">
        <v>1</v>
      </c>
      <c r="AM36" s="53">
        <v>1</v>
      </c>
      <c r="AN36" s="53">
        <v>1</v>
      </c>
      <c r="AO36" s="53">
        <v>1</v>
      </c>
      <c r="AP36" s="53">
        <v>1</v>
      </c>
      <c r="AQ36" s="53">
        <v>2</v>
      </c>
      <c r="AR36" s="53">
        <v>1</v>
      </c>
      <c r="AS36" s="53">
        <v>1</v>
      </c>
      <c r="AT36" s="53">
        <v>1</v>
      </c>
      <c r="AU36" s="53">
        <v>1</v>
      </c>
      <c r="AV36" s="53">
        <v>1</v>
      </c>
      <c r="AW36" s="53">
        <v>3</v>
      </c>
      <c r="AX36" s="68">
        <v>1</v>
      </c>
      <c r="AY36" s="69">
        <v>1</v>
      </c>
      <c r="AZ36" s="69">
        <v>1</v>
      </c>
      <c r="BA36" s="69">
        <v>1</v>
      </c>
      <c r="BB36" s="69">
        <v>1</v>
      </c>
      <c r="BC36" s="69">
        <v>1</v>
      </c>
      <c r="BD36" s="69">
        <v>1</v>
      </c>
      <c r="BE36" s="69">
        <v>2</v>
      </c>
      <c r="BF36" s="69">
        <v>1</v>
      </c>
      <c r="BG36" s="69">
        <v>1</v>
      </c>
      <c r="BH36" s="69">
        <v>1</v>
      </c>
      <c r="BI36" s="69">
        <v>1</v>
      </c>
      <c r="BJ36" s="69">
        <v>1</v>
      </c>
      <c r="BK36" s="70">
        <v>1</v>
      </c>
    </row>
    <row r="37" spans="7:63">
      <c r="G37" s="84">
        <v>33</v>
      </c>
      <c r="H37" s="30">
        <v>1</v>
      </c>
      <c r="I37" s="31">
        <v>1</v>
      </c>
      <c r="J37" s="31">
        <v>1</v>
      </c>
      <c r="K37" s="31">
        <v>1</v>
      </c>
      <c r="L37" s="31">
        <v>1</v>
      </c>
      <c r="M37" s="31">
        <v>1</v>
      </c>
      <c r="N37" s="32">
        <v>1</v>
      </c>
      <c r="O37" s="31">
        <v>1</v>
      </c>
      <c r="P37" s="31">
        <v>1</v>
      </c>
      <c r="Q37" s="31">
        <v>1</v>
      </c>
      <c r="R37" s="31">
        <v>1</v>
      </c>
      <c r="S37" s="31">
        <v>1</v>
      </c>
      <c r="T37" s="31">
        <v>1</v>
      </c>
      <c r="U37" s="31">
        <v>1</v>
      </c>
      <c r="V37" s="37">
        <v>1</v>
      </c>
      <c r="W37" s="47">
        <v>1</v>
      </c>
      <c r="X37" s="47">
        <v>1</v>
      </c>
      <c r="Y37" s="47">
        <v>1</v>
      </c>
      <c r="Z37" s="47">
        <v>1</v>
      </c>
      <c r="AA37" s="47">
        <v>1</v>
      </c>
      <c r="AB37" s="47">
        <v>1</v>
      </c>
      <c r="AC37" s="37">
        <v>1</v>
      </c>
      <c r="AD37" s="47">
        <v>1</v>
      </c>
      <c r="AE37" s="47">
        <v>1</v>
      </c>
      <c r="AF37" s="47">
        <v>1</v>
      </c>
      <c r="AG37" s="47">
        <v>1</v>
      </c>
      <c r="AH37" s="47">
        <v>1</v>
      </c>
      <c r="AI37" s="48">
        <v>1</v>
      </c>
      <c r="AJ37" s="58">
        <v>1</v>
      </c>
      <c r="AK37" s="53">
        <v>1</v>
      </c>
      <c r="AL37" s="53">
        <v>1</v>
      </c>
      <c r="AM37" s="53">
        <v>1</v>
      </c>
      <c r="AN37" s="53">
        <v>1</v>
      </c>
      <c r="AO37" s="53">
        <v>1</v>
      </c>
      <c r="AP37" s="53">
        <v>1</v>
      </c>
      <c r="AQ37" s="53">
        <v>2</v>
      </c>
      <c r="AR37" s="53">
        <v>1</v>
      </c>
      <c r="AS37" s="53">
        <v>1</v>
      </c>
      <c r="AT37" s="53">
        <v>1</v>
      </c>
      <c r="AU37" s="53">
        <v>1</v>
      </c>
      <c r="AV37" s="53">
        <v>1</v>
      </c>
      <c r="AW37" s="53">
        <v>3</v>
      </c>
      <c r="AX37" s="68">
        <v>1</v>
      </c>
      <c r="AY37" s="69">
        <v>1</v>
      </c>
      <c r="AZ37" s="69">
        <v>1</v>
      </c>
      <c r="BA37" s="69">
        <v>1</v>
      </c>
      <c r="BB37" s="69">
        <v>1</v>
      </c>
      <c r="BC37" s="69">
        <v>1</v>
      </c>
      <c r="BD37" s="69">
        <v>1</v>
      </c>
      <c r="BE37" s="69">
        <v>2</v>
      </c>
      <c r="BF37" s="69">
        <v>1</v>
      </c>
      <c r="BG37" s="69">
        <v>1</v>
      </c>
      <c r="BH37" s="69">
        <v>1</v>
      </c>
      <c r="BI37" s="69">
        <v>1</v>
      </c>
      <c r="BJ37" s="69">
        <v>1</v>
      </c>
      <c r="BK37" s="70">
        <v>1</v>
      </c>
    </row>
    <row r="38" spans="7:63">
      <c r="G38" s="84">
        <v>34</v>
      </c>
      <c r="H38" s="30">
        <v>1</v>
      </c>
      <c r="I38" s="31">
        <v>1</v>
      </c>
      <c r="J38" s="31">
        <v>1</v>
      </c>
      <c r="K38" s="31">
        <v>1</v>
      </c>
      <c r="L38" s="31">
        <v>1</v>
      </c>
      <c r="M38" s="31">
        <v>1</v>
      </c>
      <c r="N38" s="32">
        <v>1</v>
      </c>
      <c r="O38" s="31">
        <v>1</v>
      </c>
      <c r="P38" s="31">
        <v>1</v>
      </c>
      <c r="Q38" s="31">
        <v>1</v>
      </c>
      <c r="R38" s="31">
        <v>1</v>
      </c>
      <c r="S38" s="31">
        <v>1</v>
      </c>
      <c r="T38" s="31">
        <v>1</v>
      </c>
      <c r="U38" s="31">
        <v>1</v>
      </c>
      <c r="V38" s="37">
        <v>1</v>
      </c>
      <c r="W38" s="47">
        <v>1</v>
      </c>
      <c r="X38" s="47">
        <v>1</v>
      </c>
      <c r="Y38" s="47">
        <v>1</v>
      </c>
      <c r="Z38" s="47">
        <v>1</v>
      </c>
      <c r="AA38" s="47">
        <v>1</v>
      </c>
      <c r="AB38" s="47">
        <v>1</v>
      </c>
      <c r="AC38" s="37">
        <v>1</v>
      </c>
      <c r="AD38" s="47">
        <v>1</v>
      </c>
      <c r="AE38" s="47">
        <v>1</v>
      </c>
      <c r="AF38" s="47">
        <v>1</v>
      </c>
      <c r="AG38" s="47">
        <v>1</v>
      </c>
      <c r="AH38" s="47">
        <v>1</v>
      </c>
      <c r="AI38" s="48">
        <v>1</v>
      </c>
      <c r="AJ38" s="58">
        <v>1</v>
      </c>
      <c r="AK38" s="53">
        <v>1</v>
      </c>
      <c r="AL38" s="53">
        <v>1</v>
      </c>
      <c r="AM38" s="53">
        <v>1</v>
      </c>
      <c r="AN38" s="53">
        <v>1</v>
      </c>
      <c r="AO38" s="53">
        <v>1</v>
      </c>
      <c r="AP38" s="53">
        <v>1</v>
      </c>
      <c r="AQ38" s="53">
        <v>2</v>
      </c>
      <c r="AR38" s="53">
        <v>1</v>
      </c>
      <c r="AS38" s="53">
        <v>1</v>
      </c>
      <c r="AT38" s="53">
        <v>1</v>
      </c>
      <c r="AU38" s="53">
        <v>1</v>
      </c>
      <c r="AV38" s="53">
        <v>1</v>
      </c>
      <c r="AW38" s="53">
        <v>4</v>
      </c>
      <c r="AX38" s="68">
        <v>1</v>
      </c>
      <c r="AY38" s="69">
        <v>1</v>
      </c>
      <c r="AZ38" s="69">
        <v>1</v>
      </c>
      <c r="BA38" s="69">
        <v>1</v>
      </c>
      <c r="BB38" s="69">
        <v>1</v>
      </c>
      <c r="BC38" s="69">
        <v>1</v>
      </c>
      <c r="BD38" s="69">
        <v>1</v>
      </c>
      <c r="BE38" s="69">
        <v>2</v>
      </c>
      <c r="BF38" s="69">
        <v>1</v>
      </c>
      <c r="BG38" s="69">
        <v>1</v>
      </c>
      <c r="BH38" s="69">
        <v>1</v>
      </c>
      <c r="BI38" s="69">
        <v>1</v>
      </c>
      <c r="BJ38" s="69">
        <v>1</v>
      </c>
      <c r="BK38" s="70">
        <v>1</v>
      </c>
    </row>
    <row r="39" spans="7:63">
      <c r="G39" s="84">
        <v>35</v>
      </c>
      <c r="H39" s="30">
        <v>1</v>
      </c>
      <c r="I39" s="31">
        <v>1</v>
      </c>
      <c r="J39" s="31">
        <v>1</v>
      </c>
      <c r="K39" s="31">
        <v>1</v>
      </c>
      <c r="L39" s="31">
        <v>1</v>
      </c>
      <c r="M39" s="31">
        <v>1</v>
      </c>
      <c r="N39" s="32">
        <v>1</v>
      </c>
      <c r="O39" s="31">
        <v>1</v>
      </c>
      <c r="P39" s="31">
        <v>1</v>
      </c>
      <c r="Q39" s="31">
        <v>1</v>
      </c>
      <c r="R39" s="31">
        <v>1</v>
      </c>
      <c r="S39" s="31">
        <v>1</v>
      </c>
      <c r="T39" s="31">
        <v>1</v>
      </c>
      <c r="U39" s="31">
        <v>1</v>
      </c>
      <c r="V39" s="37">
        <v>1</v>
      </c>
      <c r="W39" s="47">
        <v>1</v>
      </c>
      <c r="X39" s="47">
        <v>1</v>
      </c>
      <c r="Y39" s="47">
        <v>1</v>
      </c>
      <c r="Z39" s="47">
        <v>1</v>
      </c>
      <c r="AA39" s="47">
        <v>1</v>
      </c>
      <c r="AB39" s="47">
        <v>1</v>
      </c>
      <c r="AC39" s="37">
        <v>1</v>
      </c>
      <c r="AD39" s="47">
        <v>1</v>
      </c>
      <c r="AE39" s="47">
        <v>1</v>
      </c>
      <c r="AF39" s="47">
        <v>1</v>
      </c>
      <c r="AG39" s="47">
        <v>1</v>
      </c>
      <c r="AH39" s="47">
        <v>1</v>
      </c>
      <c r="AI39" s="48">
        <v>1</v>
      </c>
      <c r="AJ39" s="58">
        <v>1</v>
      </c>
      <c r="AK39" s="53">
        <v>1</v>
      </c>
      <c r="AL39" s="53">
        <v>1</v>
      </c>
      <c r="AM39" s="53">
        <v>1</v>
      </c>
      <c r="AN39" s="53">
        <v>1</v>
      </c>
      <c r="AO39" s="53">
        <v>1</v>
      </c>
      <c r="AP39" s="53">
        <v>1</v>
      </c>
      <c r="AQ39" s="53">
        <v>2</v>
      </c>
      <c r="AR39" s="53">
        <v>1</v>
      </c>
      <c r="AS39" s="53">
        <v>1</v>
      </c>
      <c r="AT39" s="53">
        <v>1</v>
      </c>
      <c r="AU39" s="53">
        <v>1</v>
      </c>
      <c r="AV39" s="53">
        <v>1</v>
      </c>
      <c r="AW39" s="53">
        <v>4</v>
      </c>
      <c r="AX39" s="68">
        <v>1</v>
      </c>
      <c r="AY39" s="69">
        <v>1</v>
      </c>
      <c r="AZ39" s="69">
        <v>1</v>
      </c>
      <c r="BA39" s="69">
        <v>1</v>
      </c>
      <c r="BB39" s="69">
        <v>1</v>
      </c>
      <c r="BC39" s="69">
        <v>1</v>
      </c>
      <c r="BD39" s="69">
        <v>1</v>
      </c>
      <c r="BE39" s="69">
        <v>3</v>
      </c>
      <c r="BF39" s="69">
        <v>1</v>
      </c>
      <c r="BG39" s="69">
        <v>1</v>
      </c>
      <c r="BH39" s="69">
        <v>1</v>
      </c>
      <c r="BI39" s="69">
        <v>1</v>
      </c>
      <c r="BJ39" s="69">
        <v>1</v>
      </c>
      <c r="BK39" s="70">
        <v>1</v>
      </c>
    </row>
    <row r="40" spans="7:63">
      <c r="G40" s="84">
        <v>36</v>
      </c>
      <c r="H40" s="30">
        <v>1</v>
      </c>
      <c r="I40" s="31">
        <v>1</v>
      </c>
      <c r="J40" s="31">
        <v>1</v>
      </c>
      <c r="K40" s="31">
        <v>1</v>
      </c>
      <c r="L40" s="31">
        <v>1</v>
      </c>
      <c r="M40" s="31">
        <v>1</v>
      </c>
      <c r="N40" s="32">
        <v>1</v>
      </c>
      <c r="O40" s="31">
        <v>1</v>
      </c>
      <c r="P40" s="31">
        <v>1</v>
      </c>
      <c r="Q40" s="31">
        <v>1</v>
      </c>
      <c r="R40" s="31">
        <v>1</v>
      </c>
      <c r="S40" s="31">
        <v>1</v>
      </c>
      <c r="T40" s="31">
        <v>1</v>
      </c>
      <c r="U40" s="31">
        <v>1</v>
      </c>
      <c r="V40" s="37">
        <v>1</v>
      </c>
      <c r="W40" s="47">
        <v>1</v>
      </c>
      <c r="X40" s="47">
        <v>1</v>
      </c>
      <c r="Y40" s="47">
        <v>1</v>
      </c>
      <c r="Z40" s="47">
        <v>1</v>
      </c>
      <c r="AA40" s="47">
        <v>1</v>
      </c>
      <c r="AB40" s="47">
        <v>1</v>
      </c>
      <c r="AC40" s="37">
        <v>1</v>
      </c>
      <c r="AD40" s="47">
        <v>1</v>
      </c>
      <c r="AE40" s="47">
        <v>1</v>
      </c>
      <c r="AF40" s="47">
        <v>1</v>
      </c>
      <c r="AG40" s="47">
        <v>1</v>
      </c>
      <c r="AH40" s="47">
        <v>1</v>
      </c>
      <c r="AI40" s="48">
        <v>1</v>
      </c>
      <c r="AJ40" s="58">
        <v>1</v>
      </c>
      <c r="AK40" s="53">
        <v>1</v>
      </c>
      <c r="AL40" s="53">
        <v>1</v>
      </c>
      <c r="AM40" s="53">
        <v>1</v>
      </c>
      <c r="AN40" s="53">
        <v>1</v>
      </c>
      <c r="AO40" s="53">
        <v>1</v>
      </c>
      <c r="AP40" s="53">
        <v>1</v>
      </c>
      <c r="AQ40" s="53">
        <v>3</v>
      </c>
      <c r="AR40" s="53">
        <v>1</v>
      </c>
      <c r="AS40" s="53">
        <v>1</v>
      </c>
      <c r="AT40" s="53">
        <v>1</v>
      </c>
      <c r="AU40" s="53">
        <v>1</v>
      </c>
      <c r="AV40" s="53">
        <v>1</v>
      </c>
      <c r="AW40" s="53">
        <v>4</v>
      </c>
      <c r="AX40" s="68">
        <v>1</v>
      </c>
      <c r="AY40" s="69">
        <v>1</v>
      </c>
      <c r="AZ40" s="69">
        <v>1</v>
      </c>
      <c r="BA40" s="69">
        <v>1</v>
      </c>
      <c r="BB40" s="69">
        <v>1</v>
      </c>
      <c r="BC40" s="69">
        <v>1</v>
      </c>
      <c r="BD40" s="69">
        <v>1</v>
      </c>
      <c r="BE40" s="69">
        <v>3</v>
      </c>
      <c r="BF40" s="69">
        <v>1</v>
      </c>
      <c r="BG40" s="69">
        <v>1</v>
      </c>
      <c r="BH40" s="69">
        <v>1</v>
      </c>
      <c r="BI40" s="69">
        <v>1</v>
      </c>
      <c r="BJ40" s="69">
        <v>1</v>
      </c>
      <c r="BK40" s="70">
        <v>1</v>
      </c>
    </row>
    <row r="41" spans="7:63">
      <c r="G41" s="84">
        <v>37</v>
      </c>
      <c r="H41" s="30">
        <v>1</v>
      </c>
      <c r="I41" s="31">
        <v>1</v>
      </c>
      <c r="J41" s="31">
        <v>1</v>
      </c>
      <c r="K41" s="31">
        <v>1</v>
      </c>
      <c r="L41" s="31">
        <v>1</v>
      </c>
      <c r="M41" s="31">
        <v>1</v>
      </c>
      <c r="N41" s="32">
        <v>1</v>
      </c>
      <c r="O41" s="31">
        <v>1</v>
      </c>
      <c r="P41" s="31">
        <v>1</v>
      </c>
      <c r="Q41" s="31">
        <v>1</v>
      </c>
      <c r="R41" s="31">
        <v>1</v>
      </c>
      <c r="S41" s="31">
        <v>1</v>
      </c>
      <c r="T41" s="31">
        <v>1</v>
      </c>
      <c r="U41" s="31">
        <v>1</v>
      </c>
      <c r="V41" s="37">
        <v>1</v>
      </c>
      <c r="W41" s="47">
        <v>1</v>
      </c>
      <c r="X41" s="47">
        <v>1</v>
      </c>
      <c r="Y41" s="47">
        <v>1</v>
      </c>
      <c r="Z41" s="47">
        <v>1</v>
      </c>
      <c r="AA41" s="47">
        <v>1</v>
      </c>
      <c r="AB41" s="47">
        <v>1</v>
      </c>
      <c r="AC41" s="37">
        <v>1</v>
      </c>
      <c r="AD41" s="47">
        <v>1</v>
      </c>
      <c r="AE41" s="47">
        <v>1</v>
      </c>
      <c r="AF41" s="47">
        <v>1</v>
      </c>
      <c r="AG41" s="47">
        <v>1</v>
      </c>
      <c r="AH41" s="47">
        <v>1</v>
      </c>
      <c r="AI41" s="48">
        <v>1</v>
      </c>
      <c r="AJ41" s="58">
        <v>1</v>
      </c>
      <c r="AK41" s="53">
        <v>1</v>
      </c>
      <c r="AL41" s="53">
        <v>1</v>
      </c>
      <c r="AM41" s="53">
        <v>1</v>
      </c>
      <c r="AN41" s="53">
        <v>1</v>
      </c>
      <c r="AO41" s="53">
        <v>1</v>
      </c>
      <c r="AP41" s="53">
        <v>1</v>
      </c>
      <c r="AQ41" s="53">
        <v>3</v>
      </c>
      <c r="AR41" s="53">
        <v>1</v>
      </c>
      <c r="AS41" s="53">
        <v>1</v>
      </c>
      <c r="AT41" s="53">
        <v>1</v>
      </c>
      <c r="AU41" s="53">
        <v>1</v>
      </c>
      <c r="AV41" s="53">
        <v>1</v>
      </c>
      <c r="AW41" s="53">
        <v>4</v>
      </c>
      <c r="AX41" s="68">
        <v>1</v>
      </c>
      <c r="AY41" s="69">
        <v>1</v>
      </c>
      <c r="AZ41" s="69">
        <v>1</v>
      </c>
      <c r="BA41" s="69">
        <v>1</v>
      </c>
      <c r="BB41" s="69">
        <v>1</v>
      </c>
      <c r="BC41" s="69">
        <v>1</v>
      </c>
      <c r="BD41" s="69">
        <v>1</v>
      </c>
      <c r="BE41" s="69">
        <v>3</v>
      </c>
      <c r="BF41" s="69">
        <v>1</v>
      </c>
      <c r="BG41" s="69">
        <v>1</v>
      </c>
      <c r="BH41" s="69">
        <v>1</v>
      </c>
      <c r="BI41" s="69">
        <v>1</v>
      </c>
      <c r="BJ41" s="69">
        <v>1</v>
      </c>
      <c r="BK41" s="70">
        <v>1</v>
      </c>
    </row>
    <row r="42" spans="7:63">
      <c r="G42" s="84">
        <v>38</v>
      </c>
      <c r="H42" s="30">
        <v>1</v>
      </c>
      <c r="I42" s="31">
        <v>1</v>
      </c>
      <c r="J42" s="31">
        <v>1</v>
      </c>
      <c r="K42" s="31">
        <v>1</v>
      </c>
      <c r="L42" s="31">
        <v>1</v>
      </c>
      <c r="M42" s="31">
        <v>1</v>
      </c>
      <c r="N42" s="32">
        <v>1</v>
      </c>
      <c r="O42" s="31">
        <v>1</v>
      </c>
      <c r="P42" s="31">
        <v>1</v>
      </c>
      <c r="Q42" s="31">
        <v>1</v>
      </c>
      <c r="R42" s="31">
        <v>1</v>
      </c>
      <c r="S42" s="31">
        <v>1</v>
      </c>
      <c r="T42" s="31">
        <v>1</v>
      </c>
      <c r="U42" s="31">
        <v>2</v>
      </c>
      <c r="V42" s="37">
        <v>1</v>
      </c>
      <c r="W42" s="47">
        <v>1</v>
      </c>
      <c r="X42" s="47">
        <v>1</v>
      </c>
      <c r="Y42" s="47">
        <v>1</v>
      </c>
      <c r="Z42" s="47">
        <v>1</v>
      </c>
      <c r="AA42" s="47">
        <v>1</v>
      </c>
      <c r="AB42" s="47">
        <v>1</v>
      </c>
      <c r="AC42" s="37">
        <v>1</v>
      </c>
      <c r="AD42" s="47">
        <v>1</v>
      </c>
      <c r="AE42" s="47">
        <v>1</v>
      </c>
      <c r="AF42" s="47">
        <v>1</v>
      </c>
      <c r="AG42" s="47">
        <v>1</v>
      </c>
      <c r="AH42" s="47">
        <v>1</v>
      </c>
      <c r="AI42" s="48">
        <v>1</v>
      </c>
      <c r="AJ42" s="58">
        <v>1</v>
      </c>
      <c r="AK42" s="53">
        <v>1</v>
      </c>
      <c r="AL42" s="53">
        <v>1</v>
      </c>
      <c r="AM42" s="53">
        <v>1</v>
      </c>
      <c r="AN42" s="53">
        <v>1</v>
      </c>
      <c r="AO42" s="53">
        <v>1</v>
      </c>
      <c r="AP42" s="53">
        <v>1</v>
      </c>
      <c r="AQ42" s="53">
        <v>3</v>
      </c>
      <c r="AR42" s="53">
        <v>1</v>
      </c>
      <c r="AS42" s="53">
        <v>1</v>
      </c>
      <c r="AT42" s="53">
        <v>1</v>
      </c>
      <c r="AU42" s="53">
        <v>1</v>
      </c>
      <c r="AV42" s="53">
        <v>1</v>
      </c>
      <c r="AW42" s="53">
        <v>4</v>
      </c>
      <c r="AX42" s="68">
        <v>1</v>
      </c>
      <c r="AY42" s="69">
        <v>1</v>
      </c>
      <c r="AZ42" s="69">
        <v>1</v>
      </c>
      <c r="BA42" s="69">
        <v>1</v>
      </c>
      <c r="BB42" s="69">
        <v>1</v>
      </c>
      <c r="BC42" s="69">
        <v>1</v>
      </c>
      <c r="BD42" s="69">
        <v>1</v>
      </c>
      <c r="BE42" s="69">
        <v>3</v>
      </c>
      <c r="BF42" s="69">
        <v>1</v>
      </c>
      <c r="BG42" s="69">
        <v>1</v>
      </c>
      <c r="BH42" s="69">
        <v>1</v>
      </c>
      <c r="BI42" s="69">
        <v>1</v>
      </c>
      <c r="BJ42" s="69">
        <v>1</v>
      </c>
      <c r="BK42" s="70">
        <v>1</v>
      </c>
    </row>
    <row r="43" spans="7:63">
      <c r="G43" s="84">
        <v>39</v>
      </c>
      <c r="H43" s="30">
        <v>1</v>
      </c>
      <c r="I43" s="31">
        <v>1</v>
      </c>
      <c r="J43" s="31">
        <v>1</v>
      </c>
      <c r="K43" s="31">
        <v>1</v>
      </c>
      <c r="L43" s="31">
        <v>1</v>
      </c>
      <c r="M43" s="31">
        <v>1</v>
      </c>
      <c r="N43" s="32">
        <v>1</v>
      </c>
      <c r="O43" s="31">
        <v>1</v>
      </c>
      <c r="P43" s="31">
        <v>1</v>
      </c>
      <c r="Q43" s="31">
        <v>1</v>
      </c>
      <c r="R43" s="31">
        <v>1</v>
      </c>
      <c r="S43" s="31">
        <v>1</v>
      </c>
      <c r="T43" s="31">
        <v>1</v>
      </c>
      <c r="U43" s="31">
        <v>2</v>
      </c>
      <c r="V43" s="37">
        <v>1</v>
      </c>
      <c r="W43" s="47">
        <v>1</v>
      </c>
      <c r="X43" s="47">
        <v>1</v>
      </c>
      <c r="Y43" s="47">
        <v>1</v>
      </c>
      <c r="Z43" s="47">
        <v>1</v>
      </c>
      <c r="AA43" s="47">
        <v>1</v>
      </c>
      <c r="AB43" s="47">
        <v>1</v>
      </c>
      <c r="AC43" s="37">
        <v>1</v>
      </c>
      <c r="AD43" s="47">
        <v>1</v>
      </c>
      <c r="AE43" s="47">
        <v>1</v>
      </c>
      <c r="AF43" s="47">
        <v>1</v>
      </c>
      <c r="AG43" s="47">
        <v>1</v>
      </c>
      <c r="AH43" s="47">
        <v>1</v>
      </c>
      <c r="AI43" s="48">
        <v>1</v>
      </c>
      <c r="AJ43" s="58">
        <v>1</v>
      </c>
      <c r="AK43" s="53">
        <v>1</v>
      </c>
      <c r="AL43" s="53">
        <v>1</v>
      </c>
      <c r="AM43" s="53">
        <v>1</v>
      </c>
      <c r="AN43" s="53">
        <v>1</v>
      </c>
      <c r="AO43" s="53">
        <v>1</v>
      </c>
      <c r="AP43" s="53">
        <v>1</v>
      </c>
      <c r="AQ43" s="53">
        <v>3</v>
      </c>
      <c r="AR43" s="53">
        <v>2</v>
      </c>
      <c r="AS43" s="53">
        <v>1</v>
      </c>
      <c r="AT43" s="53">
        <v>1</v>
      </c>
      <c r="AU43" s="53">
        <v>1</v>
      </c>
      <c r="AV43" s="53">
        <v>1</v>
      </c>
      <c r="AW43" s="53">
        <v>4</v>
      </c>
      <c r="AX43" s="68">
        <v>2</v>
      </c>
      <c r="AY43" s="69">
        <v>1</v>
      </c>
      <c r="AZ43" s="69">
        <v>1</v>
      </c>
      <c r="BA43" s="69">
        <v>1</v>
      </c>
      <c r="BB43" s="69">
        <v>1</v>
      </c>
      <c r="BC43" s="69">
        <v>1</v>
      </c>
      <c r="BD43" s="69">
        <v>1</v>
      </c>
      <c r="BE43" s="69">
        <v>3</v>
      </c>
      <c r="BF43" s="69">
        <v>1</v>
      </c>
      <c r="BG43" s="69">
        <v>1</v>
      </c>
      <c r="BH43" s="69">
        <v>1</v>
      </c>
      <c r="BI43" s="69">
        <v>1</v>
      </c>
      <c r="BJ43" s="69">
        <v>1</v>
      </c>
      <c r="BK43" s="70">
        <v>1</v>
      </c>
    </row>
    <row r="44" spans="7:63">
      <c r="G44" s="84">
        <v>40</v>
      </c>
      <c r="H44" s="30">
        <v>1</v>
      </c>
      <c r="I44" s="31">
        <v>1</v>
      </c>
      <c r="J44" s="31">
        <v>1</v>
      </c>
      <c r="K44" s="31">
        <v>1</v>
      </c>
      <c r="L44" s="31">
        <v>1</v>
      </c>
      <c r="M44" s="31">
        <v>1</v>
      </c>
      <c r="N44" s="32">
        <v>1</v>
      </c>
      <c r="O44" s="31">
        <v>1</v>
      </c>
      <c r="P44" s="31">
        <v>1</v>
      </c>
      <c r="Q44" s="31">
        <v>1</v>
      </c>
      <c r="R44" s="31">
        <v>1</v>
      </c>
      <c r="S44" s="31">
        <v>1</v>
      </c>
      <c r="T44" s="31">
        <v>1</v>
      </c>
      <c r="U44" s="31">
        <v>2</v>
      </c>
      <c r="V44" s="37">
        <v>1</v>
      </c>
      <c r="W44" s="47">
        <v>1</v>
      </c>
      <c r="X44" s="47">
        <v>1</v>
      </c>
      <c r="Y44" s="47">
        <v>1</v>
      </c>
      <c r="Z44" s="47">
        <v>1</v>
      </c>
      <c r="AA44" s="47">
        <v>1</v>
      </c>
      <c r="AB44" s="47">
        <v>1</v>
      </c>
      <c r="AC44" s="37">
        <v>1</v>
      </c>
      <c r="AD44" s="47">
        <v>1</v>
      </c>
      <c r="AE44" s="47">
        <v>1</v>
      </c>
      <c r="AF44" s="47">
        <v>1</v>
      </c>
      <c r="AG44" s="47">
        <v>1</v>
      </c>
      <c r="AH44" s="47">
        <v>1</v>
      </c>
      <c r="AI44" s="48">
        <v>1</v>
      </c>
      <c r="AJ44" s="58">
        <v>1</v>
      </c>
      <c r="AK44" s="53">
        <v>1</v>
      </c>
      <c r="AL44" s="53">
        <v>1</v>
      </c>
      <c r="AM44" s="53">
        <v>1</v>
      </c>
      <c r="AN44" s="53">
        <v>1</v>
      </c>
      <c r="AO44" s="53">
        <v>1</v>
      </c>
      <c r="AP44" s="53">
        <v>1</v>
      </c>
      <c r="AQ44" s="53">
        <v>4</v>
      </c>
      <c r="AR44" s="53">
        <v>2</v>
      </c>
      <c r="AS44" s="53">
        <v>1</v>
      </c>
      <c r="AT44" s="53">
        <v>1</v>
      </c>
      <c r="AU44" s="53">
        <v>1</v>
      </c>
      <c r="AV44" s="53">
        <v>2</v>
      </c>
      <c r="AW44" s="53">
        <v>5</v>
      </c>
      <c r="AX44" s="68">
        <v>2</v>
      </c>
      <c r="AY44" s="69">
        <v>1</v>
      </c>
      <c r="AZ44" s="69">
        <v>1</v>
      </c>
      <c r="BA44" s="69">
        <v>1</v>
      </c>
      <c r="BB44" s="69">
        <v>1</v>
      </c>
      <c r="BC44" s="69">
        <v>1</v>
      </c>
      <c r="BD44" s="69">
        <v>1</v>
      </c>
      <c r="BE44" s="69">
        <v>3</v>
      </c>
      <c r="BF44" s="69">
        <v>1</v>
      </c>
      <c r="BG44" s="69">
        <v>1</v>
      </c>
      <c r="BH44" s="69">
        <v>1</v>
      </c>
      <c r="BI44" s="69">
        <v>1</v>
      </c>
      <c r="BJ44" s="69">
        <v>1</v>
      </c>
      <c r="BK44" s="70">
        <v>1</v>
      </c>
    </row>
    <row r="45" spans="7:63">
      <c r="G45" s="84">
        <v>41</v>
      </c>
      <c r="H45" s="30">
        <v>1</v>
      </c>
      <c r="I45" s="31">
        <v>1</v>
      </c>
      <c r="J45" s="31">
        <v>1</v>
      </c>
      <c r="K45" s="31">
        <v>1</v>
      </c>
      <c r="L45" s="31">
        <v>1</v>
      </c>
      <c r="M45" s="31">
        <v>1</v>
      </c>
      <c r="N45" s="32">
        <v>1</v>
      </c>
      <c r="O45" s="31">
        <v>1</v>
      </c>
      <c r="P45" s="31">
        <v>1</v>
      </c>
      <c r="Q45" s="31">
        <v>1</v>
      </c>
      <c r="R45" s="31">
        <v>1</v>
      </c>
      <c r="S45" s="31">
        <v>1</v>
      </c>
      <c r="T45" s="31">
        <v>1</v>
      </c>
      <c r="U45" s="31">
        <v>2</v>
      </c>
      <c r="V45" s="37">
        <v>1</v>
      </c>
      <c r="W45" s="47">
        <v>1</v>
      </c>
      <c r="X45" s="47">
        <v>1</v>
      </c>
      <c r="Y45" s="47">
        <v>1</v>
      </c>
      <c r="Z45" s="47">
        <v>1</v>
      </c>
      <c r="AA45" s="47">
        <v>1</v>
      </c>
      <c r="AB45" s="47">
        <v>1</v>
      </c>
      <c r="AC45" s="37">
        <v>1</v>
      </c>
      <c r="AD45" s="47">
        <v>1</v>
      </c>
      <c r="AE45" s="47">
        <v>1</v>
      </c>
      <c r="AF45" s="47">
        <v>1</v>
      </c>
      <c r="AG45" s="47">
        <v>1</v>
      </c>
      <c r="AH45" s="47">
        <v>1</v>
      </c>
      <c r="AI45" s="48">
        <v>2</v>
      </c>
      <c r="AJ45" s="58">
        <v>2</v>
      </c>
      <c r="AK45" s="53">
        <v>2</v>
      </c>
      <c r="AL45" s="53">
        <v>2</v>
      </c>
      <c r="AM45" s="53">
        <v>2</v>
      </c>
      <c r="AN45" s="53">
        <v>1</v>
      </c>
      <c r="AO45" s="53">
        <v>1</v>
      </c>
      <c r="AP45" s="53">
        <v>1</v>
      </c>
      <c r="AQ45" s="53">
        <v>4</v>
      </c>
      <c r="AR45" s="53">
        <v>2</v>
      </c>
      <c r="AS45" s="53">
        <v>1</v>
      </c>
      <c r="AT45" s="53">
        <v>1</v>
      </c>
      <c r="AU45" s="53">
        <v>1</v>
      </c>
      <c r="AV45" s="53">
        <v>2</v>
      </c>
      <c r="AW45" s="53">
        <v>5</v>
      </c>
      <c r="AX45" s="68">
        <v>2</v>
      </c>
      <c r="AY45" s="69">
        <v>1</v>
      </c>
      <c r="AZ45" s="69">
        <v>1</v>
      </c>
      <c r="BA45" s="69">
        <v>1</v>
      </c>
      <c r="BB45" s="69">
        <v>1</v>
      </c>
      <c r="BC45" s="69">
        <v>1</v>
      </c>
      <c r="BD45" s="69">
        <v>1</v>
      </c>
      <c r="BE45" s="69">
        <v>4</v>
      </c>
      <c r="BF45" s="69">
        <v>1</v>
      </c>
      <c r="BG45" s="69">
        <v>1</v>
      </c>
      <c r="BH45" s="69">
        <v>1</v>
      </c>
      <c r="BI45" s="69">
        <v>1</v>
      </c>
      <c r="BJ45" s="69">
        <v>1</v>
      </c>
      <c r="BK45" s="70">
        <v>1</v>
      </c>
    </row>
    <row r="46" spans="7:63">
      <c r="G46" s="84">
        <v>42</v>
      </c>
      <c r="H46" s="30">
        <v>2</v>
      </c>
      <c r="I46" s="31">
        <v>1</v>
      </c>
      <c r="J46" s="31">
        <v>1</v>
      </c>
      <c r="K46" s="31">
        <v>1</v>
      </c>
      <c r="L46" s="31">
        <v>1</v>
      </c>
      <c r="M46" s="31">
        <v>1</v>
      </c>
      <c r="N46" s="32">
        <v>1</v>
      </c>
      <c r="O46" s="31">
        <v>2</v>
      </c>
      <c r="P46" s="31">
        <v>1</v>
      </c>
      <c r="Q46" s="31">
        <v>1</v>
      </c>
      <c r="R46" s="31">
        <v>1</v>
      </c>
      <c r="S46" s="31">
        <v>1</v>
      </c>
      <c r="T46" s="31">
        <v>1</v>
      </c>
      <c r="U46" s="31">
        <v>3</v>
      </c>
      <c r="V46" s="37">
        <v>1</v>
      </c>
      <c r="W46" s="47">
        <v>1</v>
      </c>
      <c r="X46" s="47">
        <v>1</v>
      </c>
      <c r="Y46" s="47">
        <v>1</v>
      </c>
      <c r="Z46" s="47">
        <v>1</v>
      </c>
      <c r="AA46" s="47">
        <v>1</v>
      </c>
      <c r="AB46" s="47">
        <v>1</v>
      </c>
      <c r="AC46" s="37">
        <v>1</v>
      </c>
      <c r="AD46" s="47">
        <v>1</v>
      </c>
      <c r="AE46" s="47">
        <v>1</v>
      </c>
      <c r="AF46" s="47">
        <v>1</v>
      </c>
      <c r="AG46" s="47">
        <v>1</v>
      </c>
      <c r="AH46" s="47">
        <v>1</v>
      </c>
      <c r="AI46" s="48">
        <v>2</v>
      </c>
      <c r="AJ46" s="58">
        <v>2</v>
      </c>
      <c r="AK46" s="53">
        <v>2</v>
      </c>
      <c r="AL46" s="53">
        <v>2</v>
      </c>
      <c r="AM46" s="53">
        <v>2</v>
      </c>
      <c r="AN46" s="53">
        <v>2</v>
      </c>
      <c r="AO46" s="53">
        <v>2</v>
      </c>
      <c r="AP46" s="53">
        <v>2</v>
      </c>
      <c r="AQ46" s="53">
        <v>4</v>
      </c>
      <c r="AR46" s="53">
        <v>2</v>
      </c>
      <c r="AS46" s="53">
        <v>1</v>
      </c>
      <c r="AT46" s="53">
        <v>1</v>
      </c>
      <c r="AU46" s="53">
        <v>1</v>
      </c>
      <c r="AV46" s="53">
        <v>2</v>
      </c>
      <c r="AW46" s="53">
        <v>5</v>
      </c>
      <c r="AX46" s="68">
        <v>2</v>
      </c>
      <c r="AY46" s="69">
        <v>2</v>
      </c>
      <c r="AZ46" s="69">
        <v>1</v>
      </c>
      <c r="BA46" s="69">
        <v>1</v>
      </c>
      <c r="BB46" s="69">
        <v>1</v>
      </c>
      <c r="BC46" s="69">
        <v>1</v>
      </c>
      <c r="BD46" s="69">
        <v>1</v>
      </c>
      <c r="BE46" s="69">
        <v>4</v>
      </c>
      <c r="BF46" s="69">
        <v>1</v>
      </c>
      <c r="BG46" s="69">
        <v>1</v>
      </c>
      <c r="BH46" s="69">
        <v>1</v>
      </c>
      <c r="BI46" s="69">
        <v>1</v>
      </c>
      <c r="BJ46" s="69">
        <v>1</v>
      </c>
      <c r="BK46" s="70">
        <v>2</v>
      </c>
    </row>
    <row r="47" spans="7:63">
      <c r="G47" s="84">
        <v>43</v>
      </c>
      <c r="H47" s="30">
        <v>2</v>
      </c>
      <c r="I47" s="31">
        <v>1</v>
      </c>
      <c r="J47" s="31">
        <v>1</v>
      </c>
      <c r="K47" s="31">
        <v>1</v>
      </c>
      <c r="L47" s="31">
        <v>1</v>
      </c>
      <c r="M47" s="31">
        <v>1</v>
      </c>
      <c r="N47" s="32">
        <v>1</v>
      </c>
      <c r="O47" s="31">
        <v>2</v>
      </c>
      <c r="P47" s="31">
        <v>1</v>
      </c>
      <c r="Q47" s="31">
        <v>1</v>
      </c>
      <c r="R47" s="31">
        <v>1</v>
      </c>
      <c r="S47" s="31">
        <v>1</v>
      </c>
      <c r="T47" s="31">
        <v>1</v>
      </c>
      <c r="U47" s="31">
        <v>3</v>
      </c>
      <c r="V47" s="37">
        <v>1</v>
      </c>
      <c r="W47" s="47">
        <v>1</v>
      </c>
      <c r="X47" s="47">
        <v>1</v>
      </c>
      <c r="Y47" s="47">
        <v>1</v>
      </c>
      <c r="Z47" s="47">
        <v>1</v>
      </c>
      <c r="AA47" s="47">
        <v>1</v>
      </c>
      <c r="AB47" s="47">
        <v>1</v>
      </c>
      <c r="AC47" s="37">
        <v>1</v>
      </c>
      <c r="AD47" s="47">
        <v>1</v>
      </c>
      <c r="AE47" s="47">
        <v>1</v>
      </c>
      <c r="AF47" s="47">
        <v>1</v>
      </c>
      <c r="AG47" s="47">
        <v>1</v>
      </c>
      <c r="AH47" s="47">
        <v>1</v>
      </c>
      <c r="AI47" s="48">
        <v>2</v>
      </c>
      <c r="AJ47" s="58">
        <v>2</v>
      </c>
      <c r="AK47" s="53">
        <v>2</v>
      </c>
      <c r="AL47" s="53">
        <v>2</v>
      </c>
      <c r="AM47" s="53">
        <v>2</v>
      </c>
      <c r="AN47" s="53">
        <v>2</v>
      </c>
      <c r="AO47" s="53">
        <v>2</v>
      </c>
      <c r="AP47" s="53">
        <v>2</v>
      </c>
      <c r="AQ47" s="53">
        <v>4</v>
      </c>
      <c r="AR47" s="53">
        <v>3</v>
      </c>
      <c r="AS47" s="53">
        <v>1</v>
      </c>
      <c r="AT47" s="53">
        <v>1</v>
      </c>
      <c r="AU47" s="53">
        <v>1</v>
      </c>
      <c r="AV47" s="53">
        <v>2</v>
      </c>
      <c r="AW47" s="53">
        <v>5</v>
      </c>
      <c r="AX47" s="68">
        <v>3</v>
      </c>
      <c r="AY47" s="69">
        <v>2</v>
      </c>
      <c r="AZ47" s="69">
        <v>1</v>
      </c>
      <c r="BA47" s="69">
        <v>1</v>
      </c>
      <c r="BB47" s="69">
        <v>1</v>
      </c>
      <c r="BC47" s="69">
        <v>1</v>
      </c>
      <c r="BD47" s="69">
        <v>2</v>
      </c>
      <c r="BE47" s="69">
        <v>4</v>
      </c>
      <c r="BF47" s="69">
        <v>1</v>
      </c>
      <c r="BG47" s="69">
        <v>1</v>
      </c>
      <c r="BH47" s="69">
        <v>1</v>
      </c>
      <c r="BI47" s="69">
        <v>1</v>
      </c>
      <c r="BJ47" s="69">
        <v>2</v>
      </c>
      <c r="BK47" s="70">
        <v>2</v>
      </c>
    </row>
    <row r="48" spans="7:63">
      <c r="G48" s="84">
        <v>44</v>
      </c>
      <c r="H48" s="30">
        <v>2</v>
      </c>
      <c r="I48" s="31">
        <v>1</v>
      </c>
      <c r="J48" s="31">
        <v>1</v>
      </c>
      <c r="K48" s="31">
        <v>1</v>
      </c>
      <c r="L48" s="31">
        <v>1</v>
      </c>
      <c r="M48" s="31">
        <v>1</v>
      </c>
      <c r="N48" s="32">
        <v>1</v>
      </c>
      <c r="O48" s="31">
        <v>2</v>
      </c>
      <c r="P48" s="31">
        <v>1</v>
      </c>
      <c r="Q48" s="31">
        <v>1</v>
      </c>
      <c r="R48" s="31">
        <v>1</v>
      </c>
      <c r="S48" s="31">
        <v>1</v>
      </c>
      <c r="T48" s="31">
        <v>2</v>
      </c>
      <c r="U48" s="31">
        <v>3</v>
      </c>
      <c r="V48" s="37">
        <v>1</v>
      </c>
      <c r="W48" s="47">
        <v>1</v>
      </c>
      <c r="X48" s="47">
        <v>1</v>
      </c>
      <c r="Y48" s="47">
        <v>1</v>
      </c>
      <c r="Z48" s="47">
        <v>1</v>
      </c>
      <c r="AA48" s="47">
        <v>1</v>
      </c>
      <c r="AB48" s="47">
        <v>1</v>
      </c>
      <c r="AC48" s="37">
        <v>1</v>
      </c>
      <c r="AD48" s="47">
        <v>1</v>
      </c>
      <c r="AE48" s="47">
        <v>1</v>
      </c>
      <c r="AF48" s="47">
        <v>1</v>
      </c>
      <c r="AG48" s="47">
        <v>1</v>
      </c>
      <c r="AH48" s="47">
        <v>1</v>
      </c>
      <c r="AI48" s="48">
        <v>2</v>
      </c>
      <c r="AJ48" s="58">
        <v>3</v>
      </c>
      <c r="AK48" s="53">
        <v>2</v>
      </c>
      <c r="AL48" s="53">
        <v>2</v>
      </c>
      <c r="AM48" s="53">
        <v>2</v>
      </c>
      <c r="AN48" s="53">
        <v>2</v>
      </c>
      <c r="AO48" s="53">
        <v>2</v>
      </c>
      <c r="AP48" s="53">
        <v>2</v>
      </c>
      <c r="AQ48" s="53">
        <v>4</v>
      </c>
      <c r="AR48" s="53">
        <v>3</v>
      </c>
      <c r="AS48" s="53">
        <v>1</v>
      </c>
      <c r="AT48" s="53">
        <v>1</v>
      </c>
      <c r="AU48" s="53">
        <v>1</v>
      </c>
      <c r="AV48" s="53">
        <v>3</v>
      </c>
      <c r="AW48" s="53">
        <v>5</v>
      </c>
      <c r="AX48" s="68">
        <v>3</v>
      </c>
      <c r="AY48" s="69">
        <v>2</v>
      </c>
      <c r="AZ48" s="69">
        <v>2</v>
      </c>
      <c r="BA48" s="69">
        <v>1</v>
      </c>
      <c r="BB48" s="69">
        <v>1</v>
      </c>
      <c r="BC48" s="69">
        <v>2</v>
      </c>
      <c r="BD48" s="69">
        <v>2</v>
      </c>
      <c r="BE48" s="69">
        <v>4</v>
      </c>
      <c r="BF48" s="69">
        <v>1</v>
      </c>
      <c r="BG48" s="69">
        <v>1</v>
      </c>
      <c r="BH48" s="69">
        <v>1</v>
      </c>
      <c r="BI48" s="69">
        <v>1</v>
      </c>
      <c r="BJ48" s="69">
        <v>2</v>
      </c>
      <c r="BK48" s="70">
        <v>2</v>
      </c>
    </row>
    <row r="49" spans="7:63">
      <c r="G49" s="84">
        <v>45</v>
      </c>
      <c r="H49" s="30">
        <v>2</v>
      </c>
      <c r="I49" s="31">
        <v>2</v>
      </c>
      <c r="J49" s="31">
        <v>1</v>
      </c>
      <c r="K49" s="31">
        <v>1</v>
      </c>
      <c r="L49" s="31">
        <v>1</v>
      </c>
      <c r="M49" s="31">
        <v>1</v>
      </c>
      <c r="N49" s="32">
        <v>1</v>
      </c>
      <c r="O49" s="31">
        <v>2</v>
      </c>
      <c r="P49" s="31">
        <v>1</v>
      </c>
      <c r="Q49" s="31">
        <v>1</v>
      </c>
      <c r="R49" s="31">
        <v>1</v>
      </c>
      <c r="S49" s="31">
        <v>1</v>
      </c>
      <c r="T49" s="31">
        <v>2</v>
      </c>
      <c r="U49" s="31">
        <v>3</v>
      </c>
      <c r="V49" s="37">
        <v>1</v>
      </c>
      <c r="W49" s="47">
        <v>1</v>
      </c>
      <c r="X49" s="47">
        <v>1</v>
      </c>
      <c r="Y49" s="47">
        <v>1</v>
      </c>
      <c r="Z49" s="47">
        <v>1</v>
      </c>
      <c r="AA49" s="47">
        <v>1</v>
      </c>
      <c r="AB49" s="47">
        <v>1</v>
      </c>
      <c r="AC49" s="37">
        <v>1</v>
      </c>
      <c r="AD49" s="47">
        <v>1</v>
      </c>
      <c r="AE49" s="47">
        <v>1</v>
      </c>
      <c r="AF49" s="47">
        <v>1</v>
      </c>
      <c r="AG49" s="47">
        <v>1</v>
      </c>
      <c r="AH49" s="47">
        <v>1</v>
      </c>
      <c r="AI49" s="48">
        <v>3</v>
      </c>
      <c r="AJ49" s="58">
        <v>3</v>
      </c>
      <c r="AK49" s="53">
        <v>3</v>
      </c>
      <c r="AL49" s="53">
        <v>3</v>
      </c>
      <c r="AM49" s="53">
        <v>3</v>
      </c>
      <c r="AN49" s="53">
        <v>3</v>
      </c>
      <c r="AO49" s="53">
        <v>2</v>
      </c>
      <c r="AP49" s="53">
        <v>2</v>
      </c>
      <c r="AQ49" s="53">
        <v>5</v>
      </c>
      <c r="AR49" s="53">
        <v>3</v>
      </c>
      <c r="AS49" s="53">
        <v>1</v>
      </c>
      <c r="AT49" s="53">
        <v>1</v>
      </c>
      <c r="AU49" s="53">
        <v>1</v>
      </c>
      <c r="AV49" s="53">
        <v>3</v>
      </c>
      <c r="AW49" s="53">
        <v>5</v>
      </c>
      <c r="AX49" s="68">
        <v>3</v>
      </c>
      <c r="AY49" s="69">
        <v>2</v>
      </c>
      <c r="AZ49" s="69">
        <v>2</v>
      </c>
      <c r="BA49" s="69">
        <v>2</v>
      </c>
      <c r="BB49" s="69">
        <v>1</v>
      </c>
      <c r="BC49" s="69">
        <v>2</v>
      </c>
      <c r="BD49" s="69">
        <v>2</v>
      </c>
      <c r="BE49" s="69">
        <v>4</v>
      </c>
      <c r="BF49" s="69">
        <v>1</v>
      </c>
      <c r="BG49" s="69">
        <v>1</v>
      </c>
      <c r="BH49" s="69">
        <v>1</v>
      </c>
      <c r="BI49" s="69">
        <v>1</v>
      </c>
      <c r="BJ49" s="69">
        <v>2</v>
      </c>
      <c r="BK49" s="70">
        <v>2</v>
      </c>
    </row>
    <row r="50" spans="7:63">
      <c r="G50" s="84">
        <v>46</v>
      </c>
      <c r="H50" s="30">
        <v>3</v>
      </c>
      <c r="I50" s="31">
        <v>2</v>
      </c>
      <c r="J50" s="31">
        <v>1</v>
      </c>
      <c r="K50" s="31">
        <v>1</v>
      </c>
      <c r="L50" s="31">
        <v>1</v>
      </c>
      <c r="M50" s="31">
        <v>1</v>
      </c>
      <c r="N50" s="32">
        <v>2</v>
      </c>
      <c r="O50" s="31">
        <v>3</v>
      </c>
      <c r="P50" s="31">
        <v>1</v>
      </c>
      <c r="Q50" s="31">
        <v>1</v>
      </c>
      <c r="R50" s="31">
        <v>1</v>
      </c>
      <c r="S50" s="31">
        <v>1</v>
      </c>
      <c r="T50" s="31">
        <v>2</v>
      </c>
      <c r="U50" s="31">
        <v>4</v>
      </c>
      <c r="V50" s="37">
        <v>1</v>
      </c>
      <c r="W50" s="47">
        <v>1</v>
      </c>
      <c r="X50" s="47">
        <v>1</v>
      </c>
      <c r="Y50" s="47">
        <v>1</v>
      </c>
      <c r="Z50" s="47">
        <v>1</v>
      </c>
      <c r="AA50" s="47">
        <v>1</v>
      </c>
      <c r="AB50" s="47">
        <v>1</v>
      </c>
      <c r="AC50" s="37">
        <v>1</v>
      </c>
      <c r="AD50" s="47">
        <v>1</v>
      </c>
      <c r="AE50" s="47">
        <v>1</v>
      </c>
      <c r="AF50" s="47">
        <v>1</v>
      </c>
      <c r="AG50" s="47">
        <v>1</v>
      </c>
      <c r="AH50" s="47">
        <v>1</v>
      </c>
      <c r="AI50" s="48">
        <v>3</v>
      </c>
      <c r="AJ50" s="58">
        <v>3</v>
      </c>
      <c r="AK50" s="53">
        <v>3</v>
      </c>
      <c r="AL50" s="53">
        <v>3</v>
      </c>
      <c r="AM50" s="53">
        <v>3</v>
      </c>
      <c r="AN50" s="53">
        <v>3</v>
      </c>
      <c r="AO50" s="53">
        <v>3</v>
      </c>
      <c r="AP50" s="53">
        <v>3</v>
      </c>
      <c r="AQ50" s="53">
        <v>5</v>
      </c>
      <c r="AR50" s="53">
        <v>3</v>
      </c>
      <c r="AS50" s="53">
        <v>2</v>
      </c>
      <c r="AT50" s="53">
        <v>1</v>
      </c>
      <c r="AU50" s="53">
        <v>1</v>
      </c>
      <c r="AV50" s="53">
        <v>3</v>
      </c>
      <c r="AW50" s="53">
        <v>6</v>
      </c>
      <c r="AX50" s="68">
        <v>3</v>
      </c>
      <c r="AY50" s="69">
        <v>3</v>
      </c>
      <c r="AZ50" s="69">
        <v>2</v>
      </c>
      <c r="BA50" s="69">
        <v>2</v>
      </c>
      <c r="BB50" s="69">
        <v>2</v>
      </c>
      <c r="BC50" s="69">
        <v>2</v>
      </c>
      <c r="BD50" s="69">
        <v>2</v>
      </c>
      <c r="BE50" s="69">
        <v>5</v>
      </c>
      <c r="BF50" s="69">
        <v>2</v>
      </c>
      <c r="BG50" s="69">
        <v>1</v>
      </c>
      <c r="BH50" s="69">
        <v>1</v>
      </c>
      <c r="BI50" s="69">
        <v>1</v>
      </c>
      <c r="BJ50" s="69">
        <v>3</v>
      </c>
      <c r="BK50" s="70">
        <v>3</v>
      </c>
    </row>
    <row r="51" spans="7:63">
      <c r="G51" s="84">
        <v>47</v>
      </c>
      <c r="H51" s="30">
        <v>3</v>
      </c>
      <c r="I51" s="31">
        <v>2</v>
      </c>
      <c r="J51" s="31">
        <v>2</v>
      </c>
      <c r="K51" s="31">
        <v>1</v>
      </c>
      <c r="L51" s="31">
        <v>1</v>
      </c>
      <c r="M51" s="31">
        <v>2</v>
      </c>
      <c r="N51" s="32">
        <v>2</v>
      </c>
      <c r="O51" s="31">
        <v>3</v>
      </c>
      <c r="P51" s="31">
        <v>1</v>
      </c>
      <c r="Q51" s="31">
        <v>1</v>
      </c>
      <c r="R51" s="31">
        <v>1</v>
      </c>
      <c r="S51" s="31">
        <v>1</v>
      </c>
      <c r="T51" s="31">
        <v>2</v>
      </c>
      <c r="U51" s="31">
        <v>4</v>
      </c>
      <c r="V51" s="37">
        <v>1</v>
      </c>
      <c r="W51" s="47">
        <v>1</v>
      </c>
      <c r="X51" s="47">
        <v>1</v>
      </c>
      <c r="Y51" s="47">
        <v>1</v>
      </c>
      <c r="Z51" s="47">
        <v>1</v>
      </c>
      <c r="AA51" s="47">
        <v>1</v>
      </c>
      <c r="AB51" s="47">
        <v>1</v>
      </c>
      <c r="AC51" s="37">
        <v>1</v>
      </c>
      <c r="AD51" s="47">
        <v>1</v>
      </c>
      <c r="AE51" s="47">
        <v>1</v>
      </c>
      <c r="AF51" s="47">
        <v>1</v>
      </c>
      <c r="AG51" s="47">
        <v>1</v>
      </c>
      <c r="AH51" s="47">
        <v>1</v>
      </c>
      <c r="AI51" s="48">
        <v>3</v>
      </c>
      <c r="AJ51" s="58">
        <v>3</v>
      </c>
      <c r="AK51" s="53">
        <v>3</v>
      </c>
      <c r="AL51" s="53">
        <v>3</v>
      </c>
      <c r="AM51" s="53">
        <v>3</v>
      </c>
      <c r="AN51" s="53">
        <v>3</v>
      </c>
      <c r="AO51" s="53">
        <v>3</v>
      </c>
      <c r="AP51" s="53">
        <v>3</v>
      </c>
      <c r="AQ51" s="53">
        <v>5</v>
      </c>
      <c r="AR51" s="53">
        <v>4</v>
      </c>
      <c r="AS51" s="53">
        <v>2</v>
      </c>
      <c r="AT51" s="53">
        <v>1</v>
      </c>
      <c r="AU51" s="53">
        <v>1</v>
      </c>
      <c r="AV51" s="53">
        <v>3</v>
      </c>
      <c r="AW51" s="53">
        <v>6</v>
      </c>
      <c r="AX51" s="68">
        <v>4</v>
      </c>
      <c r="AY51" s="69">
        <v>3</v>
      </c>
      <c r="AZ51" s="69">
        <v>2</v>
      </c>
      <c r="BA51" s="69">
        <v>2</v>
      </c>
      <c r="BB51" s="69">
        <v>2</v>
      </c>
      <c r="BC51" s="69">
        <v>2</v>
      </c>
      <c r="BD51" s="69">
        <v>3</v>
      </c>
      <c r="BE51" s="69">
        <v>5</v>
      </c>
      <c r="BF51" s="69">
        <v>2</v>
      </c>
      <c r="BG51" s="69">
        <v>1</v>
      </c>
      <c r="BH51" s="69">
        <v>1</v>
      </c>
      <c r="BI51" s="69">
        <v>2</v>
      </c>
      <c r="BJ51" s="69">
        <v>3</v>
      </c>
      <c r="BK51" s="70">
        <v>3</v>
      </c>
    </row>
    <row r="52" spans="7:63">
      <c r="G52" s="84">
        <v>48</v>
      </c>
      <c r="H52" s="30">
        <v>3</v>
      </c>
      <c r="I52" s="31">
        <v>3</v>
      </c>
      <c r="J52" s="31">
        <v>2</v>
      </c>
      <c r="K52" s="31">
        <v>2</v>
      </c>
      <c r="L52" s="31">
        <v>2</v>
      </c>
      <c r="M52" s="31">
        <v>2</v>
      </c>
      <c r="N52" s="32">
        <v>2</v>
      </c>
      <c r="O52" s="31">
        <v>3</v>
      </c>
      <c r="P52" s="31">
        <v>1</v>
      </c>
      <c r="Q52" s="31">
        <v>1</v>
      </c>
      <c r="R52" s="31">
        <v>1</v>
      </c>
      <c r="S52" s="31">
        <v>1</v>
      </c>
      <c r="T52" s="31">
        <v>3</v>
      </c>
      <c r="U52" s="31">
        <v>4</v>
      </c>
      <c r="V52" s="37">
        <v>1</v>
      </c>
      <c r="W52" s="47">
        <v>1</v>
      </c>
      <c r="X52" s="47">
        <v>1</v>
      </c>
      <c r="Y52" s="47">
        <v>1</v>
      </c>
      <c r="Z52" s="47">
        <v>1</v>
      </c>
      <c r="AA52" s="47">
        <v>1</v>
      </c>
      <c r="AB52" s="47">
        <v>1</v>
      </c>
      <c r="AC52" s="37">
        <v>1</v>
      </c>
      <c r="AD52" s="47">
        <v>1</v>
      </c>
      <c r="AE52" s="47">
        <v>1</v>
      </c>
      <c r="AF52" s="47">
        <v>1</v>
      </c>
      <c r="AG52" s="47">
        <v>1</v>
      </c>
      <c r="AH52" s="47">
        <v>1</v>
      </c>
      <c r="AI52" s="48">
        <v>3</v>
      </c>
      <c r="AJ52" s="58">
        <v>4</v>
      </c>
      <c r="AK52" s="53">
        <v>4</v>
      </c>
      <c r="AL52" s="53">
        <v>3</v>
      </c>
      <c r="AM52" s="53">
        <v>3</v>
      </c>
      <c r="AN52" s="53">
        <v>3</v>
      </c>
      <c r="AO52" s="53">
        <v>3</v>
      </c>
      <c r="AP52" s="53">
        <v>3</v>
      </c>
      <c r="AQ52" s="53">
        <v>5</v>
      </c>
      <c r="AR52" s="53">
        <v>4</v>
      </c>
      <c r="AS52" s="53">
        <v>2</v>
      </c>
      <c r="AT52" s="53">
        <v>1</v>
      </c>
      <c r="AU52" s="53">
        <v>2</v>
      </c>
      <c r="AV52" s="53">
        <v>4</v>
      </c>
      <c r="AW52" s="53">
        <v>6</v>
      </c>
      <c r="AX52" s="68">
        <v>4</v>
      </c>
      <c r="AY52" s="69">
        <v>3</v>
      </c>
      <c r="AZ52" s="69">
        <v>3</v>
      </c>
      <c r="BA52" s="69">
        <v>2</v>
      </c>
      <c r="BB52" s="69">
        <v>2</v>
      </c>
      <c r="BC52" s="69">
        <v>3</v>
      </c>
      <c r="BD52" s="69">
        <v>3</v>
      </c>
      <c r="BE52" s="69">
        <v>5</v>
      </c>
      <c r="BF52" s="69">
        <v>2</v>
      </c>
      <c r="BG52" s="69">
        <v>1</v>
      </c>
      <c r="BH52" s="69">
        <v>1</v>
      </c>
      <c r="BI52" s="69">
        <v>2</v>
      </c>
      <c r="BJ52" s="69">
        <v>3</v>
      </c>
      <c r="BK52" s="70">
        <v>3</v>
      </c>
    </row>
    <row r="53" spans="7:63">
      <c r="G53" s="84">
        <v>49</v>
      </c>
      <c r="H53" s="30">
        <v>4</v>
      </c>
      <c r="I53" s="31">
        <v>3</v>
      </c>
      <c r="J53" s="31">
        <v>2</v>
      </c>
      <c r="K53" s="31">
        <v>2</v>
      </c>
      <c r="L53" s="31">
        <v>2</v>
      </c>
      <c r="M53" s="31">
        <v>2</v>
      </c>
      <c r="N53" s="32">
        <v>3</v>
      </c>
      <c r="O53" s="31">
        <v>4</v>
      </c>
      <c r="P53" s="31">
        <v>1</v>
      </c>
      <c r="Q53" s="31">
        <v>1</v>
      </c>
      <c r="R53" s="31">
        <v>1</v>
      </c>
      <c r="S53" s="31">
        <v>1</v>
      </c>
      <c r="T53" s="31">
        <v>3</v>
      </c>
      <c r="U53" s="31">
        <v>4</v>
      </c>
      <c r="V53" s="37">
        <v>1</v>
      </c>
      <c r="W53" s="47">
        <v>1</v>
      </c>
      <c r="X53" s="47">
        <v>1</v>
      </c>
      <c r="Y53" s="47">
        <v>1</v>
      </c>
      <c r="Z53" s="47">
        <v>1</v>
      </c>
      <c r="AA53" s="47">
        <v>1</v>
      </c>
      <c r="AB53" s="47">
        <v>1</v>
      </c>
      <c r="AC53" s="37">
        <v>1</v>
      </c>
      <c r="AD53" s="47">
        <v>1</v>
      </c>
      <c r="AE53" s="47">
        <v>1</v>
      </c>
      <c r="AF53" s="47">
        <v>1</v>
      </c>
      <c r="AG53" s="47">
        <v>1</v>
      </c>
      <c r="AH53" s="47">
        <v>1</v>
      </c>
      <c r="AI53" s="48">
        <v>4</v>
      </c>
      <c r="AJ53" s="58">
        <v>4</v>
      </c>
      <c r="AK53" s="53">
        <v>4</v>
      </c>
      <c r="AL53" s="53">
        <v>4</v>
      </c>
      <c r="AM53" s="53">
        <v>4</v>
      </c>
      <c r="AN53" s="53">
        <v>4</v>
      </c>
      <c r="AO53" s="53">
        <v>3</v>
      </c>
      <c r="AP53" s="53">
        <v>3</v>
      </c>
      <c r="AQ53" s="53">
        <v>5</v>
      </c>
      <c r="AR53" s="53">
        <v>4</v>
      </c>
      <c r="AS53" s="53">
        <v>3</v>
      </c>
      <c r="AT53" s="53">
        <v>1</v>
      </c>
      <c r="AU53" s="53">
        <v>2</v>
      </c>
      <c r="AV53" s="53">
        <v>4</v>
      </c>
      <c r="AW53" s="53">
        <v>6</v>
      </c>
      <c r="AX53" s="68">
        <v>4</v>
      </c>
      <c r="AY53" s="69">
        <v>4</v>
      </c>
      <c r="AZ53" s="69">
        <v>3</v>
      </c>
      <c r="BA53" s="69">
        <v>3</v>
      </c>
      <c r="BB53" s="69">
        <v>3</v>
      </c>
      <c r="BC53" s="69">
        <v>3</v>
      </c>
      <c r="BD53" s="69">
        <v>3</v>
      </c>
      <c r="BE53" s="69">
        <v>5</v>
      </c>
      <c r="BF53" s="69">
        <v>3</v>
      </c>
      <c r="BG53" s="69">
        <v>1</v>
      </c>
      <c r="BH53" s="69">
        <v>1</v>
      </c>
      <c r="BI53" s="69">
        <v>2</v>
      </c>
      <c r="BJ53" s="69">
        <v>3</v>
      </c>
      <c r="BK53" s="70">
        <v>3</v>
      </c>
    </row>
    <row r="54" spans="7:63">
      <c r="G54" s="84">
        <v>50</v>
      </c>
      <c r="H54" s="30">
        <v>4</v>
      </c>
      <c r="I54" s="31">
        <v>3</v>
      </c>
      <c r="J54" s="31">
        <v>3</v>
      </c>
      <c r="K54" s="31">
        <v>2</v>
      </c>
      <c r="L54" s="31">
        <v>2</v>
      </c>
      <c r="M54" s="31">
        <v>2</v>
      </c>
      <c r="N54" s="32">
        <v>3</v>
      </c>
      <c r="O54" s="31">
        <v>4</v>
      </c>
      <c r="P54" s="31">
        <v>1</v>
      </c>
      <c r="Q54" s="31">
        <v>1</v>
      </c>
      <c r="R54" s="31">
        <v>1</v>
      </c>
      <c r="S54" s="31">
        <v>2</v>
      </c>
      <c r="T54" s="31">
        <v>3</v>
      </c>
      <c r="U54" s="31">
        <v>5</v>
      </c>
      <c r="V54" s="37">
        <v>1</v>
      </c>
      <c r="W54" s="47">
        <v>1</v>
      </c>
      <c r="X54" s="47">
        <v>1</v>
      </c>
      <c r="Y54" s="47">
        <v>1</v>
      </c>
      <c r="Z54" s="47">
        <v>1</v>
      </c>
      <c r="AA54" s="47">
        <v>1</v>
      </c>
      <c r="AB54" s="47">
        <v>1</v>
      </c>
      <c r="AC54" s="37">
        <v>1</v>
      </c>
      <c r="AD54" s="47">
        <v>1</v>
      </c>
      <c r="AE54" s="47">
        <v>1</v>
      </c>
      <c r="AF54" s="47">
        <v>1</v>
      </c>
      <c r="AG54" s="47">
        <v>1</v>
      </c>
      <c r="AH54" s="47">
        <v>1</v>
      </c>
      <c r="AI54" s="48">
        <v>4</v>
      </c>
      <c r="AJ54" s="58">
        <v>4</v>
      </c>
      <c r="AK54" s="53">
        <v>4</v>
      </c>
      <c r="AL54" s="53">
        <v>4</v>
      </c>
      <c r="AM54" s="53">
        <v>4</v>
      </c>
      <c r="AN54" s="53">
        <v>4</v>
      </c>
      <c r="AO54" s="53">
        <v>4</v>
      </c>
      <c r="AP54" s="53">
        <v>4</v>
      </c>
      <c r="AQ54" s="53">
        <v>6</v>
      </c>
      <c r="AR54" s="53">
        <v>4</v>
      </c>
      <c r="AS54" s="53">
        <v>3</v>
      </c>
      <c r="AT54" s="53">
        <v>2</v>
      </c>
      <c r="AU54" s="53">
        <v>2</v>
      </c>
      <c r="AV54" s="53">
        <v>4</v>
      </c>
      <c r="AW54" s="53">
        <v>6</v>
      </c>
      <c r="AX54" s="68">
        <v>4</v>
      </c>
      <c r="AY54" s="69">
        <v>4</v>
      </c>
      <c r="AZ54" s="69">
        <v>3</v>
      </c>
      <c r="BA54" s="69">
        <v>3</v>
      </c>
      <c r="BB54" s="69">
        <v>3</v>
      </c>
      <c r="BC54" s="69">
        <v>3</v>
      </c>
      <c r="BD54" s="69">
        <v>4</v>
      </c>
      <c r="BE54" s="69">
        <v>5</v>
      </c>
      <c r="BF54" s="69">
        <v>3</v>
      </c>
      <c r="BG54" s="69">
        <v>1</v>
      </c>
      <c r="BH54" s="69">
        <v>1</v>
      </c>
      <c r="BI54" s="69">
        <v>3</v>
      </c>
      <c r="BJ54" s="69">
        <v>4</v>
      </c>
      <c r="BK54" s="70">
        <v>4</v>
      </c>
    </row>
    <row r="55" spans="7:63">
      <c r="G55" s="84">
        <v>51</v>
      </c>
      <c r="H55" s="30">
        <v>4</v>
      </c>
      <c r="I55" s="31">
        <v>3</v>
      </c>
      <c r="J55" s="31">
        <v>3</v>
      </c>
      <c r="K55" s="31">
        <v>3</v>
      </c>
      <c r="L55" s="31">
        <v>3</v>
      </c>
      <c r="M55" s="31">
        <v>3</v>
      </c>
      <c r="N55" s="32">
        <v>3</v>
      </c>
      <c r="O55" s="31">
        <v>4</v>
      </c>
      <c r="P55" s="31">
        <v>1</v>
      </c>
      <c r="Q55" s="31">
        <v>1</v>
      </c>
      <c r="R55" s="31">
        <v>1</v>
      </c>
      <c r="S55" s="31">
        <v>2</v>
      </c>
      <c r="T55" s="31">
        <v>4</v>
      </c>
      <c r="U55" s="31">
        <v>5</v>
      </c>
      <c r="V55" s="37">
        <v>1</v>
      </c>
      <c r="W55" s="47">
        <v>1</v>
      </c>
      <c r="X55" s="47">
        <v>1</v>
      </c>
      <c r="Y55" s="47">
        <v>1</v>
      </c>
      <c r="Z55" s="47">
        <v>1</v>
      </c>
      <c r="AA55" s="47">
        <v>1</v>
      </c>
      <c r="AB55" s="47">
        <v>1</v>
      </c>
      <c r="AC55" s="37">
        <v>1</v>
      </c>
      <c r="AD55" s="47">
        <v>1</v>
      </c>
      <c r="AE55" s="47">
        <v>1</v>
      </c>
      <c r="AF55" s="47">
        <v>1</v>
      </c>
      <c r="AG55" s="47">
        <v>1</v>
      </c>
      <c r="AH55" s="47">
        <v>1</v>
      </c>
      <c r="AI55" s="48">
        <v>4</v>
      </c>
      <c r="AJ55" s="58">
        <v>5</v>
      </c>
      <c r="AK55" s="53">
        <v>4</v>
      </c>
      <c r="AL55" s="53">
        <v>4</v>
      </c>
      <c r="AM55" s="53">
        <v>4</v>
      </c>
      <c r="AN55" s="53">
        <v>4</v>
      </c>
      <c r="AO55" s="53">
        <v>4</v>
      </c>
      <c r="AP55" s="53">
        <v>4</v>
      </c>
      <c r="AQ55" s="53">
        <v>6</v>
      </c>
      <c r="AR55" s="53">
        <v>5</v>
      </c>
      <c r="AS55" s="53">
        <v>3</v>
      </c>
      <c r="AT55" s="53">
        <v>2</v>
      </c>
      <c r="AU55" s="53">
        <v>3</v>
      </c>
      <c r="AV55" s="53">
        <v>4</v>
      </c>
      <c r="AW55" s="53">
        <v>6</v>
      </c>
      <c r="AX55" s="68">
        <v>5</v>
      </c>
      <c r="AY55" s="69">
        <v>4</v>
      </c>
      <c r="AZ55" s="69">
        <v>4</v>
      </c>
      <c r="BA55" s="69">
        <v>3</v>
      </c>
      <c r="BB55" s="69">
        <v>3</v>
      </c>
      <c r="BC55" s="69">
        <v>4</v>
      </c>
      <c r="BD55" s="69">
        <v>4</v>
      </c>
      <c r="BE55" s="69">
        <v>6</v>
      </c>
      <c r="BF55" s="69">
        <v>3</v>
      </c>
      <c r="BG55" s="69">
        <v>1</v>
      </c>
      <c r="BH55" s="69">
        <v>2</v>
      </c>
      <c r="BI55" s="69">
        <v>3</v>
      </c>
      <c r="BJ55" s="69">
        <v>4</v>
      </c>
      <c r="BK55" s="70">
        <v>4</v>
      </c>
    </row>
    <row r="56" spans="7:63">
      <c r="G56" s="84">
        <v>52</v>
      </c>
      <c r="H56" s="30">
        <v>5</v>
      </c>
      <c r="I56" s="31">
        <v>4</v>
      </c>
      <c r="J56" s="31">
        <v>3</v>
      </c>
      <c r="K56" s="31">
        <v>3</v>
      </c>
      <c r="L56" s="31">
        <v>3</v>
      </c>
      <c r="M56" s="31">
        <v>3</v>
      </c>
      <c r="N56" s="32">
        <v>4</v>
      </c>
      <c r="O56" s="31">
        <v>4</v>
      </c>
      <c r="P56" s="31">
        <v>2</v>
      </c>
      <c r="Q56" s="31">
        <v>1</v>
      </c>
      <c r="R56" s="31">
        <v>1</v>
      </c>
      <c r="S56" s="31">
        <v>2</v>
      </c>
      <c r="T56" s="31">
        <v>4</v>
      </c>
      <c r="U56" s="31">
        <v>5</v>
      </c>
      <c r="V56" s="37">
        <v>1</v>
      </c>
      <c r="W56" s="47">
        <v>1</v>
      </c>
      <c r="X56" s="47">
        <v>1</v>
      </c>
      <c r="Y56" s="47">
        <v>1</v>
      </c>
      <c r="Z56" s="47">
        <v>1</v>
      </c>
      <c r="AA56" s="47">
        <v>1</v>
      </c>
      <c r="AB56" s="47">
        <v>1</v>
      </c>
      <c r="AC56" s="37">
        <v>1</v>
      </c>
      <c r="AD56" s="47">
        <v>1</v>
      </c>
      <c r="AE56" s="47">
        <v>1</v>
      </c>
      <c r="AF56" s="47">
        <v>1</v>
      </c>
      <c r="AG56" s="47">
        <v>1</v>
      </c>
      <c r="AH56" s="47">
        <v>1</v>
      </c>
      <c r="AI56" s="48">
        <v>4</v>
      </c>
      <c r="AJ56" s="58">
        <v>5</v>
      </c>
      <c r="AK56" s="53">
        <v>5</v>
      </c>
      <c r="AL56" s="53">
        <v>5</v>
      </c>
      <c r="AM56" s="53">
        <v>4</v>
      </c>
      <c r="AN56" s="53">
        <v>4</v>
      </c>
      <c r="AO56" s="53">
        <v>4</v>
      </c>
      <c r="AP56" s="53">
        <v>4</v>
      </c>
      <c r="AQ56" s="53">
        <v>6</v>
      </c>
      <c r="AR56" s="53">
        <v>5</v>
      </c>
      <c r="AS56" s="53">
        <v>4</v>
      </c>
      <c r="AT56" s="53">
        <v>3</v>
      </c>
      <c r="AU56" s="53">
        <v>3</v>
      </c>
      <c r="AV56" s="53">
        <v>5</v>
      </c>
      <c r="AW56" s="53">
        <v>7</v>
      </c>
      <c r="AX56" s="68">
        <v>5</v>
      </c>
      <c r="AY56" s="69">
        <v>4</v>
      </c>
      <c r="AZ56" s="69">
        <v>4</v>
      </c>
      <c r="BA56" s="69">
        <v>4</v>
      </c>
      <c r="BB56" s="69">
        <v>4</v>
      </c>
      <c r="BC56" s="69">
        <v>4</v>
      </c>
      <c r="BD56" s="69">
        <v>4</v>
      </c>
      <c r="BE56" s="69">
        <v>6</v>
      </c>
      <c r="BF56" s="69">
        <v>3</v>
      </c>
      <c r="BG56" s="69">
        <v>2</v>
      </c>
      <c r="BH56" s="69">
        <v>2</v>
      </c>
      <c r="BI56" s="69">
        <v>3</v>
      </c>
      <c r="BJ56" s="69">
        <v>4</v>
      </c>
      <c r="BK56" s="70">
        <v>4</v>
      </c>
    </row>
    <row r="57" spans="7:63">
      <c r="G57" s="84">
        <v>53</v>
      </c>
      <c r="H57" s="30">
        <v>5</v>
      </c>
      <c r="I57" s="31">
        <v>4</v>
      </c>
      <c r="J57" s="31">
        <v>4</v>
      </c>
      <c r="K57" s="31">
        <v>3</v>
      </c>
      <c r="L57" s="31">
        <v>3</v>
      </c>
      <c r="M57" s="31">
        <v>3</v>
      </c>
      <c r="N57" s="32">
        <v>4</v>
      </c>
      <c r="O57" s="31">
        <v>5</v>
      </c>
      <c r="P57" s="31">
        <v>2</v>
      </c>
      <c r="Q57" s="31">
        <v>1</v>
      </c>
      <c r="R57" s="31">
        <v>1</v>
      </c>
      <c r="S57" s="31">
        <v>3</v>
      </c>
      <c r="T57" s="31">
        <v>4</v>
      </c>
      <c r="U57" s="31">
        <v>5</v>
      </c>
      <c r="V57" s="37">
        <v>1</v>
      </c>
      <c r="W57" s="47">
        <v>1</v>
      </c>
      <c r="X57" s="47">
        <v>1</v>
      </c>
      <c r="Y57" s="47">
        <v>1</v>
      </c>
      <c r="Z57" s="47">
        <v>1</v>
      </c>
      <c r="AA57" s="47">
        <v>1</v>
      </c>
      <c r="AB57" s="47">
        <v>1</v>
      </c>
      <c r="AC57" s="37">
        <v>1</v>
      </c>
      <c r="AD57" s="47">
        <v>1</v>
      </c>
      <c r="AE57" s="47">
        <v>1</v>
      </c>
      <c r="AF57" s="47">
        <v>1</v>
      </c>
      <c r="AG57" s="47">
        <v>1</v>
      </c>
      <c r="AH57" s="47">
        <v>1</v>
      </c>
      <c r="AI57" s="48">
        <v>4</v>
      </c>
      <c r="AJ57" s="58">
        <v>5</v>
      </c>
      <c r="AK57" s="53">
        <v>5</v>
      </c>
      <c r="AL57" s="53">
        <v>5</v>
      </c>
      <c r="AM57" s="53">
        <v>5</v>
      </c>
      <c r="AN57" s="53">
        <v>5</v>
      </c>
      <c r="AO57" s="53">
        <v>5</v>
      </c>
      <c r="AP57" s="53">
        <v>4</v>
      </c>
      <c r="AQ57" s="53">
        <v>6</v>
      </c>
      <c r="AR57" s="53">
        <v>5</v>
      </c>
      <c r="AS57" s="53">
        <v>4</v>
      </c>
      <c r="AT57" s="53">
        <v>3</v>
      </c>
      <c r="AU57" s="53">
        <v>3</v>
      </c>
      <c r="AV57" s="53">
        <v>5</v>
      </c>
      <c r="AW57" s="53">
        <v>7</v>
      </c>
      <c r="AX57" s="68">
        <v>5</v>
      </c>
      <c r="AY57" s="69">
        <v>5</v>
      </c>
      <c r="AZ57" s="69">
        <v>4</v>
      </c>
      <c r="BA57" s="69">
        <v>4</v>
      </c>
      <c r="BB57" s="69">
        <v>4</v>
      </c>
      <c r="BC57" s="69">
        <v>4</v>
      </c>
      <c r="BD57" s="69">
        <v>4</v>
      </c>
      <c r="BE57" s="69">
        <v>6</v>
      </c>
      <c r="BF57" s="69">
        <v>4</v>
      </c>
      <c r="BG57" s="69">
        <v>2</v>
      </c>
      <c r="BH57" s="69">
        <v>3</v>
      </c>
      <c r="BI57" s="69">
        <v>4</v>
      </c>
      <c r="BJ57" s="69">
        <v>4</v>
      </c>
      <c r="BK57" s="70">
        <v>5</v>
      </c>
    </row>
    <row r="58" spans="7:63">
      <c r="G58" s="84">
        <v>54</v>
      </c>
      <c r="H58" s="30">
        <v>5</v>
      </c>
      <c r="I58" s="31">
        <v>4</v>
      </c>
      <c r="J58" s="31">
        <v>4</v>
      </c>
      <c r="K58" s="31">
        <v>4</v>
      </c>
      <c r="L58" s="31">
        <v>4</v>
      </c>
      <c r="M58" s="31">
        <v>4</v>
      </c>
      <c r="N58" s="32">
        <v>4</v>
      </c>
      <c r="O58" s="31">
        <v>5</v>
      </c>
      <c r="P58" s="31">
        <v>3</v>
      </c>
      <c r="Q58" s="31">
        <v>1</v>
      </c>
      <c r="R58" s="31">
        <v>1</v>
      </c>
      <c r="S58" s="31">
        <v>3</v>
      </c>
      <c r="T58" s="31">
        <v>4</v>
      </c>
      <c r="U58" s="31">
        <v>6</v>
      </c>
      <c r="V58" s="37">
        <v>1</v>
      </c>
      <c r="W58" s="47">
        <v>1</v>
      </c>
      <c r="X58" s="47">
        <v>1</v>
      </c>
      <c r="Y58" s="47">
        <v>1</v>
      </c>
      <c r="Z58" s="47">
        <v>1</v>
      </c>
      <c r="AA58" s="47">
        <v>1</v>
      </c>
      <c r="AB58" s="47">
        <v>1</v>
      </c>
      <c r="AC58" s="37">
        <v>1</v>
      </c>
      <c r="AD58" s="47">
        <v>1</v>
      </c>
      <c r="AE58" s="47">
        <v>1</v>
      </c>
      <c r="AF58" s="47">
        <v>1</v>
      </c>
      <c r="AG58" s="47">
        <v>1</v>
      </c>
      <c r="AH58" s="47">
        <v>1</v>
      </c>
      <c r="AI58" s="48">
        <v>5</v>
      </c>
      <c r="AJ58" s="58">
        <v>5</v>
      </c>
      <c r="AK58" s="53">
        <v>5</v>
      </c>
      <c r="AL58" s="53">
        <v>5</v>
      </c>
      <c r="AM58" s="53">
        <v>5</v>
      </c>
      <c r="AN58" s="53">
        <v>5</v>
      </c>
      <c r="AO58" s="53">
        <v>5</v>
      </c>
      <c r="AP58" s="53">
        <v>5</v>
      </c>
      <c r="AQ58" s="53">
        <v>6</v>
      </c>
      <c r="AR58" s="53">
        <v>5</v>
      </c>
      <c r="AS58" s="53">
        <v>4</v>
      </c>
      <c r="AT58" s="53">
        <v>3</v>
      </c>
      <c r="AU58" s="53">
        <v>4</v>
      </c>
      <c r="AV58" s="53">
        <v>5</v>
      </c>
      <c r="AW58" s="53">
        <v>7</v>
      </c>
      <c r="AX58" s="68">
        <v>5</v>
      </c>
      <c r="AY58" s="69">
        <v>5</v>
      </c>
      <c r="AZ58" s="69">
        <v>5</v>
      </c>
      <c r="BA58" s="69">
        <v>4</v>
      </c>
      <c r="BB58" s="69">
        <v>4</v>
      </c>
      <c r="BC58" s="69">
        <v>5</v>
      </c>
      <c r="BD58" s="69">
        <v>5</v>
      </c>
      <c r="BE58" s="69">
        <v>6</v>
      </c>
      <c r="BF58" s="69">
        <v>4</v>
      </c>
      <c r="BG58" s="69">
        <v>3</v>
      </c>
      <c r="BH58" s="69">
        <v>3</v>
      </c>
      <c r="BI58" s="69">
        <v>4</v>
      </c>
      <c r="BJ58" s="69">
        <v>5</v>
      </c>
      <c r="BK58" s="70">
        <v>5</v>
      </c>
    </row>
    <row r="59" spans="7:63">
      <c r="G59" s="84">
        <v>55</v>
      </c>
      <c r="H59" s="30">
        <v>5</v>
      </c>
      <c r="I59" s="31">
        <v>5</v>
      </c>
      <c r="J59" s="31">
        <v>4</v>
      </c>
      <c r="K59" s="31">
        <v>4</v>
      </c>
      <c r="L59" s="31">
        <v>4</v>
      </c>
      <c r="M59" s="31">
        <v>4</v>
      </c>
      <c r="N59" s="32">
        <v>4</v>
      </c>
      <c r="O59" s="31">
        <v>5</v>
      </c>
      <c r="P59" s="31">
        <v>3</v>
      </c>
      <c r="Q59" s="31">
        <v>1</v>
      </c>
      <c r="R59" s="31">
        <v>2</v>
      </c>
      <c r="S59" s="31">
        <v>3</v>
      </c>
      <c r="T59" s="31">
        <v>5</v>
      </c>
      <c r="U59" s="31">
        <v>6</v>
      </c>
      <c r="V59" s="37">
        <v>1</v>
      </c>
      <c r="W59" s="47">
        <v>1</v>
      </c>
      <c r="X59" s="47">
        <v>1</v>
      </c>
      <c r="Y59" s="47">
        <v>1</v>
      </c>
      <c r="Z59" s="47">
        <v>1</v>
      </c>
      <c r="AA59" s="47">
        <v>1</v>
      </c>
      <c r="AB59" s="47">
        <v>1</v>
      </c>
      <c r="AC59" s="37">
        <v>1</v>
      </c>
      <c r="AD59" s="47">
        <v>1</v>
      </c>
      <c r="AE59" s="47">
        <v>1</v>
      </c>
      <c r="AF59" s="47">
        <v>1</v>
      </c>
      <c r="AG59" s="47">
        <v>1</v>
      </c>
      <c r="AH59" s="47">
        <v>1</v>
      </c>
      <c r="AI59" s="48">
        <v>5</v>
      </c>
      <c r="AJ59" s="58">
        <v>6</v>
      </c>
      <c r="AK59" s="53">
        <v>5</v>
      </c>
      <c r="AL59" s="53">
        <v>5</v>
      </c>
      <c r="AM59" s="53">
        <v>5</v>
      </c>
      <c r="AN59" s="53">
        <v>5</v>
      </c>
      <c r="AO59" s="53">
        <v>5</v>
      </c>
      <c r="AP59" s="53">
        <v>5</v>
      </c>
      <c r="AQ59" s="53">
        <v>7</v>
      </c>
      <c r="AR59" s="53">
        <v>6</v>
      </c>
      <c r="AS59" s="53">
        <v>4</v>
      </c>
      <c r="AT59" s="53">
        <v>4</v>
      </c>
      <c r="AU59" s="53">
        <v>4</v>
      </c>
      <c r="AV59" s="53">
        <v>5</v>
      </c>
      <c r="AW59" s="53">
        <v>7</v>
      </c>
      <c r="AX59" s="68">
        <v>6</v>
      </c>
      <c r="AY59" s="69">
        <v>5</v>
      </c>
      <c r="AZ59" s="69">
        <v>5</v>
      </c>
      <c r="BA59" s="69">
        <v>5</v>
      </c>
      <c r="BB59" s="69">
        <v>4</v>
      </c>
      <c r="BC59" s="69">
        <v>5</v>
      </c>
      <c r="BD59" s="69">
        <v>5</v>
      </c>
      <c r="BE59" s="69">
        <v>6</v>
      </c>
      <c r="BF59" s="69">
        <v>4</v>
      </c>
      <c r="BG59" s="69">
        <v>3</v>
      </c>
      <c r="BH59" s="69">
        <v>3</v>
      </c>
      <c r="BI59" s="69">
        <v>4</v>
      </c>
      <c r="BJ59" s="69">
        <v>5</v>
      </c>
      <c r="BK59" s="70">
        <v>5</v>
      </c>
    </row>
    <row r="60" spans="7:63">
      <c r="G60" s="84">
        <v>56</v>
      </c>
      <c r="H60" s="30">
        <v>6</v>
      </c>
      <c r="I60" s="31">
        <v>5</v>
      </c>
      <c r="J60" s="31">
        <v>5</v>
      </c>
      <c r="K60" s="31">
        <v>4</v>
      </c>
      <c r="L60" s="31">
        <v>4</v>
      </c>
      <c r="M60" s="31">
        <v>4</v>
      </c>
      <c r="N60" s="32">
        <v>5</v>
      </c>
      <c r="O60" s="31">
        <v>5</v>
      </c>
      <c r="P60" s="31">
        <v>3</v>
      </c>
      <c r="Q60" s="31">
        <v>2</v>
      </c>
      <c r="R60" s="31">
        <v>2</v>
      </c>
      <c r="S60" s="31">
        <v>4</v>
      </c>
      <c r="T60" s="31">
        <v>5</v>
      </c>
      <c r="U60" s="31">
        <v>6</v>
      </c>
      <c r="V60" s="37">
        <v>1</v>
      </c>
      <c r="W60" s="47">
        <v>1</v>
      </c>
      <c r="X60" s="47">
        <v>1</v>
      </c>
      <c r="Y60" s="47">
        <v>1</v>
      </c>
      <c r="Z60" s="47">
        <v>1</v>
      </c>
      <c r="AA60" s="47">
        <v>1</v>
      </c>
      <c r="AB60" s="47">
        <v>1</v>
      </c>
      <c r="AC60" s="37">
        <v>1</v>
      </c>
      <c r="AD60" s="47">
        <v>1</v>
      </c>
      <c r="AE60" s="47">
        <v>1</v>
      </c>
      <c r="AF60" s="47">
        <v>1</v>
      </c>
      <c r="AG60" s="47">
        <v>1</v>
      </c>
      <c r="AH60" s="47">
        <v>1</v>
      </c>
      <c r="AI60" s="48">
        <v>5</v>
      </c>
      <c r="AJ60" s="58">
        <v>6</v>
      </c>
      <c r="AK60" s="53">
        <v>6</v>
      </c>
      <c r="AL60" s="53">
        <v>6</v>
      </c>
      <c r="AM60" s="53">
        <v>5</v>
      </c>
      <c r="AN60" s="53">
        <v>5</v>
      </c>
      <c r="AO60" s="53">
        <v>5</v>
      </c>
      <c r="AP60" s="53">
        <v>5</v>
      </c>
      <c r="AQ60" s="53">
        <v>7</v>
      </c>
      <c r="AR60" s="53">
        <v>6</v>
      </c>
      <c r="AS60" s="53">
        <v>5</v>
      </c>
      <c r="AT60" s="53">
        <v>4</v>
      </c>
      <c r="AU60" s="53">
        <v>4</v>
      </c>
      <c r="AV60" s="53">
        <v>6</v>
      </c>
      <c r="AW60" s="53">
        <v>7</v>
      </c>
      <c r="AX60" s="68">
        <v>6</v>
      </c>
      <c r="AY60" s="69">
        <v>5</v>
      </c>
      <c r="AZ60" s="69">
        <v>5</v>
      </c>
      <c r="BA60" s="69">
        <v>5</v>
      </c>
      <c r="BB60" s="69">
        <v>5</v>
      </c>
      <c r="BC60" s="69">
        <v>5</v>
      </c>
      <c r="BD60" s="69">
        <v>5</v>
      </c>
      <c r="BE60" s="69">
        <v>7</v>
      </c>
      <c r="BF60" s="69">
        <v>5</v>
      </c>
      <c r="BG60" s="69">
        <v>3</v>
      </c>
      <c r="BH60" s="69">
        <v>4</v>
      </c>
      <c r="BI60" s="69">
        <v>5</v>
      </c>
      <c r="BJ60" s="69">
        <v>5</v>
      </c>
      <c r="BK60" s="70">
        <v>5</v>
      </c>
    </row>
    <row r="61" spans="7:63">
      <c r="G61" s="84">
        <v>57</v>
      </c>
      <c r="H61" s="30">
        <v>6</v>
      </c>
      <c r="I61" s="31">
        <v>5</v>
      </c>
      <c r="J61" s="31">
        <v>5</v>
      </c>
      <c r="K61" s="31">
        <v>5</v>
      </c>
      <c r="L61" s="31">
        <v>4</v>
      </c>
      <c r="M61" s="31">
        <v>5</v>
      </c>
      <c r="N61" s="32">
        <v>5</v>
      </c>
      <c r="O61" s="31">
        <v>6</v>
      </c>
      <c r="P61" s="31">
        <v>4</v>
      </c>
      <c r="Q61" s="31">
        <v>2</v>
      </c>
      <c r="R61" s="31">
        <v>3</v>
      </c>
      <c r="S61" s="31">
        <v>4</v>
      </c>
      <c r="T61" s="31">
        <v>5</v>
      </c>
      <c r="U61" s="31">
        <v>6</v>
      </c>
      <c r="V61" s="37">
        <v>1</v>
      </c>
      <c r="W61" s="47">
        <v>1</v>
      </c>
      <c r="X61" s="47">
        <v>2</v>
      </c>
      <c r="Y61" s="47">
        <v>2</v>
      </c>
      <c r="Z61" s="47">
        <v>2</v>
      </c>
      <c r="AA61" s="47">
        <v>1</v>
      </c>
      <c r="AB61" s="47">
        <v>1</v>
      </c>
      <c r="AC61" s="37">
        <v>1</v>
      </c>
      <c r="AD61" s="47">
        <v>1</v>
      </c>
      <c r="AE61" s="47">
        <v>1</v>
      </c>
      <c r="AF61" s="47">
        <v>1</v>
      </c>
      <c r="AG61" s="47">
        <v>1</v>
      </c>
      <c r="AH61" s="47">
        <v>1</v>
      </c>
      <c r="AI61" s="48">
        <v>5</v>
      </c>
      <c r="AJ61" s="58">
        <v>6</v>
      </c>
      <c r="AK61" s="53">
        <v>6</v>
      </c>
      <c r="AL61" s="53">
        <v>6</v>
      </c>
      <c r="AM61" s="53">
        <v>6</v>
      </c>
      <c r="AN61" s="53">
        <v>6</v>
      </c>
      <c r="AO61" s="53">
        <v>6</v>
      </c>
      <c r="AP61" s="53">
        <v>6</v>
      </c>
      <c r="AQ61" s="53">
        <v>7</v>
      </c>
      <c r="AR61" s="53">
        <v>6</v>
      </c>
      <c r="AS61" s="53">
        <v>5</v>
      </c>
      <c r="AT61" s="53">
        <v>4</v>
      </c>
      <c r="AU61" s="53">
        <v>4</v>
      </c>
      <c r="AV61" s="53">
        <v>6</v>
      </c>
      <c r="AW61" s="53">
        <v>7</v>
      </c>
      <c r="AX61" s="68">
        <v>6</v>
      </c>
      <c r="AY61" s="69">
        <v>6</v>
      </c>
      <c r="AZ61" s="69">
        <v>5</v>
      </c>
      <c r="BA61" s="69">
        <v>5</v>
      </c>
      <c r="BB61" s="69">
        <v>5</v>
      </c>
      <c r="BC61" s="69">
        <v>5</v>
      </c>
      <c r="BD61" s="69">
        <v>6</v>
      </c>
      <c r="BE61" s="69">
        <v>7</v>
      </c>
      <c r="BF61" s="69">
        <v>5</v>
      </c>
      <c r="BG61" s="69">
        <v>4</v>
      </c>
      <c r="BH61" s="69">
        <v>4</v>
      </c>
      <c r="BI61" s="69">
        <v>5</v>
      </c>
      <c r="BJ61" s="69">
        <v>6</v>
      </c>
      <c r="BK61" s="70">
        <v>6</v>
      </c>
    </row>
    <row r="62" spans="7:63">
      <c r="G62" s="84">
        <v>58</v>
      </c>
      <c r="H62" s="30">
        <v>6</v>
      </c>
      <c r="I62" s="31">
        <v>6</v>
      </c>
      <c r="J62" s="31">
        <v>5</v>
      </c>
      <c r="K62" s="31">
        <v>5</v>
      </c>
      <c r="L62" s="31">
        <v>5</v>
      </c>
      <c r="M62" s="31">
        <v>5</v>
      </c>
      <c r="N62" s="32">
        <v>5</v>
      </c>
      <c r="O62" s="31">
        <v>6</v>
      </c>
      <c r="P62" s="31">
        <v>4</v>
      </c>
      <c r="Q62" s="31">
        <v>3</v>
      </c>
      <c r="R62" s="31">
        <v>3</v>
      </c>
      <c r="S62" s="31">
        <v>4</v>
      </c>
      <c r="T62" s="31">
        <v>6</v>
      </c>
      <c r="U62" s="31">
        <v>6</v>
      </c>
      <c r="V62" s="37">
        <v>1</v>
      </c>
      <c r="W62" s="47">
        <v>1</v>
      </c>
      <c r="X62" s="47">
        <v>2</v>
      </c>
      <c r="Y62" s="47">
        <v>2</v>
      </c>
      <c r="Z62" s="47">
        <v>2</v>
      </c>
      <c r="AA62" s="47">
        <v>2</v>
      </c>
      <c r="AB62" s="47">
        <v>1</v>
      </c>
      <c r="AC62" s="37">
        <v>1</v>
      </c>
      <c r="AD62" s="47">
        <v>1</v>
      </c>
      <c r="AE62" s="47">
        <v>1</v>
      </c>
      <c r="AF62" s="47">
        <v>1</v>
      </c>
      <c r="AG62" s="47">
        <v>1</v>
      </c>
      <c r="AH62" s="47">
        <v>1</v>
      </c>
      <c r="AI62" s="48">
        <v>6</v>
      </c>
      <c r="AJ62" s="58">
        <v>7</v>
      </c>
      <c r="AK62" s="53">
        <v>6</v>
      </c>
      <c r="AL62" s="53">
        <v>6</v>
      </c>
      <c r="AM62" s="53">
        <v>6</v>
      </c>
      <c r="AN62" s="53">
        <v>6</v>
      </c>
      <c r="AO62" s="53">
        <v>6</v>
      </c>
      <c r="AP62" s="53">
        <v>6</v>
      </c>
      <c r="AQ62" s="53">
        <v>7</v>
      </c>
      <c r="AR62" s="53">
        <v>6</v>
      </c>
      <c r="AS62" s="53">
        <v>5</v>
      </c>
      <c r="AT62" s="53">
        <v>5</v>
      </c>
      <c r="AU62" s="53">
        <v>5</v>
      </c>
      <c r="AV62" s="53">
        <v>6</v>
      </c>
      <c r="AW62" s="53">
        <v>7</v>
      </c>
      <c r="AX62" s="68">
        <v>6</v>
      </c>
      <c r="AY62" s="69">
        <v>6</v>
      </c>
      <c r="AZ62" s="69">
        <v>6</v>
      </c>
      <c r="BA62" s="69">
        <v>5</v>
      </c>
      <c r="BB62" s="69">
        <v>5</v>
      </c>
      <c r="BC62" s="69">
        <v>6</v>
      </c>
      <c r="BD62" s="69">
        <v>6</v>
      </c>
      <c r="BE62" s="69">
        <v>7</v>
      </c>
      <c r="BF62" s="69">
        <v>5</v>
      </c>
      <c r="BG62" s="69">
        <v>4</v>
      </c>
      <c r="BH62" s="69">
        <v>4</v>
      </c>
      <c r="BI62" s="69">
        <v>5</v>
      </c>
      <c r="BJ62" s="69">
        <v>6</v>
      </c>
      <c r="BK62" s="70">
        <v>6</v>
      </c>
    </row>
    <row r="63" spans="7:63">
      <c r="G63" s="84">
        <v>59</v>
      </c>
      <c r="H63" s="30">
        <v>7</v>
      </c>
      <c r="I63" s="31">
        <v>6</v>
      </c>
      <c r="J63" s="31">
        <v>5</v>
      </c>
      <c r="K63" s="31">
        <v>5</v>
      </c>
      <c r="L63" s="31">
        <v>5</v>
      </c>
      <c r="M63" s="31">
        <v>5</v>
      </c>
      <c r="N63" s="32">
        <v>6</v>
      </c>
      <c r="O63" s="31">
        <v>6</v>
      </c>
      <c r="P63" s="31">
        <v>4</v>
      </c>
      <c r="Q63" s="31">
        <v>3</v>
      </c>
      <c r="R63" s="31">
        <v>4</v>
      </c>
      <c r="S63" s="31">
        <v>5</v>
      </c>
      <c r="T63" s="31">
        <v>6</v>
      </c>
      <c r="U63" s="31">
        <v>7</v>
      </c>
      <c r="V63" s="37">
        <v>1</v>
      </c>
      <c r="W63" s="47">
        <v>2</v>
      </c>
      <c r="X63" s="47">
        <v>2</v>
      </c>
      <c r="Y63" s="47">
        <v>3</v>
      </c>
      <c r="Z63" s="47">
        <v>2</v>
      </c>
      <c r="AA63" s="47">
        <v>2</v>
      </c>
      <c r="AB63" s="47">
        <v>1</v>
      </c>
      <c r="AC63" s="37">
        <v>1</v>
      </c>
      <c r="AD63" s="47">
        <v>1</v>
      </c>
      <c r="AE63" s="47">
        <v>1</v>
      </c>
      <c r="AF63" s="47">
        <v>1</v>
      </c>
      <c r="AG63" s="47">
        <v>1</v>
      </c>
      <c r="AH63" s="47">
        <v>1</v>
      </c>
      <c r="AI63" s="48">
        <v>6</v>
      </c>
      <c r="AJ63" s="58">
        <v>7</v>
      </c>
      <c r="AK63" s="53">
        <v>7</v>
      </c>
      <c r="AL63" s="53">
        <v>6</v>
      </c>
      <c r="AM63" s="53">
        <v>6</v>
      </c>
      <c r="AN63" s="53">
        <v>6</v>
      </c>
      <c r="AO63" s="53">
        <v>6</v>
      </c>
      <c r="AP63" s="53">
        <v>6</v>
      </c>
      <c r="AQ63" s="53">
        <v>7</v>
      </c>
      <c r="AR63" s="53">
        <v>7</v>
      </c>
      <c r="AS63" s="53">
        <v>6</v>
      </c>
      <c r="AT63" s="53">
        <v>5</v>
      </c>
      <c r="AU63" s="53">
        <v>5</v>
      </c>
      <c r="AV63" s="53">
        <v>6</v>
      </c>
      <c r="AW63" s="53">
        <v>8</v>
      </c>
      <c r="AX63" s="68">
        <v>7</v>
      </c>
      <c r="AY63" s="69">
        <v>6</v>
      </c>
      <c r="AZ63" s="69">
        <v>6</v>
      </c>
      <c r="BA63" s="69">
        <v>6</v>
      </c>
      <c r="BB63" s="69">
        <v>6</v>
      </c>
      <c r="BC63" s="69">
        <v>6</v>
      </c>
      <c r="BD63" s="69">
        <v>6</v>
      </c>
      <c r="BE63" s="69">
        <v>7</v>
      </c>
      <c r="BF63" s="69">
        <v>6</v>
      </c>
      <c r="BG63" s="69">
        <v>4</v>
      </c>
      <c r="BH63" s="69">
        <v>5</v>
      </c>
      <c r="BI63" s="69">
        <v>6</v>
      </c>
      <c r="BJ63" s="69">
        <v>6</v>
      </c>
      <c r="BK63" s="70">
        <v>6</v>
      </c>
    </row>
    <row r="64" spans="7:63">
      <c r="G64" s="84">
        <v>60</v>
      </c>
      <c r="H64" s="30">
        <v>7</v>
      </c>
      <c r="I64" s="31">
        <v>6</v>
      </c>
      <c r="J64" s="31">
        <v>6</v>
      </c>
      <c r="K64" s="31">
        <v>6</v>
      </c>
      <c r="L64" s="31">
        <v>5</v>
      </c>
      <c r="M64" s="31">
        <v>6</v>
      </c>
      <c r="N64" s="32">
        <v>6</v>
      </c>
      <c r="O64" s="31">
        <v>7</v>
      </c>
      <c r="P64" s="31">
        <v>5</v>
      </c>
      <c r="Q64" s="31">
        <v>4</v>
      </c>
      <c r="R64" s="31">
        <v>4</v>
      </c>
      <c r="S64" s="31">
        <v>5</v>
      </c>
      <c r="T64" s="31">
        <v>6</v>
      </c>
      <c r="U64" s="31">
        <v>7</v>
      </c>
      <c r="V64" s="37">
        <v>2</v>
      </c>
      <c r="W64" s="47">
        <v>2</v>
      </c>
      <c r="X64" s="47">
        <v>3</v>
      </c>
      <c r="Y64" s="47">
        <v>3</v>
      </c>
      <c r="Z64" s="47">
        <v>3</v>
      </c>
      <c r="AA64" s="47">
        <v>3</v>
      </c>
      <c r="AB64" s="47">
        <v>2</v>
      </c>
      <c r="AC64" s="37">
        <v>1</v>
      </c>
      <c r="AD64" s="47">
        <v>1</v>
      </c>
      <c r="AE64" s="47">
        <v>1</v>
      </c>
      <c r="AF64" s="47">
        <v>1</v>
      </c>
      <c r="AG64" s="47">
        <v>1</v>
      </c>
      <c r="AH64" s="47">
        <v>2</v>
      </c>
      <c r="AI64" s="48">
        <v>6</v>
      </c>
      <c r="AJ64" s="58">
        <v>7</v>
      </c>
      <c r="AK64" s="53">
        <v>7</v>
      </c>
      <c r="AL64" s="53">
        <v>7</v>
      </c>
      <c r="AM64" s="53">
        <v>7</v>
      </c>
      <c r="AN64" s="53">
        <v>6</v>
      </c>
      <c r="AO64" s="53">
        <v>6</v>
      </c>
      <c r="AP64" s="53">
        <v>6</v>
      </c>
      <c r="AQ64" s="53">
        <v>8</v>
      </c>
      <c r="AR64" s="53">
        <v>7</v>
      </c>
      <c r="AS64" s="53">
        <v>6</v>
      </c>
      <c r="AT64" s="53">
        <v>5</v>
      </c>
      <c r="AU64" s="53">
        <v>5</v>
      </c>
      <c r="AV64" s="53">
        <v>7</v>
      </c>
      <c r="AW64" s="53">
        <v>8</v>
      </c>
      <c r="AX64" s="68">
        <v>7</v>
      </c>
      <c r="AY64" s="69">
        <v>7</v>
      </c>
      <c r="AZ64" s="69">
        <v>6</v>
      </c>
      <c r="BA64" s="69">
        <v>6</v>
      </c>
      <c r="BB64" s="69">
        <v>6</v>
      </c>
      <c r="BC64" s="69">
        <v>6</v>
      </c>
      <c r="BD64" s="69">
        <v>6</v>
      </c>
      <c r="BE64" s="69">
        <v>7</v>
      </c>
      <c r="BF64" s="69">
        <v>6</v>
      </c>
      <c r="BG64" s="69">
        <v>5</v>
      </c>
      <c r="BH64" s="69">
        <v>5</v>
      </c>
      <c r="BI64" s="69">
        <v>6</v>
      </c>
      <c r="BJ64" s="69">
        <v>6</v>
      </c>
      <c r="BK64" s="70">
        <v>6</v>
      </c>
    </row>
    <row r="65" spans="7:63">
      <c r="G65" s="84">
        <v>61</v>
      </c>
      <c r="H65" s="30">
        <v>7</v>
      </c>
      <c r="I65" s="31">
        <v>7</v>
      </c>
      <c r="J65" s="31">
        <v>6</v>
      </c>
      <c r="K65" s="31">
        <v>6</v>
      </c>
      <c r="L65" s="31">
        <v>6</v>
      </c>
      <c r="M65" s="31">
        <v>6</v>
      </c>
      <c r="N65" s="32">
        <v>6</v>
      </c>
      <c r="O65" s="31">
        <v>7</v>
      </c>
      <c r="P65" s="31">
        <v>5</v>
      </c>
      <c r="Q65" s="31">
        <v>4</v>
      </c>
      <c r="R65" s="31">
        <v>4</v>
      </c>
      <c r="S65" s="31">
        <v>5</v>
      </c>
      <c r="T65" s="31">
        <v>6</v>
      </c>
      <c r="U65" s="31">
        <v>7</v>
      </c>
      <c r="V65" s="37">
        <v>2</v>
      </c>
      <c r="W65" s="47">
        <v>3</v>
      </c>
      <c r="X65" s="47">
        <v>3</v>
      </c>
      <c r="Y65" s="47">
        <v>3</v>
      </c>
      <c r="Z65" s="47">
        <v>3</v>
      </c>
      <c r="AA65" s="47">
        <v>3</v>
      </c>
      <c r="AB65" s="47">
        <v>2</v>
      </c>
      <c r="AC65" s="37">
        <v>1</v>
      </c>
      <c r="AD65" s="47">
        <v>1</v>
      </c>
      <c r="AE65" s="47">
        <v>1</v>
      </c>
      <c r="AF65" s="47">
        <v>1</v>
      </c>
      <c r="AG65" s="47">
        <v>1</v>
      </c>
      <c r="AH65" s="47">
        <v>2</v>
      </c>
      <c r="AI65" s="48">
        <v>6</v>
      </c>
      <c r="AJ65" s="58">
        <v>7</v>
      </c>
      <c r="AK65" s="53">
        <v>7</v>
      </c>
      <c r="AL65" s="53">
        <v>7</v>
      </c>
      <c r="AM65" s="53">
        <v>7</v>
      </c>
      <c r="AN65" s="53">
        <v>7</v>
      </c>
      <c r="AO65" s="53">
        <v>7</v>
      </c>
      <c r="AP65" s="53">
        <v>7</v>
      </c>
      <c r="AQ65" s="53">
        <v>8</v>
      </c>
      <c r="AR65" s="53">
        <v>7</v>
      </c>
      <c r="AS65" s="53">
        <v>6</v>
      </c>
      <c r="AT65" s="53">
        <v>6</v>
      </c>
      <c r="AU65" s="53">
        <v>6</v>
      </c>
      <c r="AV65" s="53">
        <v>7</v>
      </c>
      <c r="AW65" s="53">
        <v>8</v>
      </c>
      <c r="AX65" s="68">
        <v>7</v>
      </c>
      <c r="AY65" s="69">
        <v>7</v>
      </c>
      <c r="AZ65" s="69">
        <v>7</v>
      </c>
      <c r="BA65" s="69">
        <v>6</v>
      </c>
      <c r="BB65" s="69">
        <v>6</v>
      </c>
      <c r="BC65" s="69">
        <v>7</v>
      </c>
      <c r="BD65" s="69">
        <v>7</v>
      </c>
      <c r="BE65" s="69">
        <v>8</v>
      </c>
      <c r="BF65" s="69">
        <v>6</v>
      </c>
      <c r="BG65" s="69">
        <v>5</v>
      </c>
      <c r="BH65" s="69">
        <v>5</v>
      </c>
      <c r="BI65" s="69">
        <v>6</v>
      </c>
      <c r="BJ65" s="69">
        <v>7</v>
      </c>
      <c r="BK65" s="70">
        <v>7</v>
      </c>
    </row>
    <row r="66" spans="7:63">
      <c r="G66" s="84">
        <v>62</v>
      </c>
      <c r="H66" s="30">
        <v>7</v>
      </c>
      <c r="I66" s="31">
        <v>7</v>
      </c>
      <c r="J66" s="31">
        <v>6</v>
      </c>
      <c r="K66" s="31">
        <v>6</v>
      </c>
      <c r="L66" s="31">
        <v>6</v>
      </c>
      <c r="M66" s="31">
        <v>6</v>
      </c>
      <c r="N66" s="32">
        <v>7</v>
      </c>
      <c r="O66" s="31">
        <v>7</v>
      </c>
      <c r="P66" s="31">
        <v>6</v>
      </c>
      <c r="Q66" s="31">
        <v>5</v>
      </c>
      <c r="R66" s="31">
        <v>5</v>
      </c>
      <c r="S66" s="31">
        <v>6</v>
      </c>
      <c r="T66" s="31">
        <v>7</v>
      </c>
      <c r="U66" s="31">
        <v>7</v>
      </c>
      <c r="V66" s="37">
        <v>3</v>
      </c>
      <c r="W66" s="47">
        <v>3</v>
      </c>
      <c r="X66" s="47">
        <v>4</v>
      </c>
      <c r="Y66" s="47">
        <v>4</v>
      </c>
      <c r="Z66" s="47">
        <v>4</v>
      </c>
      <c r="AA66" s="47">
        <v>3</v>
      </c>
      <c r="AB66" s="47">
        <v>3</v>
      </c>
      <c r="AC66" s="37">
        <v>1</v>
      </c>
      <c r="AD66" s="47">
        <v>1</v>
      </c>
      <c r="AE66" s="47">
        <v>1</v>
      </c>
      <c r="AF66" s="47">
        <v>1</v>
      </c>
      <c r="AG66" s="47">
        <v>1</v>
      </c>
      <c r="AH66" s="47">
        <v>3</v>
      </c>
      <c r="AI66" s="48">
        <v>7</v>
      </c>
      <c r="AJ66" s="58">
        <v>8</v>
      </c>
      <c r="AK66" s="53">
        <v>7</v>
      </c>
      <c r="AL66" s="53">
        <v>7</v>
      </c>
      <c r="AM66" s="53">
        <v>7</v>
      </c>
      <c r="AN66" s="53">
        <v>7</v>
      </c>
      <c r="AO66" s="53">
        <v>7</v>
      </c>
      <c r="AP66" s="53">
        <v>7</v>
      </c>
      <c r="AQ66" s="53">
        <v>8</v>
      </c>
      <c r="AR66" s="53">
        <v>7</v>
      </c>
      <c r="AS66" s="53">
        <v>7</v>
      </c>
      <c r="AT66" s="53">
        <v>6</v>
      </c>
      <c r="AU66" s="53">
        <v>6</v>
      </c>
      <c r="AV66" s="53">
        <v>7</v>
      </c>
      <c r="AW66" s="53">
        <v>8</v>
      </c>
      <c r="AX66" s="68">
        <v>7</v>
      </c>
      <c r="AY66" s="69">
        <v>7</v>
      </c>
      <c r="AZ66" s="69">
        <v>7</v>
      </c>
      <c r="BA66" s="69">
        <v>7</v>
      </c>
      <c r="BB66" s="69">
        <v>7</v>
      </c>
      <c r="BC66" s="69">
        <v>7</v>
      </c>
      <c r="BD66" s="69">
        <v>7</v>
      </c>
      <c r="BE66" s="69">
        <v>8</v>
      </c>
      <c r="BF66" s="69">
        <v>7</v>
      </c>
      <c r="BG66" s="69">
        <v>6</v>
      </c>
      <c r="BH66" s="69">
        <v>6</v>
      </c>
      <c r="BI66" s="69">
        <v>6</v>
      </c>
      <c r="BJ66" s="69">
        <v>7</v>
      </c>
      <c r="BK66" s="70">
        <v>7</v>
      </c>
    </row>
    <row r="67" spans="7:63">
      <c r="G67" s="84">
        <v>63</v>
      </c>
      <c r="H67" s="30">
        <v>8</v>
      </c>
      <c r="I67" s="31">
        <v>7</v>
      </c>
      <c r="J67" s="31">
        <v>7</v>
      </c>
      <c r="K67" s="31">
        <v>6</v>
      </c>
      <c r="L67" s="31">
        <v>6</v>
      </c>
      <c r="M67" s="31">
        <v>7</v>
      </c>
      <c r="N67" s="32">
        <v>7</v>
      </c>
      <c r="O67" s="31">
        <v>7</v>
      </c>
      <c r="P67" s="31">
        <v>6</v>
      </c>
      <c r="Q67" s="31">
        <v>5</v>
      </c>
      <c r="R67" s="31">
        <v>5</v>
      </c>
      <c r="S67" s="31">
        <v>6</v>
      </c>
      <c r="T67" s="31">
        <v>7</v>
      </c>
      <c r="U67" s="31">
        <v>8</v>
      </c>
      <c r="V67" s="37">
        <v>3</v>
      </c>
      <c r="W67" s="47">
        <v>4</v>
      </c>
      <c r="X67" s="47">
        <v>4</v>
      </c>
      <c r="Y67" s="47">
        <v>4</v>
      </c>
      <c r="Z67" s="47">
        <v>4</v>
      </c>
      <c r="AA67" s="47">
        <v>4</v>
      </c>
      <c r="AB67" s="47">
        <v>3</v>
      </c>
      <c r="AC67" s="37">
        <v>1</v>
      </c>
      <c r="AD67" s="47">
        <v>1</v>
      </c>
      <c r="AE67" s="47">
        <v>1</v>
      </c>
      <c r="AF67" s="47">
        <v>1</v>
      </c>
      <c r="AG67" s="47">
        <v>1</v>
      </c>
      <c r="AH67" s="47">
        <v>3</v>
      </c>
      <c r="AI67" s="48">
        <v>7</v>
      </c>
      <c r="AJ67" s="58">
        <v>8</v>
      </c>
      <c r="AK67" s="53">
        <v>8</v>
      </c>
      <c r="AL67" s="53">
        <v>7</v>
      </c>
      <c r="AM67" s="53">
        <v>7</v>
      </c>
      <c r="AN67" s="53">
        <v>7</v>
      </c>
      <c r="AO67" s="53">
        <v>7</v>
      </c>
      <c r="AP67" s="53">
        <v>7</v>
      </c>
      <c r="AQ67" s="53">
        <v>8</v>
      </c>
      <c r="AR67" s="53">
        <v>8</v>
      </c>
      <c r="AS67" s="53">
        <v>7</v>
      </c>
      <c r="AT67" s="53">
        <v>6</v>
      </c>
      <c r="AU67" s="53">
        <v>6</v>
      </c>
      <c r="AV67" s="53">
        <v>7</v>
      </c>
      <c r="AW67" s="53">
        <v>8</v>
      </c>
      <c r="AX67" s="68">
        <v>8</v>
      </c>
      <c r="AY67" s="69">
        <v>7</v>
      </c>
      <c r="AZ67" s="69">
        <v>7</v>
      </c>
      <c r="BA67" s="69">
        <v>7</v>
      </c>
      <c r="BB67" s="69">
        <v>7</v>
      </c>
      <c r="BC67" s="69">
        <v>7</v>
      </c>
      <c r="BD67" s="69">
        <v>7</v>
      </c>
      <c r="BE67" s="69">
        <v>8</v>
      </c>
      <c r="BF67" s="69">
        <v>7</v>
      </c>
      <c r="BG67" s="69">
        <v>6</v>
      </c>
      <c r="BH67" s="69">
        <v>6</v>
      </c>
      <c r="BI67" s="69">
        <v>7</v>
      </c>
      <c r="BJ67" s="69">
        <v>7</v>
      </c>
      <c r="BK67" s="70">
        <v>7</v>
      </c>
    </row>
    <row r="68" spans="7:63">
      <c r="G68" s="84">
        <v>64</v>
      </c>
      <c r="H68" s="30">
        <v>8</v>
      </c>
      <c r="I68" s="31">
        <v>7</v>
      </c>
      <c r="J68" s="31">
        <v>7</v>
      </c>
      <c r="K68" s="31">
        <v>7</v>
      </c>
      <c r="L68" s="31">
        <v>7</v>
      </c>
      <c r="M68" s="31">
        <v>7</v>
      </c>
      <c r="N68" s="32">
        <v>7</v>
      </c>
      <c r="O68" s="31">
        <v>8</v>
      </c>
      <c r="P68" s="31">
        <v>6</v>
      </c>
      <c r="Q68" s="31">
        <v>5</v>
      </c>
      <c r="R68" s="31">
        <v>6</v>
      </c>
      <c r="S68" s="31">
        <v>6</v>
      </c>
      <c r="T68" s="31">
        <v>7</v>
      </c>
      <c r="U68" s="31">
        <v>8</v>
      </c>
      <c r="V68" s="37">
        <v>4</v>
      </c>
      <c r="W68" s="47">
        <v>4</v>
      </c>
      <c r="X68" s="47">
        <v>5</v>
      </c>
      <c r="Y68" s="47">
        <v>5</v>
      </c>
      <c r="Z68" s="47">
        <v>5</v>
      </c>
      <c r="AA68" s="47">
        <v>4</v>
      </c>
      <c r="AB68" s="47">
        <v>4</v>
      </c>
      <c r="AC68" s="37">
        <v>1</v>
      </c>
      <c r="AD68" s="47">
        <v>1</v>
      </c>
      <c r="AE68" s="47">
        <v>1</v>
      </c>
      <c r="AF68" s="47">
        <v>1</v>
      </c>
      <c r="AG68" s="47">
        <v>1</v>
      </c>
      <c r="AH68" s="47">
        <v>4</v>
      </c>
      <c r="AI68" s="48">
        <v>7</v>
      </c>
      <c r="AJ68" s="58">
        <v>8</v>
      </c>
      <c r="AK68" s="53">
        <v>8</v>
      </c>
      <c r="AL68" s="53">
        <v>8</v>
      </c>
      <c r="AM68" s="53">
        <v>8</v>
      </c>
      <c r="AN68" s="53">
        <v>7</v>
      </c>
      <c r="AO68" s="53">
        <v>7</v>
      </c>
      <c r="AP68" s="53">
        <v>7</v>
      </c>
      <c r="AQ68" s="53">
        <v>9</v>
      </c>
      <c r="AR68" s="53">
        <v>8</v>
      </c>
      <c r="AS68" s="53">
        <v>7</v>
      </c>
      <c r="AT68" s="53">
        <v>7</v>
      </c>
      <c r="AU68" s="53">
        <v>7</v>
      </c>
      <c r="AV68" s="53">
        <v>8</v>
      </c>
      <c r="AW68" s="53">
        <v>8</v>
      </c>
      <c r="AX68" s="68">
        <v>8</v>
      </c>
      <c r="AY68" s="69">
        <v>8</v>
      </c>
      <c r="AZ68" s="69">
        <v>7</v>
      </c>
      <c r="BA68" s="69">
        <v>7</v>
      </c>
      <c r="BB68" s="69">
        <v>7</v>
      </c>
      <c r="BC68" s="69">
        <v>7</v>
      </c>
      <c r="BD68" s="69">
        <v>8</v>
      </c>
      <c r="BE68" s="69">
        <v>8</v>
      </c>
      <c r="BF68" s="69">
        <v>7</v>
      </c>
      <c r="BG68" s="69">
        <v>6</v>
      </c>
      <c r="BH68" s="69">
        <v>7</v>
      </c>
      <c r="BI68" s="69">
        <v>7</v>
      </c>
      <c r="BJ68" s="69">
        <v>7</v>
      </c>
      <c r="BK68" s="70">
        <v>8</v>
      </c>
    </row>
    <row r="69" spans="7:63">
      <c r="G69" s="84">
        <v>65</v>
      </c>
      <c r="H69" s="30">
        <v>8</v>
      </c>
      <c r="I69" s="31">
        <v>8</v>
      </c>
      <c r="J69" s="31">
        <v>7</v>
      </c>
      <c r="K69" s="31">
        <v>7</v>
      </c>
      <c r="L69" s="31">
        <v>7</v>
      </c>
      <c r="M69" s="31">
        <v>7</v>
      </c>
      <c r="N69" s="32">
        <v>8</v>
      </c>
      <c r="O69" s="31">
        <v>8</v>
      </c>
      <c r="P69" s="31">
        <v>7</v>
      </c>
      <c r="Q69" s="31">
        <v>6</v>
      </c>
      <c r="R69" s="31">
        <v>6</v>
      </c>
      <c r="S69" s="31">
        <v>7</v>
      </c>
      <c r="T69" s="31">
        <v>8</v>
      </c>
      <c r="U69" s="31">
        <v>8</v>
      </c>
      <c r="V69" s="37">
        <v>4</v>
      </c>
      <c r="W69" s="47">
        <v>5</v>
      </c>
      <c r="X69" s="47">
        <v>5</v>
      </c>
      <c r="Y69" s="47">
        <v>5</v>
      </c>
      <c r="Z69" s="47">
        <v>5</v>
      </c>
      <c r="AA69" s="47">
        <v>5</v>
      </c>
      <c r="AB69" s="47">
        <v>4</v>
      </c>
      <c r="AC69" s="37">
        <v>2</v>
      </c>
      <c r="AD69" s="47">
        <v>1</v>
      </c>
      <c r="AE69" s="47">
        <v>2</v>
      </c>
      <c r="AF69" s="47">
        <v>1</v>
      </c>
      <c r="AG69" s="47">
        <v>1</v>
      </c>
      <c r="AH69" s="47">
        <v>4</v>
      </c>
      <c r="AI69" s="48">
        <v>7</v>
      </c>
      <c r="AJ69" s="58">
        <v>8</v>
      </c>
      <c r="AK69" s="53">
        <v>8</v>
      </c>
      <c r="AL69" s="53">
        <v>8</v>
      </c>
      <c r="AM69" s="53">
        <v>8</v>
      </c>
      <c r="AN69" s="53">
        <v>8</v>
      </c>
      <c r="AO69" s="53">
        <v>8</v>
      </c>
      <c r="AP69" s="53">
        <v>8</v>
      </c>
      <c r="AQ69" s="53">
        <v>9</v>
      </c>
      <c r="AR69" s="53">
        <v>8</v>
      </c>
      <c r="AS69" s="53">
        <v>8</v>
      </c>
      <c r="AT69" s="53">
        <v>7</v>
      </c>
      <c r="AU69" s="53">
        <v>7</v>
      </c>
      <c r="AV69" s="53">
        <v>8</v>
      </c>
      <c r="AW69" s="53">
        <v>9</v>
      </c>
      <c r="AX69" s="68">
        <v>8</v>
      </c>
      <c r="AY69" s="69">
        <v>8</v>
      </c>
      <c r="AZ69" s="69">
        <v>8</v>
      </c>
      <c r="BA69" s="69">
        <v>8</v>
      </c>
      <c r="BB69" s="69">
        <v>7</v>
      </c>
      <c r="BC69" s="69">
        <v>8</v>
      </c>
      <c r="BD69" s="69">
        <v>8</v>
      </c>
      <c r="BE69" s="69">
        <v>8</v>
      </c>
      <c r="BF69" s="69">
        <v>7</v>
      </c>
      <c r="BG69" s="69">
        <v>7</v>
      </c>
      <c r="BH69" s="69">
        <v>7</v>
      </c>
      <c r="BI69" s="69">
        <v>7</v>
      </c>
      <c r="BJ69" s="69">
        <v>8</v>
      </c>
      <c r="BK69" s="70">
        <v>8</v>
      </c>
    </row>
    <row r="70" spans="7:63">
      <c r="G70" s="84">
        <v>66</v>
      </c>
      <c r="H70" s="30">
        <v>9</v>
      </c>
      <c r="I70" s="31">
        <v>8</v>
      </c>
      <c r="J70" s="31">
        <v>8</v>
      </c>
      <c r="K70" s="31">
        <v>7</v>
      </c>
      <c r="L70" s="31">
        <v>7</v>
      </c>
      <c r="M70" s="31">
        <v>8</v>
      </c>
      <c r="N70" s="32">
        <v>8</v>
      </c>
      <c r="O70" s="31">
        <v>8</v>
      </c>
      <c r="P70" s="31">
        <v>7</v>
      </c>
      <c r="Q70" s="31">
        <v>6</v>
      </c>
      <c r="R70" s="31">
        <v>6</v>
      </c>
      <c r="S70" s="31">
        <v>7</v>
      </c>
      <c r="T70" s="31">
        <v>8</v>
      </c>
      <c r="U70" s="31">
        <v>8</v>
      </c>
      <c r="V70" s="37">
        <v>5</v>
      </c>
      <c r="W70" s="47">
        <v>5</v>
      </c>
      <c r="X70" s="47">
        <v>5</v>
      </c>
      <c r="Y70" s="47">
        <v>6</v>
      </c>
      <c r="Z70" s="47">
        <v>5</v>
      </c>
      <c r="AA70" s="47">
        <v>5</v>
      </c>
      <c r="AB70" s="47">
        <v>5</v>
      </c>
      <c r="AC70" s="37">
        <v>3</v>
      </c>
      <c r="AD70" s="47">
        <v>2</v>
      </c>
      <c r="AE70" s="47">
        <v>2</v>
      </c>
      <c r="AF70" s="47">
        <v>2</v>
      </c>
      <c r="AG70" s="47">
        <v>1</v>
      </c>
      <c r="AH70" s="47">
        <v>5</v>
      </c>
      <c r="AI70" s="48">
        <v>8</v>
      </c>
      <c r="AJ70" s="58">
        <v>9</v>
      </c>
      <c r="AK70" s="53">
        <v>8</v>
      </c>
      <c r="AL70" s="53">
        <v>8</v>
      </c>
      <c r="AM70" s="53">
        <v>8</v>
      </c>
      <c r="AN70" s="53">
        <v>8</v>
      </c>
      <c r="AO70" s="53">
        <v>8</v>
      </c>
      <c r="AP70" s="53">
        <v>8</v>
      </c>
      <c r="AQ70" s="53">
        <v>9</v>
      </c>
      <c r="AR70" s="53">
        <v>8</v>
      </c>
      <c r="AS70" s="53">
        <v>8</v>
      </c>
      <c r="AT70" s="53">
        <v>7</v>
      </c>
      <c r="AU70" s="53">
        <v>7</v>
      </c>
      <c r="AV70" s="53">
        <v>8</v>
      </c>
      <c r="AW70" s="53">
        <v>9</v>
      </c>
      <c r="AX70" s="68">
        <v>8</v>
      </c>
      <c r="AY70" s="69">
        <v>8</v>
      </c>
      <c r="AZ70" s="69">
        <v>8</v>
      </c>
      <c r="BA70" s="69">
        <v>8</v>
      </c>
      <c r="BB70" s="69">
        <v>8</v>
      </c>
      <c r="BC70" s="69">
        <v>8</v>
      </c>
      <c r="BD70" s="69">
        <v>8</v>
      </c>
      <c r="BE70" s="69">
        <v>9</v>
      </c>
      <c r="BF70" s="69">
        <v>8</v>
      </c>
      <c r="BG70" s="69">
        <v>7</v>
      </c>
      <c r="BH70" s="69">
        <v>7</v>
      </c>
      <c r="BI70" s="69">
        <v>8</v>
      </c>
      <c r="BJ70" s="69">
        <v>8</v>
      </c>
      <c r="BK70" s="70">
        <v>8</v>
      </c>
    </row>
    <row r="71" spans="7:63">
      <c r="G71" s="84">
        <v>67</v>
      </c>
      <c r="H71" s="30">
        <v>9</v>
      </c>
      <c r="I71" s="31">
        <v>8</v>
      </c>
      <c r="J71" s="31">
        <v>8</v>
      </c>
      <c r="K71" s="31">
        <v>8</v>
      </c>
      <c r="L71" s="31">
        <v>8</v>
      </c>
      <c r="M71" s="31">
        <v>8</v>
      </c>
      <c r="N71" s="32">
        <v>8</v>
      </c>
      <c r="O71" s="31">
        <v>8</v>
      </c>
      <c r="P71" s="31">
        <v>7</v>
      </c>
      <c r="Q71" s="31">
        <v>7</v>
      </c>
      <c r="R71" s="31">
        <v>7</v>
      </c>
      <c r="S71" s="31">
        <v>8</v>
      </c>
      <c r="T71" s="31">
        <v>8</v>
      </c>
      <c r="U71" s="31">
        <v>9</v>
      </c>
      <c r="V71" s="37">
        <v>5</v>
      </c>
      <c r="W71" s="47">
        <v>6</v>
      </c>
      <c r="X71" s="47">
        <v>6</v>
      </c>
      <c r="Y71" s="47">
        <v>6</v>
      </c>
      <c r="Z71" s="47">
        <v>6</v>
      </c>
      <c r="AA71" s="47">
        <v>6</v>
      </c>
      <c r="AB71" s="47">
        <v>5</v>
      </c>
      <c r="AC71" s="37">
        <v>3</v>
      </c>
      <c r="AD71" s="47">
        <v>3</v>
      </c>
      <c r="AE71" s="47">
        <v>3</v>
      </c>
      <c r="AF71" s="47">
        <v>3</v>
      </c>
      <c r="AG71" s="47">
        <v>2</v>
      </c>
      <c r="AH71" s="47">
        <v>5</v>
      </c>
      <c r="AI71" s="48">
        <v>8</v>
      </c>
      <c r="AJ71" s="58">
        <v>9</v>
      </c>
      <c r="AK71" s="53">
        <v>9</v>
      </c>
      <c r="AL71" s="53">
        <v>9</v>
      </c>
      <c r="AM71" s="53">
        <v>8</v>
      </c>
      <c r="AN71" s="53">
        <v>8</v>
      </c>
      <c r="AO71" s="53">
        <v>8</v>
      </c>
      <c r="AP71" s="53">
        <v>8</v>
      </c>
      <c r="AQ71" s="53">
        <v>9</v>
      </c>
      <c r="AR71" s="53">
        <v>9</v>
      </c>
      <c r="AS71" s="53">
        <v>8</v>
      </c>
      <c r="AT71" s="53">
        <v>8</v>
      </c>
      <c r="AU71" s="53">
        <v>8</v>
      </c>
      <c r="AV71" s="53">
        <v>8</v>
      </c>
      <c r="AW71" s="53">
        <v>9</v>
      </c>
      <c r="AX71" s="68">
        <v>9</v>
      </c>
      <c r="AY71" s="69">
        <v>8</v>
      </c>
      <c r="AZ71" s="69">
        <v>8</v>
      </c>
      <c r="BA71" s="69">
        <v>8</v>
      </c>
      <c r="BB71" s="69">
        <v>8</v>
      </c>
      <c r="BC71" s="69">
        <v>8</v>
      </c>
      <c r="BD71" s="69">
        <v>8</v>
      </c>
      <c r="BE71" s="69">
        <v>9</v>
      </c>
      <c r="BF71" s="69">
        <v>8</v>
      </c>
      <c r="BG71" s="69">
        <v>8</v>
      </c>
      <c r="BH71" s="69">
        <v>8</v>
      </c>
      <c r="BI71" s="69">
        <v>8</v>
      </c>
      <c r="BJ71" s="69">
        <v>8</v>
      </c>
      <c r="BK71" s="70">
        <v>8</v>
      </c>
    </row>
    <row r="72" spans="7:63">
      <c r="G72" s="84">
        <v>68</v>
      </c>
      <c r="H72" s="30">
        <v>9</v>
      </c>
      <c r="I72" s="31">
        <v>9</v>
      </c>
      <c r="J72" s="31">
        <v>8</v>
      </c>
      <c r="K72" s="31">
        <v>8</v>
      </c>
      <c r="L72" s="31">
        <v>8</v>
      </c>
      <c r="M72" s="31">
        <v>8</v>
      </c>
      <c r="N72" s="32">
        <v>8</v>
      </c>
      <c r="O72" s="31">
        <v>9</v>
      </c>
      <c r="P72" s="31">
        <v>8</v>
      </c>
      <c r="Q72" s="31">
        <v>7</v>
      </c>
      <c r="R72" s="31">
        <v>7</v>
      </c>
      <c r="S72" s="31">
        <v>8</v>
      </c>
      <c r="T72" s="31">
        <v>8</v>
      </c>
      <c r="U72" s="31">
        <v>9</v>
      </c>
      <c r="V72" s="37">
        <v>6</v>
      </c>
      <c r="W72" s="47">
        <v>6</v>
      </c>
      <c r="X72" s="47">
        <v>6</v>
      </c>
      <c r="Y72" s="47">
        <v>6</v>
      </c>
      <c r="Z72" s="47">
        <v>6</v>
      </c>
      <c r="AA72" s="47">
        <v>6</v>
      </c>
      <c r="AB72" s="47">
        <v>6</v>
      </c>
      <c r="AC72" s="37">
        <v>4</v>
      </c>
      <c r="AD72" s="47">
        <v>3</v>
      </c>
      <c r="AE72" s="47">
        <v>4</v>
      </c>
      <c r="AF72" s="47">
        <v>4</v>
      </c>
      <c r="AG72" s="47">
        <v>3</v>
      </c>
      <c r="AH72" s="47">
        <v>6</v>
      </c>
      <c r="AI72" s="48">
        <v>8</v>
      </c>
      <c r="AJ72" s="58">
        <v>9</v>
      </c>
      <c r="AK72" s="53">
        <v>9</v>
      </c>
      <c r="AL72" s="53">
        <v>9</v>
      </c>
      <c r="AM72" s="53">
        <v>9</v>
      </c>
      <c r="AN72" s="53">
        <v>9</v>
      </c>
      <c r="AO72" s="53">
        <v>8</v>
      </c>
      <c r="AP72" s="53">
        <v>8</v>
      </c>
      <c r="AQ72" s="53">
        <v>9</v>
      </c>
      <c r="AR72" s="53">
        <v>9</v>
      </c>
      <c r="AS72" s="53">
        <v>8</v>
      </c>
      <c r="AT72" s="53">
        <v>8</v>
      </c>
      <c r="AU72" s="53">
        <v>8</v>
      </c>
      <c r="AV72" s="53">
        <v>9</v>
      </c>
      <c r="AW72" s="53">
        <v>9</v>
      </c>
      <c r="AX72" s="68">
        <v>9</v>
      </c>
      <c r="AY72" s="69">
        <v>9</v>
      </c>
      <c r="AZ72" s="69">
        <v>9</v>
      </c>
      <c r="BA72" s="69">
        <v>8</v>
      </c>
      <c r="BB72" s="69">
        <v>8</v>
      </c>
      <c r="BC72" s="69">
        <v>9</v>
      </c>
      <c r="BD72" s="69">
        <v>9</v>
      </c>
      <c r="BE72" s="69">
        <v>9</v>
      </c>
      <c r="BF72" s="69">
        <v>8</v>
      </c>
      <c r="BG72" s="69">
        <v>8</v>
      </c>
      <c r="BH72" s="69">
        <v>8</v>
      </c>
      <c r="BI72" s="69">
        <v>8</v>
      </c>
      <c r="BJ72" s="69">
        <v>9</v>
      </c>
      <c r="BK72" s="70">
        <v>9</v>
      </c>
    </row>
    <row r="73" spans="7:63">
      <c r="G73" s="84">
        <v>69</v>
      </c>
      <c r="H73" s="30">
        <v>9</v>
      </c>
      <c r="I73" s="31">
        <v>9</v>
      </c>
      <c r="J73" s="31">
        <v>9</v>
      </c>
      <c r="K73" s="31">
        <v>8</v>
      </c>
      <c r="L73" s="31">
        <v>8</v>
      </c>
      <c r="M73" s="31">
        <v>8</v>
      </c>
      <c r="N73" s="32">
        <v>9</v>
      </c>
      <c r="O73" s="31">
        <v>9</v>
      </c>
      <c r="P73" s="31">
        <v>8</v>
      </c>
      <c r="Q73" s="31">
        <v>8</v>
      </c>
      <c r="R73" s="31">
        <v>8</v>
      </c>
      <c r="S73" s="31">
        <v>8</v>
      </c>
      <c r="T73" s="31">
        <v>9</v>
      </c>
      <c r="U73" s="31">
        <v>9</v>
      </c>
      <c r="V73" s="37">
        <v>6</v>
      </c>
      <c r="W73" s="47">
        <v>7</v>
      </c>
      <c r="X73" s="47">
        <v>7</v>
      </c>
      <c r="Y73" s="47">
        <v>7</v>
      </c>
      <c r="Z73" s="47">
        <v>7</v>
      </c>
      <c r="AA73" s="47">
        <v>7</v>
      </c>
      <c r="AB73" s="47">
        <v>6</v>
      </c>
      <c r="AC73" s="37">
        <v>5</v>
      </c>
      <c r="AD73" s="47">
        <v>4</v>
      </c>
      <c r="AE73" s="47">
        <v>5</v>
      </c>
      <c r="AF73" s="47">
        <v>4</v>
      </c>
      <c r="AG73" s="47">
        <v>4</v>
      </c>
      <c r="AH73" s="47">
        <v>6</v>
      </c>
      <c r="AI73" s="48">
        <v>8</v>
      </c>
      <c r="AJ73" s="58">
        <v>10</v>
      </c>
      <c r="AK73" s="53">
        <v>9</v>
      </c>
      <c r="AL73" s="53">
        <v>9</v>
      </c>
      <c r="AM73" s="53">
        <v>9</v>
      </c>
      <c r="AN73" s="53">
        <v>9</v>
      </c>
      <c r="AO73" s="53">
        <v>9</v>
      </c>
      <c r="AP73" s="53">
        <v>9</v>
      </c>
      <c r="AQ73" s="53">
        <v>10</v>
      </c>
      <c r="AR73" s="53">
        <v>9</v>
      </c>
      <c r="AS73" s="53">
        <v>9</v>
      </c>
      <c r="AT73" s="53">
        <v>8</v>
      </c>
      <c r="AU73" s="53">
        <v>8</v>
      </c>
      <c r="AV73" s="53">
        <v>9</v>
      </c>
      <c r="AW73" s="53">
        <v>9</v>
      </c>
      <c r="AX73" s="68">
        <v>9</v>
      </c>
      <c r="AY73" s="69">
        <v>9</v>
      </c>
      <c r="AZ73" s="69">
        <v>9</v>
      </c>
      <c r="BA73" s="69">
        <v>9</v>
      </c>
      <c r="BB73" s="69">
        <v>9</v>
      </c>
      <c r="BC73" s="69">
        <v>9</v>
      </c>
      <c r="BD73" s="69">
        <v>9</v>
      </c>
      <c r="BE73" s="69">
        <v>9</v>
      </c>
      <c r="BF73" s="69">
        <v>9</v>
      </c>
      <c r="BG73" s="69">
        <v>8</v>
      </c>
      <c r="BH73" s="69">
        <v>8</v>
      </c>
      <c r="BI73" s="69">
        <v>9</v>
      </c>
      <c r="BJ73" s="69">
        <v>9</v>
      </c>
      <c r="BK73" s="70">
        <v>9</v>
      </c>
    </row>
    <row r="74" spans="7:63">
      <c r="G74" s="84">
        <v>70</v>
      </c>
      <c r="H74" s="30">
        <v>10</v>
      </c>
      <c r="I74" s="31">
        <v>9</v>
      </c>
      <c r="J74" s="31">
        <v>9</v>
      </c>
      <c r="K74" s="31">
        <v>9</v>
      </c>
      <c r="L74" s="31">
        <v>9</v>
      </c>
      <c r="M74" s="31">
        <v>9</v>
      </c>
      <c r="N74" s="32">
        <v>9</v>
      </c>
      <c r="O74" s="31">
        <v>9</v>
      </c>
      <c r="P74" s="31">
        <v>9</v>
      </c>
      <c r="Q74" s="31">
        <v>8</v>
      </c>
      <c r="R74" s="31">
        <v>8</v>
      </c>
      <c r="S74" s="31">
        <v>9</v>
      </c>
      <c r="T74" s="31">
        <v>9</v>
      </c>
      <c r="U74" s="31">
        <v>9</v>
      </c>
      <c r="V74" s="37">
        <v>7</v>
      </c>
      <c r="W74" s="47">
        <v>7</v>
      </c>
      <c r="X74" s="47">
        <v>7</v>
      </c>
      <c r="Y74" s="47">
        <v>7</v>
      </c>
      <c r="Z74" s="47">
        <v>7</v>
      </c>
      <c r="AA74" s="47">
        <v>7</v>
      </c>
      <c r="AB74" s="47">
        <v>7</v>
      </c>
      <c r="AC74" s="37">
        <v>6</v>
      </c>
      <c r="AD74" s="47">
        <v>5</v>
      </c>
      <c r="AE74" s="47">
        <v>5</v>
      </c>
      <c r="AF74" s="47">
        <v>5</v>
      </c>
      <c r="AG74" s="47">
        <v>4</v>
      </c>
      <c r="AH74" s="47">
        <v>7</v>
      </c>
      <c r="AI74" s="48">
        <v>8</v>
      </c>
      <c r="AJ74" s="58">
        <v>10</v>
      </c>
      <c r="AK74" s="53">
        <v>10</v>
      </c>
      <c r="AL74" s="53">
        <v>9</v>
      </c>
      <c r="AM74" s="53">
        <v>9</v>
      </c>
      <c r="AN74" s="53">
        <v>9</v>
      </c>
      <c r="AO74" s="53">
        <v>9</v>
      </c>
      <c r="AP74" s="53">
        <v>9</v>
      </c>
      <c r="AQ74" s="53">
        <v>10</v>
      </c>
      <c r="AR74" s="53">
        <v>9</v>
      </c>
      <c r="AS74" s="53">
        <v>9</v>
      </c>
      <c r="AT74" s="53">
        <v>9</v>
      </c>
      <c r="AU74" s="53">
        <v>9</v>
      </c>
      <c r="AV74" s="53">
        <v>9</v>
      </c>
      <c r="AW74" s="53">
        <v>9</v>
      </c>
      <c r="AX74" s="68">
        <v>9</v>
      </c>
      <c r="AY74" s="69">
        <v>9</v>
      </c>
      <c r="AZ74" s="69">
        <v>9</v>
      </c>
      <c r="BA74" s="69">
        <v>9</v>
      </c>
      <c r="BB74" s="69">
        <v>9</v>
      </c>
      <c r="BC74" s="69">
        <v>9</v>
      </c>
      <c r="BD74" s="69">
        <v>9</v>
      </c>
      <c r="BE74" s="69">
        <v>9</v>
      </c>
      <c r="BF74" s="69">
        <v>9</v>
      </c>
      <c r="BG74" s="69">
        <v>9</v>
      </c>
      <c r="BH74" s="69">
        <v>9</v>
      </c>
      <c r="BI74" s="69">
        <v>9</v>
      </c>
      <c r="BJ74" s="69">
        <v>9</v>
      </c>
      <c r="BK74" s="70">
        <v>9</v>
      </c>
    </row>
    <row r="75" spans="7:63">
      <c r="G75" s="84">
        <v>71</v>
      </c>
      <c r="H75" s="30">
        <v>10</v>
      </c>
      <c r="I75" s="31">
        <v>10</v>
      </c>
      <c r="J75" s="31">
        <v>9</v>
      </c>
      <c r="K75" s="31">
        <v>9</v>
      </c>
      <c r="L75" s="31">
        <v>9</v>
      </c>
      <c r="M75" s="31">
        <v>9</v>
      </c>
      <c r="N75" s="32">
        <v>9</v>
      </c>
      <c r="O75" s="31">
        <v>10</v>
      </c>
      <c r="P75" s="31">
        <v>9</v>
      </c>
      <c r="Q75" s="31">
        <v>9</v>
      </c>
      <c r="R75" s="31">
        <v>9</v>
      </c>
      <c r="S75" s="31">
        <v>9</v>
      </c>
      <c r="T75" s="31">
        <v>9</v>
      </c>
      <c r="U75" s="31">
        <v>10</v>
      </c>
      <c r="V75" s="37">
        <v>8</v>
      </c>
      <c r="W75" s="47">
        <v>8</v>
      </c>
      <c r="X75" s="47">
        <v>8</v>
      </c>
      <c r="Y75" s="47">
        <v>8</v>
      </c>
      <c r="Z75" s="47">
        <v>8</v>
      </c>
      <c r="AA75" s="47">
        <v>7</v>
      </c>
      <c r="AB75" s="47">
        <v>7</v>
      </c>
      <c r="AC75" s="37">
        <v>6</v>
      </c>
      <c r="AD75" s="47">
        <v>6</v>
      </c>
      <c r="AE75" s="47">
        <v>6</v>
      </c>
      <c r="AF75" s="47">
        <v>6</v>
      </c>
      <c r="AG75" s="47">
        <v>5</v>
      </c>
      <c r="AH75" s="47">
        <v>7</v>
      </c>
      <c r="AI75" s="48">
        <v>9</v>
      </c>
      <c r="AJ75" s="58">
        <v>10</v>
      </c>
      <c r="AK75" s="53">
        <v>10</v>
      </c>
      <c r="AL75" s="53">
        <v>10</v>
      </c>
      <c r="AM75" s="53">
        <v>9</v>
      </c>
      <c r="AN75" s="53">
        <v>9</v>
      </c>
      <c r="AO75" s="53">
        <v>9</v>
      </c>
      <c r="AP75" s="53">
        <v>9</v>
      </c>
      <c r="AQ75" s="53">
        <v>10</v>
      </c>
      <c r="AR75" s="53">
        <v>10</v>
      </c>
      <c r="AS75" s="53">
        <v>9</v>
      </c>
      <c r="AT75" s="53">
        <v>9</v>
      </c>
      <c r="AU75" s="53">
        <v>9</v>
      </c>
      <c r="AV75" s="53">
        <v>9</v>
      </c>
      <c r="AW75" s="53">
        <v>10</v>
      </c>
      <c r="AX75" s="68">
        <v>10</v>
      </c>
      <c r="AY75" s="69">
        <v>10</v>
      </c>
      <c r="AZ75" s="69">
        <v>9</v>
      </c>
      <c r="BA75" s="69">
        <v>9</v>
      </c>
      <c r="BB75" s="69">
        <v>9</v>
      </c>
      <c r="BC75" s="69">
        <v>10</v>
      </c>
      <c r="BD75" s="69">
        <v>10</v>
      </c>
      <c r="BE75" s="69">
        <v>10</v>
      </c>
      <c r="BF75" s="69">
        <v>9</v>
      </c>
      <c r="BG75" s="69">
        <v>9</v>
      </c>
      <c r="BH75" s="69">
        <v>9</v>
      </c>
      <c r="BI75" s="69">
        <v>9</v>
      </c>
      <c r="BJ75" s="69">
        <v>9</v>
      </c>
      <c r="BK75" s="70">
        <v>9</v>
      </c>
    </row>
    <row r="76" spans="7:63">
      <c r="G76" s="84">
        <v>72</v>
      </c>
      <c r="H76" s="30">
        <v>11</v>
      </c>
      <c r="I76" s="31">
        <v>10</v>
      </c>
      <c r="J76" s="31">
        <v>10</v>
      </c>
      <c r="K76" s="31">
        <v>9</v>
      </c>
      <c r="L76" s="31">
        <v>9</v>
      </c>
      <c r="M76" s="31">
        <v>9</v>
      </c>
      <c r="N76" s="32">
        <v>10</v>
      </c>
      <c r="O76" s="31">
        <v>10</v>
      </c>
      <c r="P76" s="31">
        <v>9</v>
      </c>
      <c r="Q76" s="31">
        <v>9</v>
      </c>
      <c r="R76" s="31">
        <v>9</v>
      </c>
      <c r="S76" s="31">
        <v>9</v>
      </c>
      <c r="T76" s="31">
        <v>10</v>
      </c>
      <c r="U76" s="31">
        <v>10</v>
      </c>
      <c r="V76" s="37">
        <v>8</v>
      </c>
      <c r="W76" s="47">
        <v>8</v>
      </c>
      <c r="X76" s="47">
        <v>8</v>
      </c>
      <c r="Y76" s="47">
        <v>8</v>
      </c>
      <c r="Z76" s="47">
        <v>8</v>
      </c>
      <c r="AA76" s="47">
        <v>8</v>
      </c>
      <c r="AB76" s="47">
        <v>8</v>
      </c>
      <c r="AC76" s="37">
        <v>7</v>
      </c>
      <c r="AD76" s="47">
        <v>6</v>
      </c>
      <c r="AE76" s="47">
        <v>7</v>
      </c>
      <c r="AF76" s="47">
        <v>6</v>
      </c>
      <c r="AG76" s="47">
        <v>6</v>
      </c>
      <c r="AH76" s="47">
        <v>8</v>
      </c>
      <c r="AI76" s="48">
        <v>9</v>
      </c>
      <c r="AJ76" s="58">
        <v>11</v>
      </c>
      <c r="AK76" s="53">
        <v>10</v>
      </c>
      <c r="AL76" s="53">
        <v>10</v>
      </c>
      <c r="AM76" s="53">
        <v>10</v>
      </c>
      <c r="AN76" s="53">
        <v>10</v>
      </c>
      <c r="AO76" s="53">
        <v>10</v>
      </c>
      <c r="AP76" s="53">
        <v>10</v>
      </c>
      <c r="AQ76" s="53">
        <v>11</v>
      </c>
      <c r="AR76" s="53">
        <v>10</v>
      </c>
      <c r="AS76" s="53">
        <v>10</v>
      </c>
      <c r="AT76" s="53">
        <v>9</v>
      </c>
      <c r="AU76" s="53">
        <v>9</v>
      </c>
      <c r="AV76" s="53">
        <v>10</v>
      </c>
      <c r="AW76" s="53">
        <v>10</v>
      </c>
      <c r="AX76" s="68">
        <v>10</v>
      </c>
      <c r="AY76" s="69">
        <v>10</v>
      </c>
      <c r="AZ76" s="69">
        <v>10</v>
      </c>
      <c r="BA76" s="69">
        <v>10</v>
      </c>
      <c r="BB76" s="69">
        <v>10</v>
      </c>
      <c r="BC76" s="69">
        <v>10</v>
      </c>
      <c r="BD76" s="69">
        <v>10</v>
      </c>
      <c r="BE76" s="69">
        <v>10</v>
      </c>
      <c r="BF76" s="69">
        <v>10</v>
      </c>
      <c r="BG76" s="69">
        <v>9</v>
      </c>
      <c r="BH76" s="69">
        <v>9</v>
      </c>
      <c r="BI76" s="69">
        <v>10</v>
      </c>
      <c r="BJ76" s="69">
        <v>10</v>
      </c>
      <c r="BK76" s="70">
        <v>10</v>
      </c>
    </row>
    <row r="77" spans="7:63">
      <c r="G77" s="84">
        <v>73</v>
      </c>
      <c r="H77" s="30">
        <v>12</v>
      </c>
      <c r="I77" s="31">
        <v>11</v>
      </c>
      <c r="J77" s="31">
        <v>10</v>
      </c>
      <c r="K77" s="31">
        <v>10</v>
      </c>
      <c r="L77" s="31">
        <v>10</v>
      </c>
      <c r="M77" s="31">
        <v>10</v>
      </c>
      <c r="N77" s="32">
        <v>10</v>
      </c>
      <c r="O77" s="31">
        <v>11</v>
      </c>
      <c r="P77" s="31">
        <v>10</v>
      </c>
      <c r="Q77" s="31">
        <v>10</v>
      </c>
      <c r="R77" s="31">
        <v>9</v>
      </c>
      <c r="S77" s="31">
        <v>10</v>
      </c>
      <c r="T77" s="31">
        <v>10</v>
      </c>
      <c r="U77" s="31">
        <v>11</v>
      </c>
      <c r="V77" s="37">
        <v>9</v>
      </c>
      <c r="W77" s="47">
        <v>9</v>
      </c>
      <c r="X77" s="47">
        <v>9</v>
      </c>
      <c r="Y77" s="47">
        <v>8</v>
      </c>
      <c r="Z77" s="47">
        <v>8</v>
      </c>
      <c r="AA77" s="47">
        <v>8</v>
      </c>
      <c r="AB77" s="47">
        <v>8</v>
      </c>
      <c r="AC77" s="37">
        <v>8</v>
      </c>
      <c r="AD77" s="47">
        <v>7</v>
      </c>
      <c r="AE77" s="47">
        <v>7</v>
      </c>
      <c r="AF77" s="47">
        <v>7</v>
      </c>
      <c r="AG77" s="47">
        <v>7</v>
      </c>
      <c r="AH77" s="47">
        <v>8</v>
      </c>
      <c r="AI77" s="48">
        <v>9</v>
      </c>
      <c r="AJ77" s="58">
        <v>12</v>
      </c>
      <c r="AK77" s="53">
        <v>11</v>
      </c>
      <c r="AL77" s="53">
        <v>11</v>
      </c>
      <c r="AM77" s="53">
        <v>10</v>
      </c>
      <c r="AN77" s="53">
        <v>10</v>
      </c>
      <c r="AO77" s="53">
        <v>10</v>
      </c>
      <c r="AP77" s="53">
        <v>10</v>
      </c>
      <c r="AQ77" s="53">
        <v>11</v>
      </c>
      <c r="AR77" s="53">
        <v>11</v>
      </c>
      <c r="AS77" s="53">
        <v>10</v>
      </c>
      <c r="AT77" s="53">
        <v>10</v>
      </c>
      <c r="AU77" s="53">
        <v>10</v>
      </c>
      <c r="AV77" s="53">
        <v>10</v>
      </c>
      <c r="AW77" s="53">
        <v>10</v>
      </c>
      <c r="AX77" s="68">
        <v>11</v>
      </c>
      <c r="AY77" s="69">
        <v>10</v>
      </c>
      <c r="AZ77" s="69">
        <v>10</v>
      </c>
      <c r="BA77" s="69">
        <v>10</v>
      </c>
      <c r="BB77" s="69">
        <v>10</v>
      </c>
      <c r="BC77" s="69">
        <v>11</v>
      </c>
      <c r="BD77" s="69">
        <v>11</v>
      </c>
      <c r="BE77" s="69">
        <v>10</v>
      </c>
      <c r="BF77" s="69">
        <v>10</v>
      </c>
      <c r="BG77" s="69">
        <v>10</v>
      </c>
      <c r="BH77" s="69">
        <v>10</v>
      </c>
      <c r="BI77" s="69">
        <v>10</v>
      </c>
      <c r="BJ77" s="69">
        <v>10</v>
      </c>
      <c r="BK77" s="70">
        <v>10</v>
      </c>
    </row>
    <row r="78" spans="7:63">
      <c r="G78" s="84">
        <v>74</v>
      </c>
      <c r="H78" s="30">
        <v>13</v>
      </c>
      <c r="I78" s="31">
        <v>12</v>
      </c>
      <c r="J78" s="31">
        <v>11</v>
      </c>
      <c r="K78" s="31">
        <v>11</v>
      </c>
      <c r="L78" s="31">
        <v>10</v>
      </c>
      <c r="M78" s="31">
        <v>11</v>
      </c>
      <c r="N78" s="32">
        <v>12</v>
      </c>
      <c r="O78" s="31">
        <v>12</v>
      </c>
      <c r="P78" s="31">
        <v>11</v>
      </c>
      <c r="Q78" s="31">
        <v>10</v>
      </c>
      <c r="R78" s="31">
        <v>10</v>
      </c>
      <c r="S78" s="31">
        <v>10</v>
      </c>
      <c r="T78" s="31">
        <v>11</v>
      </c>
      <c r="U78" s="31">
        <v>12</v>
      </c>
      <c r="V78" s="37">
        <v>9</v>
      </c>
      <c r="W78" s="47">
        <v>9</v>
      </c>
      <c r="X78" s="47">
        <v>9</v>
      </c>
      <c r="Y78" s="47">
        <v>9</v>
      </c>
      <c r="Z78" s="47">
        <v>9</v>
      </c>
      <c r="AA78" s="47">
        <v>9</v>
      </c>
      <c r="AB78" s="47">
        <v>9</v>
      </c>
      <c r="AC78" s="37">
        <v>8</v>
      </c>
      <c r="AD78" s="47">
        <v>8</v>
      </c>
      <c r="AE78" s="47">
        <v>8</v>
      </c>
      <c r="AF78" s="47">
        <v>8</v>
      </c>
      <c r="AG78" s="47">
        <v>8</v>
      </c>
      <c r="AH78" s="47">
        <v>9</v>
      </c>
      <c r="AI78" s="48">
        <v>9</v>
      </c>
      <c r="AJ78" s="58">
        <v>12</v>
      </c>
      <c r="AK78" s="53">
        <v>12</v>
      </c>
      <c r="AL78" s="53">
        <v>12</v>
      </c>
      <c r="AM78" s="53">
        <v>11</v>
      </c>
      <c r="AN78" s="53">
        <v>11</v>
      </c>
      <c r="AO78" s="53">
        <v>11</v>
      </c>
      <c r="AP78" s="53">
        <v>11</v>
      </c>
      <c r="AQ78" s="53">
        <v>12</v>
      </c>
      <c r="AR78" s="53">
        <v>12</v>
      </c>
      <c r="AS78" s="53">
        <v>11</v>
      </c>
      <c r="AT78" s="53">
        <v>11</v>
      </c>
      <c r="AU78" s="53">
        <v>10</v>
      </c>
      <c r="AV78" s="53">
        <v>10</v>
      </c>
      <c r="AW78" s="53">
        <v>11</v>
      </c>
      <c r="AX78" s="68">
        <v>12</v>
      </c>
      <c r="AY78" s="69">
        <v>12</v>
      </c>
      <c r="AZ78" s="69">
        <v>12</v>
      </c>
      <c r="BA78" s="69">
        <v>12</v>
      </c>
      <c r="BB78" s="69">
        <v>11</v>
      </c>
      <c r="BC78" s="69">
        <v>14</v>
      </c>
      <c r="BD78" s="69">
        <v>14</v>
      </c>
      <c r="BE78" s="69">
        <v>12</v>
      </c>
      <c r="BF78" s="69">
        <v>11</v>
      </c>
      <c r="BG78" s="69">
        <v>11</v>
      </c>
      <c r="BH78" s="69">
        <v>11</v>
      </c>
      <c r="BI78" s="69">
        <v>11</v>
      </c>
      <c r="BJ78" s="69">
        <v>11</v>
      </c>
      <c r="BK78" s="70">
        <v>11</v>
      </c>
    </row>
    <row r="79" spans="7:63">
      <c r="G79" s="84">
        <v>75</v>
      </c>
      <c r="H79" s="30">
        <v>13</v>
      </c>
      <c r="I79" s="31">
        <v>13</v>
      </c>
      <c r="J79" s="31">
        <v>13</v>
      </c>
      <c r="K79" s="31">
        <v>13</v>
      </c>
      <c r="L79" s="31">
        <v>13</v>
      </c>
      <c r="M79" s="31">
        <v>13</v>
      </c>
      <c r="N79" s="32">
        <v>14</v>
      </c>
      <c r="O79" s="31">
        <v>14</v>
      </c>
      <c r="P79" s="31">
        <v>14</v>
      </c>
      <c r="Q79" s="31">
        <v>14</v>
      </c>
      <c r="R79" s="31">
        <v>15</v>
      </c>
      <c r="S79" s="31">
        <v>14</v>
      </c>
      <c r="T79" s="31">
        <v>13</v>
      </c>
      <c r="U79" s="31">
        <v>13</v>
      </c>
      <c r="V79" s="37">
        <v>10</v>
      </c>
      <c r="W79" s="47">
        <v>10</v>
      </c>
      <c r="X79" s="47">
        <v>9</v>
      </c>
      <c r="Y79" s="47">
        <v>9</v>
      </c>
      <c r="Z79" s="47">
        <v>9</v>
      </c>
      <c r="AA79" s="47">
        <v>9</v>
      </c>
      <c r="AB79" s="47">
        <v>9</v>
      </c>
      <c r="AC79" s="37">
        <v>9</v>
      </c>
      <c r="AD79" s="47">
        <v>9</v>
      </c>
      <c r="AE79" s="47">
        <v>9</v>
      </c>
      <c r="AF79" s="47">
        <v>9</v>
      </c>
      <c r="AG79" s="47">
        <v>8</v>
      </c>
      <c r="AH79" s="47">
        <v>9</v>
      </c>
      <c r="AI79" s="48">
        <v>10</v>
      </c>
      <c r="AJ79" s="58">
        <v>13</v>
      </c>
      <c r="AK79" s="53">
        <v>13</v>
      </c>
      <c r="AL79" s="53">
        <v>13</v>
      </c>
      <c r="AM79" s="53">
        <v>13</v>
      </c>
      <c r="AN79" s="53">
        <v>13</v>
      </c>
      <c r="AO79" s="53">
        <v>14</v>
      </c>
      <c r="AP79" s="53">
        <v>14</v>
      </c>
      <c r="AQ79" s="53">
        <v>13</v>
      </c>
      <c r="AR79" s="53">
        <v>13</v>
      </c>
      <c r="AS79" s="53">
        <v>13</v>
      </c>
      <c r="AT79" s="53">
        <v>14</v>
      </c>
      <c r="AU79" s="53">
        <v>14</v>
      </c>
      <c r="AV79" s="53">
        <v>14</v>
      </c>
      <c r="AW79" s="53">
        <v>13</v>
      </c>
      <c r="AX79" s="68">
        <v>13</v>
      </c>
      <c r="AY79" s="69">
        <v>13</v>
      </c>
      <c r="AZ79" s="69">
        <v>13</v>
      </c>
      <c r="BA79" s="69">
        <v>13</v>
      </c>
      <c r="BB79" s="69">
        <v>13</v>
      </c>
      <c r="BC79" s="69">
        <v>14</v>
      </c>
      <c r="BD79" s="69">
        <v>14</v>
      </c>
      <c r="BE79" s="69">
        <v>13</v>
      </c>
      <c r="BF79" s="69">
        <v>13</v>
      </c>
      <c r="BG79" s="69">
        <v>13</v>
      </c>
      <c r="BH79" s="69">
        <v>13</v>
      </c>
      <c r="BI79" s="69">
        <v>13</v>
      </c>
      <c r="BJ79" s="69">
        <v>13</v>
      </c>
      <c r="BK79" s="70">
        <v>13</v>
      </c>
    </row>
    <row r="80" spans="7:63">
      <c r="G80" s="84">
        <v>76</v>
      </c>
      <c r="H80" s="33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7">
        <v>10</v>
      </c>
      <c r="W80" s="47">
        <v>10</v>
      </c>
      <c r="X80" s="47">
        <v>10</v>
      </c>
      <c r="Y80" s="47">
        <v>10</v>
      </c>
      <c r="Z80" s="47">
        <v>10</v>
      </c>
      <c r="AA80" s="47">
        <v>10</v>
      </c>
      <c r="AB80" s="47">
        <v>10</v>
      </c>
      <c r="AC80" s="37">
        <v>10</v>
      </c>
      <c r="AD80" s="47">
        <v>10</v>
      </c>
      <c r="AE80" s="47">
        <v>9</v>
      </c>
      <c r="AF80" s="47">
        <v>9</v>
      </c>
      <c r="AG80" s="47">
        <v>9</v>
      </c>
      <c r="AH80" s="47">
        <v>10</v>
      </c>
      <c r="AI80" s="48">
        <v>10</v>
      </c>
      <c r="AJ80" s="59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77"/>
      <c r="AY80" s="78"/>
      <c r="AZ80" s="78"/>
      <c r="BA80" s="78"/>
      <c r="BB80" s="78"/>
      <c r="BC80" s="78"/>
      <c r="BD80" s="78"/>
      <c r="BE80" s="78"/>
      <c r="BF80" s="78"/>
      <c r="BG80" s="78"/>
      <c r="BH80" s="78"/>
      <c r="BI80" s="78"/>
      <c r="BJ80" s="78"/>
      <c r="BK80" s="79"/>
    </row>
    <row r="81" spans="7:63">
      <c r="G81" s="84">
        <v>77</v>
      </c>
      <c r="H81" s="33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7">
        <v>12</v>
      </c>
      <c r="W81" s="47">
        <v>12</v>
      </c>
      <c r="X81" s="47">
        <v>11</v>
      </c>
      <c r="Y81" s="47">
        <v>11</v>
      </c>
      <c r="Z81" s="47">
        <v>11</v>
      </c>
      <c r="AA81" s="47">
        <v>11</v>
      </c>
      <c r="AB81" s="47">
        <v>11</v>
      </c>
      <c r="AC81" s="37">
        <v>12</v>
      </c>
      <c r="AD81" s="47">
        <v>11</v>
      </c>
      <c r="AE81" s="47">
        <v>11</v>
      </c>
      <c r="AF81" s="47">
        <v>10</v>
      </c>
      <c r="AG81" s="47">
        <v>10</v>
      </c>
      <c r="AH81" s="47">
        <v>11</v>
      </c>
      <c r="AI81" s="48">
        <v>11</v>
      </c>
      <c r="AJ81" s="59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77"/>
      <c r="AY81" s="78"/>
      <c r="AZ81" s="78"/>
      <c r="BA81" s="78"/>
      <c r="BB81" s="78"/>
      <c r="BC81" s="78"/>
      <c r="BD81" s="78"/>
      <c r="BE81" s="78"/>
      <c r="BF81" s="78"/>
      <c r="BG81" s="78"/>
      <c r="BH81" s="78"/>
      <c r="BI81" s="78"/>
      <c r="BJ81" s="78"/>
      <c r="BK81" s="79"/>
    </row>
    <row r="82" spans="7:63" ht="15.75" thickBot="1">
      <c r="G82" s="84">
        <v>78</v>
      </c>
      <c r="H82" s="35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8">
        <v>13</v>
      </c>
      <c r="W82" s="49">
        <v>13</v>
      </c>
      <c r="X82" s="49">
        <v>13</v>
      </c>
      <c r="Y82" s="49">
        <v>14</v>
      </c>
      <c r="Z82" s="49">
        <v>14</v>
      </c>
      <c r="AA82" s="49">
        <v>14</v>
      </c>
      <c r="AB82" s="49">
        <v>14</v>
      </c>
      <c r="AC82" s="38">
        <v>14</v>
      </c>
      <c r="AD82" s="49">
        <v>14</v>
      </c>
      <c r="AE82" s="49">
        <v>14</v>
      </c>
      <c r="AF82" s="49">
        <v>13</v>
      </c>
      <c r="AG82" s="49">
        <v>15</v>
      </c>
      <c r="AH82" s="49">
        <v>13</v>
      </c>
      <c r="AI82" s="50">
        <v>13</v>
      </c>
      <c r="AJ82" s="61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/>
      <c r="AX82" s="80"/>
      <c r="AY82" s="81"/>
      <c r="AZ82" s="81"/>
      <c r="BA82" s="81"/>
      <c r="BB82" s="81"/>
      <c r="BC82" s="81"/>
      <c r="BD82" s="81"/>
      <c r="BE82" s="81"/>
      <c r="BF82" s="81"/>
      <c r="BG82" s="81"/>
      <c r="BH82" s="81"/>
      <c r="BI82" s="81"/>
      <c r="BJ82" s="81"/>
      <c r="BK82" s="82"/>
    </row>
    <row r="83" spans="7:63" ht="16.5" thickTop="1" thickBot="1"/>
    <row r="84" spans="7:63" s="22" customFormat="1" ht="22.5" thickTop="1" thickBot="1">
      <c r="G84" s="23"/>
      <c r="H84" s="293" t="s">
        <v>90</v>
      </c>
      <c r="I84" s="294"/>
      <c r="J84" s="294"/>
      <c r="K84" s="294"/>
      <c r="L84" s="294"/>
      <c r="M84" s="294"/>
      <c r="N84" s="294"/>
      <c r="O84" s="294"/>
      <c r="P84" s="294"/>
      <c r="Q84" s="294"/>
      <c r="R84" s="294"/>
      <c r="S84" s="294"/>
      <c r="T84" s="294"/>
      <c r="U84" s="294"/>
      <c r="V84" s="287" t="s">
        <v>91</v>
      </c>
      <c r="W84" s="288"/>
      <c r="X84" s="288"/>
      <c r="Y84" s="288"/>
      <c r="Z84" s="288"/>
      <c r="AA84" s="288"/>
      <c r="AB84" s="288"/>
      <c r="AC84" s="288"/>
      <c r="AD84" s="288"/>
      <c r="AE84" s="288"/>
      <c r="AF84" s="288"/>
      <c r="AG84" s="288"/>
      <c r="AH84" s="288"/>
      <c r="AI84" s="289"/>
      <c r="AJ84" s="285" t="s">
        <v>92</v>
      </c>
      <c r="AK84" s="285"/>
      <c r="AL84" s="285"/>
      <c r="AM84" s="285"/>
      <c r="AN84" s="285"/>
      <c r="AO84" s="285"/>
      <c r="AP84" s="285"/>
      <c r="AQ84" s="285"/>
      <c r="AR84" s="285"/>
      <c r="AS84" s="285"/>
      <c r="AT84" s="285"/>
      <c r="AU84" s="285"/>
      <c r="AV84" s="285"/>
      <c r="AW84" s="286"/>
      <c r="AX84" s="308" t="s">
        <v>93</v>
      </c>
      <c r="AY84" s="309"/>
      <c r="AZ84" s="309"/>
      <c r="BA84" s="309"/>
      <c r="BB84" s="309"/>
      <c r="BC84" s="309"/>
      <c r="BD84" s="309"/>
      <c r="BE84" s="309"/>
      <c r="BF84" s="309"/>
      <c r="BG84" s="309"/>
      <c r="BH84" s="309"/>
      <c r="BI84" s="309"/>
      <c r="BJ84" s="309"/>
      <c r="BK84" s="310"/>
    </row>
    <row r="85" spans="7:63" ht="15.75" thickTop="1">
      <c r="H85" s="306" t="s">
        <v>73</v>
      </c>
      <c r="I85" s="305"/>
      <c r="J85" s="305"/>
      <c r="K85" s="305"/>
      <c r="L85" s="305"/>
      <c r="M85" s="305"/>
      <c r="N85" s="305"/>
      <c r="O85" s="306" t="s">
        <v>74</v>
      </c>
      <c r="P85" s="305"/>
      <c r="Q85" s="305"/>
      <c r="R85" s="305"/>
      <c r="S85" s="305"/>
      <c r="T85" s="305"/>
      <c r="U85" s="305"/>
      <c r="V85" s="290" t="s">
        <v>73</v>
      </c>
      <c r="W85" s="291"/>
      <c r="X85" s="291"/>
      <c r="Y85" s="291"/>
      <c r="Z85" s="291"/>
      <c r="AA85" s="291"/>
      <c r="AB85" s="292"/>
      <c r="AC85" s="291" t="s">
        <v>74</v>
      </c>
      <c r="AD85" s="291"/>
      <c r="AE85" s="291"/>
      <c r="AF85" s="291"/>
      <c r="AG85" s="291"/>
      <c r="AH85" s="291"/>
      <c r="AI85" s="292"/>
      <c r="AJ85" s="282" t="s">
        <v>73</v>
      </c>
      <c r="AK85" s="282"/>
      <c r="AL85" s="282"/>
      <c r="AM85" s="282"/>
      <c r="AN85" s="282"/>
      <c r="AO85" s="282"/>
      <c r="AP85" s="283"/>
      <c r="AQ85" s="282" t="s">
        <v>74</v>
      </c>
      <c r="AR85" s="282"/>
      <c r="AS85" s="282"/>
      <c r="AT85" s="282"/>
      <c r="AU85" s="282"/>
      <c r="AV85" s="282"/>
      <c r="AW85" s="311"/>
      <c r="AX85" s="300" t="s">
        <v>73</v>
      </c>
      <c r="AY85" s="301"/>
      <c r="AZ85" s="301"/>
      <c r="BA85" s="301"/>
      <c r="BB85" s="301"/>
      <c r="BC85" s="301"/>
      <c r="BD85" s="301"/>
      <c r="BE85" s="300" t="s">
        <v>74</v>
      </c>
      <c r="BF85" s="301"/>
      <c r="BG85" s="301"/>
      <c r="BH85" s="301"/>
      <c r="BI85" s="301"/>
      <c r="BJ85" s="301"/>
      <c r="BK85" s="302"/>
    </row>
    <row r="86" spans="7:63" ht="15.75" thickBot="1">
      <c r="G86" s="83" t="s">
        <v>9</v>
      </c>
      <c r="H86" s="56" t="s">
        <v>2</v>
      </c>
      <c r="I86" s="57" t="s">
        <v>77</v>
      </c>
      <c r="J86" s="57" t="s">
        <v>78</v>
      </c>
      <c r="K86" s="57" t="s">
        <v>79</v>
      </c>
      <c r="L86" s="57" t="s">
        <v>80</v>
      </c>
      <c r="M86" s="57" t="s">
        <v>81</v>
      </c>
      <c r="N86" s="57" t="s">
        <v>82</v>
      </c>
      <c r="O86" s="56" t="s">
        <v>2</v>
      </c>
      <c r="P86" s="57" t="s">
        <v>77</v>
      </c>
      <c r="Q86" s="57" t="s">
        <v>78</v>
      </c>
      <c r="R86" s="57" t="s">
        <v>79</v>
      </c>
      <c r="S86" s="57" t="s">
        <v>80</v>
      </c>
      <c r="T86" s="57" t="s">
        <v>81</v>
      </c>
      <c r="U86" s="57" t="s">
        <v>82</v>
      </c>
      <c r="V86" s="74" t="s">
        <v>2</v>
      </c>
      <c r="W86" s="75" t="s">
        <v>77</v>
      </c>
      <c r="X86" s="75" t="s">
        <v>78</v>
      </c>
      <c r="Y86" s="75" t="s">
        <v>79</v>
      </c>
      <c r="Z86" s="75" t="s">
        <v>80</v>
      </c>
      <c r="AA86" s="75" t="s">
        <v>81</v>
      </c>
      <c r="AB86" s="76" t="s">
        <v>82</v>
      </c>
      <c r="AC86" s="75" t="s">
        <v>2</v>
      </c>
      <c r="AD86" s="75" t="s">
        <v>77</v>
      </c>
      <c r="AE86" s="75" t="s">
        <v>78</v>
      </c>
      <c r="AF86" s="75" t="s">
        <v>79</v>
      </c>
      <c r="AG86" s="75" t="s">
        <v>80</v>
      </c>
      <c r="AH86" s="75" t="s">
        <v>81</v>
      </c>
      <c r="AI86" s="76" t="s">
        <v>82</v>
      </c>
      <c r="AJ86" s="25" t="s">
        <v>2</v>
      </c>
      <c r="AK86" s="25" t="s">
        <v>77</v>
      </c>
      <c r="AL86" s="25" t="s">
        <v>78</v>
      </c>
      <c r="AM86" s="25" t="s">
        <v>79</v>
      </c>
      <c r="AN86" s="25" t="s">
        <v>80</v>
      </c>
      <c r="AO86" s="25" t="s">
        <v>81</v>
      </c>
      <c r="AP86" s="26" t="s">
        <v>82</v>
      </c>
      <c r="AQ86" s="25" t="s">
        <v>2</v>
      </c>
      <c r="AR86" s="25" t="s">
        <v>77</v>
      </c>
      <c r="AS86" s="25" t="s">
        <v>78</v>
      </c>
      <c r="AT86" s="25" t="s">
        <v>79</v>
      </c>
      <c r="AU86" s="25" t="s">
        <v>80</v>
      </c>
      <c r="AV86" s="25" t="s">
        <v>81</v>
      </c>
      <c r="AW86" s="67" t="s">
        <v>82</v>
      </c>
      <c r="AX86" s="39" t="s">
        <v>2</v>
      </c>
      <c r="AY86" s="40" t="s">
        <v>77</v>
      </c>
      <c r="AZ86" s="40" t="s">
        <v>78</v>
      </c>
      <c r="BA86" s="40" t="s">
        <v>79</v>
      </c>
      <c r="BB86" s="40" t="s">
        <v>80</v>
      </c>
      <c r="BC86" s="40" t="s">
        <v>81</v>
      </c>
      <c r="BD86" s="40" t="s">
        <v>82</v>
      </c>
      <c r="BE86" s="39" t="s">
        <v>2</v>
      </c>
      <c r="BF86" s="40" t="s">
        <v>77</v>
      </c>
      <c r="BG86" s="40" t="s">
        <v>78</v>
      </c>
      <c r="BH86" s="40" t="s">
        <v>79</v>
      </c>
      <c r="BI86" s="40" t="s">
        <v>80</v>
      </c>
      <c r="BJ86" s="40" t="s">
        <v>81</v>
      </c>
      <c r="BK86" s="41" t="s">
        <v>82</v>
      </c>
    </row>
    <row r="87" spans="7:63" ht="15.75" thickTop="1">
      <c r="G87" s="84">
        <v>0</v>
      </c>
      <c r="H87" s="52">
        <v>1</v>
      </c>
      <c r="I87" s="53">
        <v>1</v>
      </c>
      <c r="J87" s="53">
        <v>1</v>
      </c>
      <c r="K87" s="53">
        <v>1</v>
      </c>
      <c r="L87" s="53">
        <v>1</v>
      </c>
      <c r="M87" s="53">
        <v>1</v>
      </c>
      <c r="N87" s="53">
        <v>1</v>
      </c>
      <c r="O87" s="53">
        <v>1</v>
      </c>
      <c r="P87" s="53">
        <v>1</v>
      </c>
      <c r="Q87" s="53">
        <v>1</v>
      </c>
      <c r="R87" s="53">
        <v>1</v>
      </c>
      <c r="S87" s="53">
        <v>1</v>
      </c>
      <c r="T87" s="53">
        <v>1</v>
      </c>
      <c r="U87" s="53">
        <v>1</v>
      </c>
      <c r="V87" s="68">
        <v>1</v>
      </c>
      <c r="W87" s="69">
        <v>1</v>
      </c>
      <c r="X87" s="69">
        <v>1</v>
      </c>
      <c r="Y87" s="69">
        <v>1</v>
      </c>
      <c r="Z87" s="69">
        <v>1</v>
      </c>
      <c r="AA87" s="69">
        <v>1</v>
      </c>
      <c r="AB87" s="69">
        <v>1</v>
      </c>
      <c r="AC87" s="69">
        <v>1</v>
      </c>
      <c r="AD87" s="69">
        <v>1</v>
      </c>
      <c r="AE87" s="69">
        <v>1</v>
      </c>
      <c r="AF87" s="69">
        <v>1</v>
      </c>
      <c r="AG87" s="69">
        <v>1</v>
      </c>
      <c r="AH87" s="69">
        <v>1</v>
      </c>
      <c r="AI87" s="70">
        <v>1</v>
      </c>
      <c r="AJ87" s="31">
        <v>1</v>
      </c>
      <c r="AK87" s="31">
        <v>1</v>
      </c>
      <c r="AL87" s="31">
        <v>1</v>
      </c>
      <c r="AM87" s="31">
        <v>1</v>
      </c>
      <c r="AN87" s="31">
        <v>1</v>
      </c>
      <c r="AO87" s="31">
        <v>1</v>
      </c>
      <c r="AP87" s="31">
        <v>1</v>
      </c>
      <c r="AQ87" s="31">
        <v>1</v>
      </c>
      <c r="AR87" s="31">
        <v>1</v>
      </c>
      <c r="AS87" s="31">
        <v>1</v>
      </c>
      <c r="AT87" s="31">
        <v>1</v>
      </c>
      <c r="AU87" s="31">
        <v>1</v>
      </c>
      <c r="AV87" s="31">
        <v>1</v>
      </c>
      <c r="AW87" s="64">
        <v>2</v>
      </c>
      <c r="AX87" s="37">
        <v>1</v>
      </c>
      <c r="AY87" s="47">
        <v>1</v>
      </c>
      <c r="AZ87" s="47">
        <v>1</v>
      </c>
      <c r="BA87" s="47">
        <v>1</v>
      </c>
      <c r="BB87" s="47">
        <v>1</v>
      </c>
      <c r="BC87" s="47">
        <v>1</v>
      </c>
      <c r="BD87" s="47" t="s">
        <v>94</v>
      </c>
      <c r="BE87" s="47">
        <v>1</v>
      </c>
      <c r="BF87" s="47">
        <v>1</v>
      </c>
      <c r="BG87" s="47">
        <v>1</v>
      </c>
      <c r="BH87" s="47">
        <v>1</v>
      </c>
      <c r="BI87" s="47">
        <v>1</v>
      </c>
      <c r="BJ87" s="47">
        <v>1</v>
      </c>
      <c r="BK87" s="48" t="s">
        <v>94</v>
      </c>
    </row>
    <row r="88" spans="7:63">
      <c r="G88" s="84">
        <v>1</v>
      </c>
      <c r="H88" s="52">
        <v>1</v>
      </c>
      <c r="I88" s="53">
        <v>1</v>
      </c>
      <c r="J88" s="53">
        <v>1</v>
      </c>
      <c r="K88" s="53">
        <v>1</v>
      </c>
      <c r="L88" s="53">
        <v>1</v>
      </c>
      <c r="M88" s="53">
        <v>1</v>
      </c>
      <c r="N88" s="53">
        <v>1</v>
      </c>
      <c r="O88" s="53">
        <v>1</v>
      </c>
      <c r="P88" s="53">
        <v>1</v>
      </c>
      <c r="Q88" s="53">
        <v>1</v>
      </c>
      <c r="R88" s="53">
        <v>1</v>
      </c>
      <c r="S88" s="53">
        <v>1</v>
      </c>
      <c r="T88" s="53">
        <v>1</v>
      </c>
      <c r="U88" s="53">
        <v>1</v>
      </c>
      <c r="V88" s="68">
        <v>1</v>
      </c>
      <c r="W88" s="69">
        <v>1</v>
      </c>
      <c r="X88" s="69">
        <v>1</v>
      </c>
      <c r="Y88" s="69">
        <v>1</v>
      </c>
      <c r="Z88" s="69">
        <v>1</v>
      </c>
      <c r="AA88" s="69">
        <v>1</v>
      </c>
      <c r="AB88" s="69">
        <v>1</v>
      </c>
      <c r="AC88" s="69">
        <v>1</v>
      </c>
      <c r="AD88" s="69">
        <v>1</v>
      </c>
      <c r="AE88" s="69">
        <v>1</v>
      </c>
      <c r="AF88" s="69">
        <v>1</v>
      </c>
      <c r="AG88" s="69">
        <v>1</v>
      </c>
      <c r="AH88" s="69">
        <v>1</v>
      </c>
      <c r="AI88" s="70">
        <v>1</v>
      </c>
      <c r="AJ88" s="31">
        <v>1</v>
      </c>
      <c r="AK88" s="31">
        <v>1</v>
      </c>
      <c r="AL88" s="31">
        <v>1</v>
      </c>
      <c r="AM88" s="31">
        <v>1</v>
      </c>
      <c r="AN88" s="31">
        <v>1</v>
      </c>
      <c r="AO88" s="31">
        <v>1</v>
      </c>
      <c r="AP88" s="31">
        <v>1</v>
      </c>
      <c r="AQ88" s="31">
        <v>1</v>
      </c>
      <c r="AR88" s="31">
        <v>1</v>
      </c>
      <c r="AS88" s="31">
        <v>1</v>
      </c>
      <c r="AT88" s="31">
        <v>1</v>
      </c>
      <c r="AU88" s="31">
        <v>1</v>
      </c>
      <c r="AV88" s="31">
        <v>1</v>
      </c>
      <c r="AW88" s="64">
        <v>2</v>
      </c>
      <c r="AX88" s="37">
        <v>1</v>
      </c>
      <c r="AY88" s="47">
        <v>1</v>
      </c>
      <c r="AZ88" s="47">
        <v>1</v>
      </c>
      <c r="BA88" s="47">
        <v>1</v>
      </c>
      <c r="BB88" s="47">
        <v>1</v>
      </c>
      <c r="BC88" s="47">
        <v>1</v>
      </c>
      <c r="BD88" s="47" t="s">
        <v>94</v>
      </c>
      <c r="BE88" s="47">
        <v>1</v>
      </c>
      <c r="BF88" s="47">
        <v>1</v>
      </c>
      <c r="BG88" s="47">
        <v>1</v>
      </c>
      <c r="BH88" s="47">
        <v>1</v>
      </c>
      <c r="BI88" s="47">
        <v>1</v>
      </c>
      <c r="BJ88" s="47">
        <v>1</v>
      </c>
      <c r="BK88" s="48" t="s">
        <v>94</v>
      </c>
    </row>
    <row r="89" spans="7:63">
      <c r="G89" s="84">
        <v>2</v>
      </c>
      <c r="H89" s="52">
        <v>1</v>
      </c>
      <c r="I89" s="53">
        <v>1</v>
      </c>
      <c r="J89" s="53">
        <v>1</v>
      </c>
      <c r="K89" s="53">
        <v>1</v>
      </c>
      <c r="L89" s="53">
        <v>1</v>
      </c>
      <c r="M89" s="53">
        <v>1</v>
      </c>
      <c r="N89" s="53">
        <v>1</v>
      </c>
      <c r="O89" s="53">
        <v>1</v>
      </c>
      <c r="P89" s="53">
        <v>1</v>
      </c>
      <c r="Q89" s="53">
        <v>1</v>
      </c>
      <c r="R89" s="53">
        <v>1</v>
      </c>
      <c r="S89" s="53">
        <v>1</v>
      </c>
      <c r="T89" s="53">
        <v>1</v>
      </c>
      <c r="U89" s="53">
        <v>1</v>
      </c>
      <c r="V89" s="68">
        <v>1</v>
      </c>
      <c r="W89" s="69">
        <v>1</v>
      </c>
      <c r="X89" s="69">
        <v>1</v>
      </c>
      <c r="Y89" s="69">
        <v>1</v>
      </c>
      <c r="Z89" s="69">
        <v>1</v>
      </c>
      <c r="AA89" s="69">
        <v>1</v>
      </c>
      <c r="AB89" s="69">
        <v>1</v>
      </c>
      <c r="AC89" s="69">
        <v>1</v>
      </c>
      <c r="AD89" s="69">
        <v>1</v>
      </c>
      <c r="AE89" s="69">
        <v>1</v>
      </c>
      <c r="AF89" s="69">
        <v>1</v>
      </c>
      <c r="AG89" s="69">
        <v>1</v>
      </c>
      <c r="AH89" s="69">
        <v>1</v>
      </c>
      <c r="AI89" s="70">
        <v>1</v>
      </c>
      <c r="AJ89" s="31">
        <v>1</v>
      </c>
      <c r="AK89" s="31">
        <v>1</v>
      </c>
      <c r="AL89" s="31">
        <v>1</v>
      </c>
      <c r="AM89" s="31">
        <v>1</v>
      </c>
      <c r="AN89" s="31">
        <v>1</v>
      </c>
      <c r="AO89" s="31">
        <v>1</v>
      </c>
      <c r="AP89" s="31">
        <v>1</v>
      </c>
      <c r="AQ89" s="31">
        <v>1</v>
      </c>
      <c r="AR89" s="31">
        <v>1</v>
      </c>
      <c r="AS89" s="31">
        <v>1</v>
      </c>
      <c r="AT89" s="31">
        <v>1</v>
      </c>
      <c r="AU89" s="31">
        <v>1</v>
      </c>
      <c r="AV89" s="31">
        <v>1</v>
      </c>
      <c r="AW89" s="64">
        <v>2</v>
      </c>
      <c r="AX89" s="37">
        <v>1</v>
      </c>
      <c r="AY89" s="47">
        <v>1</v>
      </c>
      <c r="AZ89" s="47">
        <v>1</v>
      </c>
      <c r="BA89" s="47">
        <v>1</v>
      </c>
      <c r="BB89" s="47">
        <v>1</v>
      </c>
      <c r="BC89" s="47">
        <v>1</v>
      </c>
      <c r="BD89" s="47" t="s">
        <v>94</v>
      </c>
      <c r="BE89" s="47">
        <v>1</v>
      </c>
      <c r="BF89" s="47">
        <v>1</v>
      </c>
      <c r="BG89" s="47">
        <v>1</v>
      </c>
      <c r="BH89" s="47">
        <v>1</v>
      </c>
      <c r="BI89" s="47">
        <v>1</v>
      </c>
      <c r="BJ89" s="47">
        <v>1</v>
      </c>
      <c r="BK89" s="48" t="s">
        <v>94</v>
      </c>
    </row>
    <row r="90" spans="7:63">
      <c r="G90" s="84">
        <v>3</v>
      </c>
      <c r="H90" s="52">
        <v>1</v>
      </c>
      <c r="I90" s="53">
        <v>1</v>
      </c>
      <c r="J90" s="53">
        <v>1</v>
      </c>
      <c r="K90" s="53">
        <v>1</v>
      </c>
      <c r="L90" s="53">
        <v>1</v>
      </c>
      <c r="M90" s="53">
        <v>1</v>
      </c>
      <c r="N90" s="53">
        <v>1</v>
      </c>
      <c r="O90" s="53">
        <v>1</v>
      </c>
      <c r="P90" s="53">
        <v>1</v>
      </c>
      <c r="Q90" s="53">
        <v>1</v>
      </c>
      <c r="R90" s="53">
        <v>1</v>
      </c>
      <c r="S90" s="53">
        <v>1</v>
      </c>
      <c r="T90" s="53">
        <v>1</v>
      </c>
      <c r="U90" s="53">
        <v>1</v>
      </c>
      <c r="V90" s="68">
        <v>1</v>
      </c>
      <c r="W90" s="69">
        <v>1</v>
      </c>
      <c r="X90" s="69">
        <v>1</v>
      </c>
      <c r="Y90" s="69">
        <v>1</v>
      </c>
      <c r="Z90" s="69">
        <v>1</v>
      </c>
      <c r="AA90" s="69">
        <v>1</v>
      </c>
      <c r="AB90" s="69">
        <v>1</v>
      </c>
      <c r="AC90" s="69">
        <v>1</v>
      </c>
      <c r="AD90" s="69">
        <v>1</v>
      </c>
      <c r="AE90" s="69">
        <v>1</v>
      </c>
      <c r="AF90" s="69">
        <v>1</v>
      </c>
      <c r="AG90" s="69">
        <v>1</v>
      </c>
      <c r="AH90" s="69">
        <v>1</v>
      </c>
      <c r="AI90" s="70">
        <v>1</v>
      </c>
      <c r="AJ90" s="31">
        <v>1</v>
      </c>
      <c r="AK90" s="31">
        <v>1</v>
      </c>
      <c r="AL90" s="31">
        <v>1</v>
      </c>
      <c r="AM90" s="31">
        <v>1</v>
      </c>
      <c r="AN90" s="31">
        <v>1</v>
      </c>
      <c r="AO90" s="31">
        <v>1</v>
      </c>
      <c r="AP90" s="31">
        <v>1</v>
      </c>
      <c r="AQ90" s="31">
        <v>1</v>
      </c>
      <c r="AR90" s="31">
        <v>1</v>
      </c>
      <c r="AS90" s="31">
        <v>1</v>
      </c>
      <c r="AT90" s="31">
        <v>1</v>
      </c>
      <c r="AU90" s="31">
        <v>1</v>
      </c>
      <c r="AV90" s="31">
        <v>1</v>
      </c>
      <c r="AW90" s="64">
        <v>2</v>
      </c>
      <c r="AX90" s="37">
        <v>1</v>
      </c>
      <c r="AY90" s="47">
        <v>1</v>
      </c>
      <c r="AZ90" s="47">
        <v>1</v>
      </c>
      <c r="BA90" s="47">
        <v>1</v>
      </c>
      <c r="BB90" s="47">
        <v>1</v>
      </c>
      <c r="BC90" s="47">
        <v>1</v>
      </c>
      <c r="BD90" s="47" t="s">
        <v>94</v>
      </c>
      <c r="BE90" s="47">
        <v>1</v>
      </c>
      <c r="BF90" s="47">
        <v>1</v>
      </c>
      <c r="BG90" s="47">
        <v>1</v>
      </c>
      <c r="BH90" s="47">
        <v>1</v>
      </c>
      <c r="BI90" s="47">
        <v>1</v>
      </c>
      <c r="BJ90" s="47">
        <v>1</v>
      </c>
      <c r="BK90" s="48" t="s">
        <v>94</v>
      </c>
    </row>
    <row r="91" spans="7:63">
      <c r="G91" s="84">
        <v>4</v>
      </c>
      <c r="H91" s="52">
        <v>1</v>
      </c>
      <c r="I91" s="53">
        <v>1</v>
      </c>
      <c r="J91" s="53">
        <v>1</v>
      </c>
      <c r="K91" s="53">
        <v>1</v>
      </c>
      <c r="L91" s="53">
        <v>1</v>
      </c>
      <c r="M91" s="53">
        <v>1</v>
      </c>
      <c r="N91" s="53">
        <v>1</v>
      </c>
      <c r="O91" s="53">
        <v>1</v>
      </c>
      <c r="P91" s="53">
        <v>1</v>
      </c>
      <c r="Q91" s="53">
        <v>1</v>
      </c>
      <c r="R91" s="53">
        <v>1</v>
      </c>
      <c r="S91" s="53">
        <v>1</v>
      </c>
      <c r="T91" s="53">
        <v>1</v>
      </c>
      <c r="U91" s="53">
        <v>1</v>
      </c>
      <c r="V91" s="68">
        <v>1</v>
      </c>
      <c r="W91" s="69">
        <v>1</v>
      </c>
      <c r="X91" s="69">
        <v>1</v>
      </c>
      <c r="Y91" s="69">
        <v>1</v>
      </c>
      <c r="Z91" s="69">
        <v>1</v>
      </c>
      <c r="AA91" s="69">
        <v>1</v>
      </c>
      <c r="AB91" s="69">
        <v>1</v>
      </c>
      <c r="AC91" s="69">
        <v>1</v>
      </c>
      <c r="AD91" s="69">
        <v>1</v>
      </c>
      <c r="AE91" s="69">
        <v>1</v>
      </c>
      <c r="AF91" s="69">
        <v>1</v>
      </c>
      <c r="AG91" s="69">
        <v>1</v>
      </c>
      <c r="AH91" s="69">
        <v>1</v>
      </c>
      <c r="AI91" s="70">
        <v>1</v>
      </c>
      <c r="AJ91" s="31">
        <v>1</v>
      </c>
      <c r="AK91" s="31">
        <v>1</v>
      </c>
      <c r="AL91" s="31">
        <v>1</v>
      </c>
      <c r="AM91" s="31">
        <v>1</v>
      </c>
      <c r="AN91" s="31">
        <v>1</v>
      </c>
      <c r="AO91" s="31">
        <v>1</v>
      </c>
      <c r="AP91" s="31">
        <v>1</v>
      </c>
      <c r="AQ91" s="31">
        <v>1</v>
      </c>
      <c r="AR91" s="31">
        <v>1</v>
      </c>
      <c r="AS91" s="31">
        <v>1</v>
      </c>
      <c r="AT91" s="31">
        <v>1</v>
      </c>
      <c r="AU91" s="31">
        <v>1</v>
      </c>
      <c r="AV91" s="31">
        <v>1</v>
      </c>
      <c r="AW91" s="64">
        <v>2</v>
      </c>
      <c r="AX91" s="37">
        <v>1</v>
      </c>
      <c r="AY91" s="47">
        <v>1</v>
      </c>
      <c r="AZ91" s="47">
        <v>1</v>
      </c>
      <c r="BA91" s="47">
        <v>1</v>
      </c>
      <c r="BB91" s="47">
        <v>1</v>
      </c>
      <c r="BC91" s="47">
        <v>1</v>
      </c>
      <c r="BD91" s="47" t="s">
        <v>94</v>
      </c>
      <c r="BE91" s="47">
        <v>1</v>
      </c>
      <c r="BF91" s="47">
        <v>1</v>
      </c>
      <c r="BG91" s="47">
        <v>1</v>
      </c>
      <c r="BH91" s="47">
        <v>1</v>
      </c>
      <c r="BI91" s="47">
        <v>1</v>
      </c>
      <c r="BJ91" s="47">
        <v>1</v>
      </c>
      <c r="BK91" s="48" t="s">
        <v>94</v>
      </c>
    </row>
    <row r="92" spans="7:63">
      <c r="G92" s="84">
        <v>5</v>
      </c>
      <c r="H92" s="52">
        <v>1</v>
      </c>
      <c r="I92" s="53">
        <v>1</v>
      </c>
      <c r="J92" s="53">
        <v>1</v>
      </c>
      <c r="K92" s="53">
        <v>1</v>
      </c>
      <c r="L92" s="53">
        <v>1</v>
      </c>
      <c r="M92" s="53">
        <v>1</v>
      </c>
      <c r="N92" s="53">
        <v>1</v>
      </c>
      <c r="O92" s="53">
        <v>1</v>
      </c>
      <c r="P92" s="53">
        <v>1</v>
      </c>
      <c r="Q92" s="53">
        <v>1</v>
      </c>
      <c r="R92" s="53">
        <v>1</v>
      </c>
      <c r="S92" s="53">
        <v>1</v>
      </c>
      <c r="T92" s="53">
        <v>1</v>
      </c>
      <c r="U92" s="53">
        <v>1</v>
      </c>
      <c r="V92" s="68">
        <v>1</v>
      </c>
      <c r="W92" s="69">
        <v>1</v>
      </c>
      <c r="X92" s="69">
        <v>1</v>
      </c>
      <c r="Y92" s="69">
        <v>1</v>
      </c>
      <c r="Z92" s="69">
        <v>1</v>
      </c>
      <c r="AA92" s="69">
        <v>1</v>
      </c>
      <c r="AB92" s="69">
        <v>1</v>
      </c>
      <c r="AC92" s="69">
        <v>1</v>
      </c>
      <c r="AD92" s="69">
        <v>1</v>
      </c>
      <c r="AE92" s="69">
        <v>1</v>
      </c>
      <c r="AF92" s="69">
        <v>1</v>
      </c>
      <c r="AG92" s="69">
        <v>1</v>
      </c>
      <c r="AH92" s="69">
        <v>1</v>
      </c>
      <c r="AI92" s="70">
        <v>1</v>
      </c>
      <c r="AJ92" s="31">
        <v>1</v>
      </c>
      <c r="AK92" s="31">
        <v>1</v>
      </c>
      <c r="AL92" s="31">
        <v>1</v>
      </c>
      <c r="AM92" s="31">
        <v>1</v>
      </c>
      <c r="AN92" s="31">
        <v>1</v>
      </c>
      <c r="AO92" s="31">
        <v>1</v>
      </c>
      <c r="AP92" s="31">
        <v>1</v>
      </c>
      <c r="AQ92" s="31">
        <v>1</v>
      </c>
      <c r="AR92" s="31">
        <v>1</v>
      </c>
      <c r="AS92" s="31">
        <v>1</v>
      </c>
      <c r="AT92" s="31">
        <v>1</v>
      </c>
      <c r="AU92" s="31">
        <v>1</v>
      </c>
      <c r="AV92" s="31">
        <v>1</v>
      </c>
      <c r="AW92" s="64">
        <v>3</v>
      </c>
      <c r="AX92" s="37">
        <v>1</v>
      </c>
      <c r="AY92" s="47">
        <v>1</v>
      </c>
      <c r="AZ92" s="47">
        <v>1</v>
      </c>
      <c r="BA92" s="47">
        <v>1</v>
      </c>
      <c r="BB92" s="47">
        <v>1</v>
      </c>
      <c r="BC92" s="47">
        <v>1</v>
      </c>
      <c r="BD92" s="47" t="s">
        <v>94</v>
      </c>
      <c r="BE92" s="47">
        <v>1</v>
      </c>
      <c r="BF92" s="47">
        <v>1</v>
      </c>
      <c r="BG92" s="47">
        <v>1</v>
      </c>
      <c r="BH92" s="47">
        <v>1</v>
      </c>
      <c r="BI92" s="47">
        <v>1</v>
      </c>
      <c r="BJ92" s="47">
        <v>1</v>
      </c>
      <c r="BK92" s="48" t="s">
        <v>94</v>
      </c>
    </row>
    <row r="93" spans="7:63">
      <c r="G93" s="84">
        <v>6</v>
      </c>
      <c r="H93" s="52">
        <v>1</v>
      </c>
      <c r="I93" s="53">
        <v>1</v>
      </c>
      <c r="J93" s="53">
        <v>1</v>
      </c>
      <c r="K93" s="53">
        <v>1</v>
      </c>
      <c r="L93" s="53">
        <v>1</v>
      </c>
      <c r="M93" s="53">
        <v>1</v>
      </c>
      <c r="N93" s="53">
        <v>1</v>
      </c>
      <c r="O93" s="53">
        <v>1</v>
      </c>
      <c r="P93" s="53">
        <v>1</v>
      </c>
      <c r="Q93" s="53">
        <v>1</v>
      </c>
      <c r="R93" s="53">
        <v>1</v>
      </c>
      <c r="S93" s="53">
        <v>1</v>
      </c>
      <c r="T93" s="53">
        <v>1</v>
      </c>
      <c r="U93" s="53">
        <v>1</v>
      </c>
      <c r="V93" s="68">
        <v>1</v>
      </c>
      <c r="W93" s="69">
        <v>1</v>
      </c>
      <c r="X93" s="69">
        <v>1</v>
      </c>
      <c r="Y93" s="69">
        <v>1</v>
      </c>
      <c r="Z93" s="69">
        <v>1</v>
      </c>
      <c r="AA93" s="69">
        <v>1</v>
      </c>
      <c r="AB93" s="69">
        <v>1</v>
      </c>
      <c r="AC93" s="69">
        <v>1</v>
      </c>
      <c r="AD93" s="69">
        <v>1</v>
      </c>
      <c r="AE93" s="69">
        <v>1</v>
      </c>
      <c r="AF93" s="69">
        <v>1</v>
      </c>
      <c r="AG93" s="69">
        <v>1</v>
      </c>
      <c r="AH93" s="69">
        <v>1</v>
      </c>
      <c r="AI93" s="70">
        <v>1</v>
      </c>
      <c r="AJ93" s="31">
        <v>1</v>
      </c>
      <c r="AK93" s="31">
        <v>1</v>
      </c>
      <c r="AL93" s="31">
        <v>1</v>
      </c>
      <c r="AM93" s="31">
        <v>1</v>
      </c>
      <c r="AN93" s="31">
        <v>1</v>
      </c>
      <c r="AO93" s="31">
        <v>1</v>
      </c>
      <c r="AP93" s="31">
        <v>1</v>
      </c>
      <c r="AQ93" s="31">
        <v>1</v>
      </c>
      <c r="AR93" s="31">
        <v>1</v>
      </c>
      <c r="AS93" s="31">
        <v>1</v>
      </c>
      <c r="AT93" s="31">
        <v>1</v>
      </c>
      <c r="AU93" s="31">
        <v>1</v>
      </c>
      <c r="AV93" s="31">
        <v>1</v>
      </c>
      <c r="AW93" s="64">
        <v>3</v>
      </c>
      <c r="AX93" s="37">
        <v>1</v>
      </c>
      <c r="AY93" s="47">
        <v>1</v>
      </c>
      <c r="AZ93" s="47">
        <v>1</v>
      </c>
      <c r="BA93" s="47">
        <v>1</v>
      </c>
      <c r="BB93" s="47">
        <v>1</v>
      </c>
      <c r="BC93" s="47">
        <v>1</v>
      </c>
      <c r="BD93" s="47" t="s">
        <v>94</v>
      </c>
      <c r="BE93" s="47">
        <v>1</v>
      </c>
      <c r="BF93" s="47">
        <v>1</v>
      </c>
      <c r="BG93" s="47">
        <v>1</v>
      </c>
      <c r="BH93" s="47">
        <v>1</v>
      </c>
      <c r="BI93" s="47">
        <v>1</v>
      </c>
      <c r="BJ93" s="47">
        <v>1</v>
      </c>
      <c r="BK93" s="48" t="s">
        <v>94</v>
      </c>
    </row>
    <row r="94" spans="7:63">
      <c r="G94" s="84">
        <v>7</v>
      </c>
      <c r="H94" s="52">
        <v>1</v>
      </c>
      <c r="I94" s="53">
        <v>1</v>
      </c>
      <c r="J94" s="53">
        <v>1</v>
      </c>
      <c r="K94" s="53">
        <v>1</v>
      </c>
      <c r="L94" s="53">
        <v>1</v>
      </c>
      <c r="M94" s="53">
        <v>1</v>
      </c>
      <c r="N94" s="53">
        <v>1</v>
      </c>
      <c r="O94" s="53">
        <v>1</v>
      </c>
      <c r="P94" s="53">
        <v>1</v>
      </c>
      <c r="Q94" s="53">
        <v>1</v>
      </c>
      <c r="R94" s="53">
        <v>1</v>
      </c>
      <c r="S94" s="53">
        <v>1</v>
      </c>
      <c r="T94" s="53">
        <v>1</v>
      </c>
      <c r="U94" s="53">
        <v>1</v>
      </c>
      <c r="V94" s="68">
        <v>1</v>
      </c>
      <c r="W94" s="69">
        <v>1</v>
      </c>
      <c r="X94" s="69">
        <v>1</v>
      </c>
      <c r="Y94" s="69">
        <v>1</v>
      </c>
      <c r="Z94" s="69">
        <v>1</v>
      </c>
      <c r="AA94" s="69">
        <v>1</v>
      </c>
      <c r="AB94" s="69">
        <v>1</v>
      </c>
      <c r="AC94" s="69">
        <v>1</v>
      </c>
      <c r="AD94" s="69">
        <v>1</v>
      </c>
      <c r="AE94" s="69">
        <v>1</v>
      </c>
      <c r="AF94" s="69">
        <v>1</v>
      </c>
      <c r="AG94" s="69">
        <v>1</v>
      </c>
      <c r="AH94" s="69">
        <v>1</v>
      </c>
      <c r="AI94" s="70">
        <v>1</v>
      </c>
      <c r="AJ94" s="31">
        <v>1</v>
      </c>
      <c r="AK94" s="31">
        <v>1</v>
      </c>
      <c r="AL94" s="31">
        <v>1</v>
      </c>
      <c r="AM94" s="31">
        <v>1</v>
      </c>
      <c r="AN94" s="31">
        <v>1</v>
      </c>
      <c r="AO94" s="31">
        <v>1</v>
      </c>
      <c r="AP94" s="31">
        <v>1</v>
      </c>
      <c r="AQ94" s="31">
        <v>1</v>
      </c>
      <c r="AR94" s="31">
        <v>1</v>
      </c>
      <c r="AS94" s="31">
        <v>1</v>
      </c>
      <c r="AT94" s="31">
        <v>1</v>
      </c>
      <c r="AU94" s="31">
        <v>1</v>
      </c>
      <c r="AV94" s="31">
        <v>1</v>
      </c>
      <c r="AW94" s="64">
        <v>3</v>
      </c>
      <c r="AX94" s="37">
        <v>1</v>
      </c>
      <c r="AY94" s="47">
        <v>1</v>
      </c>
      <c r="AZ94" s="47">
        <v>1</v>
      </c>
      <c r="BA94" s="47">
        <v>1</v>
      </c>
      <c r="BB94" s="47">
        <v>1</v>
      </c>
      <c r="BC94" s="47">
        <v>1</v>
      </c>
      <c r="BD94" s="47" t="s">
        <v>94</v>
      </c>
      <c r="BE94" s="47">
        <v>1</v>
      </c>
      <c r="BF94" s="47">
        <v>1</v>
      </c>
      <c r="BG94" s="47">
        <v>1</v>
      </c>
      <c r="BH94" s="47">
        <v>1</v>
      </c>
      <c r="BI94" s="47">
        <v>1</v>
      </c>
      <c r="BJ94" s="47">
        <v>1</v>
      </c>
      <c r="BK94" s="48" t="s">
        <v>94</v>
      </c>
    </row>
    <row r="95" spans="7:63">
      <c r="G95" s="84">
        <v>8</v>
      </c>
      <c r="H95" s="52">
        <v>1</v>
      </c>
      <c r="I95" s="53">
        <v>1</v>
      </c>
      <c r="J95" s="53">
        <v>1</v>
      </c>
      <c r="K95" s="53">
        <v>1</v>
      </c>
      <c r="L95" s="53">
        <v>1</v>
      </c>
      <c r="M95" s="53">
        <v>1</v>
      </c>
      <c r="N95" s="53">
        <v>1</v>
      </c>
      <c r="O95" s="53">
        <v>1</v>
      </c>
      <c r="P95" s="53">
        <v>1</v>
      </c>
      <c r="Q95" s="53">
        <v>1</v>
      </c>
      <c r="R95" s="53">
        <v>1</v>
      </c>
      <c r="S95" s="53">
        <v>1</v>
      </c>
      <c r="T95" s="53">
        <v>1</v>
      </c>
      <c r="U95" s="53">
        <v>1</v>
      </c>
      <c r="V95" s="68">
        <v>1</v>
      </c>
      <c r="W95" s="69">
        <v>1</v>
      </c>
      <c r="X95" s="69">
        <v>1</v>
      </c>
      <c r="Y95" s="69">
        <v>1</v>
      </c>
      <c r="Z95" s="69">
        <v>1</v>
      </c>
      <c r="AA95" s="69">
        <v>1</v>
      </c>
      <c r="AB95" s="69">
        <v>1</v>
      </c>
      <c r="AC95" s="69">
        <v>1</v>
      </c>
      <c r="AD95" s="69">
        <v>1</v>
      </c>
      <c r="AE95" s="69">
        <v>1</v>
      </c>
      <c r="AF95" s="69">
        <v>1</v>
      </c>
      <c r="AG95" s="69">
        <v>1</v>
      </c>
      <c r="AH95" s="69">
        <v>1</v>
      </c>
      <c r="AI95" s="70">
        <v>1</v>
      </c>
      <c r="AJ95" s="31">
        <v>1</v>
      </c>
      <c r="AK95" s="31">
        <v>1</v>
      </c>
      <c r="AL95" s="31">
        <v>1</v>
      </c>
      <c r="AM95" s="31">
        <v>1</v>
      </c>
      <c r="AN95" s="31">
        <v>1</v>
      </c>
      <c r="AO95" s="31">
        <v>1</v>
      </c>
      <c r="AP95" s="31">
        <v>1</v>
      </c>
      <c r="AQ95" s="31">
        <v>1</v>
      </c>
      <c r="AR95" s="31">
        <v>1</v>
      </c>
      <c r="AS95" s="31">
        <v>1</v>
      </c>
      <c r="AT95" s="31">
        <v>1</v>
      </c>
      <c r="AU95" s="31">
        <v>1</v>
      </c>
      <c r="AV95" s="31">
        <v>1</v>
      </c>
      <c r="AW95" s="64">
        <v>3</v>
      </c>
      <c r="AX95" s="37">
        <v>1</v>
      </c>
      <c r="AY95" s="47">
        <v>1</v>
      </c>
      <c r="AZ95" s="47">
        <v>1</v>
      </c>
      <c r="BA95" s="47">
        <v>1</v>
      </c>
      <c r="BB95" s="47">
        <v>1</v>
      </c>
      <c r="BC95" s="47">
        <v>1</v>
      </c>
      <c r="BD95" s="47" t="s">
        <v>94</v>
      </c>
      <c r="BE95" s="47">
        <v>1</v>
      </c>
      <c r="BF95" s="47">
        <v>1</v>
      </c>
      <c r="BG95" s="47">
        <v>1</v>
      </c>
      <c r="BH95" s="47">
        <v>1</v>
      </c>
      <c r="BI95" s="47">
        <v>1</v>
      </c>
      <c r="BJ95" s="47">
        <v>1</v>
      </c>
      <c r="BK95" s="48" t="s">
        <v>94</v>
      </c>
    </row>
    <row r="96" spans="7:63">
      <c r="G96" s="84">
        <v>9</v>
      </c>
      <c r="H96" s="52">
        <v>1</v>
      </c>
      <c r="I96" s="53">
        <v>1</v>
      </c>
      <c r="J96" s="53">
        <v>1</v>
      </c>
      <c r="K96" s="53">
        <v>1</v>
      </c>
      <c r="L96" s="53">
        <v>1</v>
      </c>
      <c r="M96" s="53">
        <v>1</v>
      </c>
      <c r="N96" s="53">
        <v>1</v>
      </c>
      <c r="O96" s="53">
        <v>1</v>
      </c>
      <c r="P96" s="53">
        <v>1</v>
      </c>
      <c r="Q96" s="53">
        <v>1</v>
      </c>
      <c r="R96" s="53">
        <v>1</v>
      </c>
      <c r="S96" s="53">
        <v>1</v>
      </c>
      <c r="T96" s="53">
        <v>1</v>
      </c>
      <c r="U96" s="53">
        <v>1</v>
      </c>
      <c r="V96" s="68">
        <v>1</v>
      </c>
      <c r="W96" s="69">
        <v>1</v>
      </c>
      <c r="X96" s="69">
        <v>1</v>
      </c>
      <c r="Y96" s="69">
        <v>1</v>
      </c>
      <c r="Z96" s="69">
        <v>1</v>
      </c>
      <c r="AA96" s="69">
        <v>1</v>
      </c>
      <c r="AB96" s="69">
        <v>1</v>
      </c>
      <c r="AC96" s="69">
        <v>1</v>
      </c>
      <c r="AD96" s="69">
        <v>1</v>
      </c>
      <c r="AE96" s="69">
        <v>1</v>
      </c>
      <c r="AF96" s="69">
        <v>1</v>
      </c>
      <c r="AG96" s="69">
        <v>1</v>
      </c>
      <c r="AH96" s="69">
        <v>1</v>
      </c>
      <c r="AI96" s="70">
        <v>1</v>
      </c>
      <c r="AJ96" s="31">
        <v>1</v>
      </c>
      <c r="AK96" s="31">
        <v>1</v>
      </c>
      <c r="AL96" s="31">
        <v>1</v>
      </c>
      <c r="AM96" s="31">
        <v>1</v>
      </c>
      <c r="AN96" s="31">
        <v>1</v>
      </c>
      <c r="AO96" s="31">
        <v>1</v>
      </c>
      <c r="AP96" s="31">
        <v>1</v>
      </c>
      <c r="AQ96" s="31">
        <v>1</v>
      </c>
      <c r="AR96" s="31">
        <v>1</v>
      </c>
      <c r="AS96" s="31">
        <v>1</v>
      </c>
      <c r="AT96" s="31">
        <v>1</v>
      </c>
      <c r="AU96" s="31">
        <v>1</v>
      </c>
      <c r="AV96" s="31">
        <v>1</v>
      </c>
      <c r="AW96" s="64">
        <v>3</v>
      </c>
      <c r="AX96" s="37">
        <v>1</v>
      </c>
      <c r="AY96" s="47">
        <v>1</v>
      </c>
      <c r="AZ96" s="47">
        <v>1</v>
      </c>
      <c r="BA96" s="47">
        <v>1</v>
      </c>
      <c r="BB96" s="47">
        <v>1</v>
      </c>
      <c r="BC96" s="47">
        <v>1</v>
      </c>
      <c r="BD96" s="47" t="s">
        <v>94</v>
      </c>
      <c r="BE96" s="47">
        <v>1</v>
      </c>
      <c r="BF96" s="47">
        <v>1</v>
      </c>
      <c r="BG96" s="47">
        <v>1</v>
      </c>
      <c r="BH96" s="47">
        <v>1</v>
      </c>
      <c r="BI96" s="47">
        <v>1</v>
      </c>
      <c r="BJ96" s="47">
        <v>1</v>
      </c>
      <c r="BK96" s="48" t="s">
        <v>94</v>
      </c>
    </row>
    <row r="97" spans="7:63">
      <c r="G97" s="84">
        <v>10</v>
      </c>
      <c r="H97" s="52">
        <v>1</v>
      </c>
      <c r="I97" s="53">
        <v>1</v>
      </c>
      <c r="J97" s="53">
        <v>1</v>
      </c>
      <c r="K97" s="53">
        <v>1</v>
      </c>
      <c r="L97" s="53">
        <v>1</v>
      </c>
      <c r="M97" s="53">
        <v>1</v>
      </c>
      <c r="N97" s="53">
        <v>1</v>
      </c>
      <c r="O97" s="53">
        <v>1</v>
      </c>
      <c r="P97" s="53">
        <v>1</v>
      </c>
      <c r="Q97" s="53">
        <v>1</v>
      </c>
      <c r="R97" s="53">
        <v>1</v>
      </c>
      <c r="S97" s="53">
        <v>1</v>
      </c>
      <c r="T97" s="53">
        <v>1</v>
      </c>
      <c r="U97" s="53">
        <v>1</v>
      </c>
      <c r="V97" s="68">
        <v>1</v>
      </c>
      <c r="W97" s="69">
        <v>1</v>
      </c>
      <c r="X97" s="69">
        <v>1</v>
      </c>
      <c r="Y97" s="69">
        <v>1</v>
      </c>
      <c r="Z97" s="69">
        <v>1</v>
      </c>
      <c r="AA97" s="69">
        <v>1</v>
      </c>
      <c r="AB97" s="69">
        <v>1</v>
      </c>
      <c r="AC97" s="69">
        <v>1</v>
      </c>
      <c r="AD97" s="69">
        <v>1</v>
      </c>
      <c r="AE97" s="69">
        <v>1</v>
      </c>
      <c r="AF97" s="69">
        <v>1</v>
      </c>
      <c r="AG97" s="69">
        <v>1</v>
      </c>
      <c r="AH97" s="69">
        <v>1</v>
      </c>
      <c r="AI97" s="70">
        <v>1</v>
      </c>
      <c r="AJ97" s="31">
        <v>1</v>
      </c>
      <c r="AK97" s="31">
        <v>1</v>
      </c>
      <c r="AL97" s="31">
        <v>1</v>
      </c>
      <c r="AM97" s="31">
        <v>1</v>
      </c>
      <c r="AN97" s="31">
        <v>1</v>
      </c>
      <c r="AO97" s="31">
        <v>1</v>
      </c>
      <c r="AP97" s="31">
        <v>1</v>
      </c>
      <c r="AQ97" s="31">
        <v>1</v>
      </c>
      <c r="AR97" s="31">
        <v>1</v>
      </c>
      <c r="AS97" s="31">
        <v>1</v>
      </c>
      <c r="AT97" s="31">
        <v>1</v>
      </c>
      <c r="AU97" s="31">
        <v>1</v>
      </c>
      <c r="AV97" s="31">
        <v>1</v>
      </c>
      <c r="AW97" s="64">
        <v>3</v>
      </c>
      <c r="AX97" s="37">
        <v>1</v>
      </c>
      <c r="AY97" s="47">
        <v>1</v>
      </c>
      <c r="AZ97" s="47">
        <v>1</v>
      </c>
      <c r="BA97" s="47">
        <v>1</v>
      </c>
      <c r="BB97" s="47">
        <v>1</v>
      </c>
      <c r="BC97" s="47">
        <v>1</v>
      </c>
      <c r="BD97" s="47" t="s">
        <v>94</v>
      </c>
      <c r="BE97" s="47">
        <v>1</v>
      </c>
      <c r="BF97" s="47">
        <v>1</v>
      </c>
      <c r="BG97" s="47">
        <v>1</v>
      </c>
      <c r="BH97" s="47">
        <v>1</v>
      </c>
      <c r="BI97" s="47">
        <v>1</v>
      </c>
      <c r="BJ97" s="47">
        <v>1</v>
      </c>
      <c r="BK97" s="48" t="s">
        <v>94</v>
      </c>
    </row>
    <row r="98" spans="7:63">
      <c r="G98" s="84">
        <v>11</v>
      </c>
      <c r="H98" s="52">
        <v>1</v>
      </c>
      <c r="I98" s="53">
        <v>1</v>
      </c>
      <c r="J98" s="53">
        <v>1</v>
      </c>
      <c r="K98" s="53">
        <v>1</v>
      </c>
      <c r="L98" s="53">
        <v>1</v>
      </c>
      <c r="M98" s="53">
        <v>1</v>
      </c>
      <c r="N98" s="53">
        <v>1</v>
      </c>
      <c r="O98" s="53">
        <v>1</v>
      </c>
      <c r="P98" s="53">
        <v>1</v>
      </c>
      <c r="Q98" s="53">
        <v>1</v>
      </c>
      <c r="R98" s="53">
        <v>1</v>
      </c>
      <c r="S98" s="53">
        <v>1</v>
      </c>
      <c r="T98" s="53">
        <v>1</v>
      </c>
      <c r="U98" s="53">
        <v>1</v>
      </c>
      <c r="V98" s="68">
        <v>1</v>
      </c>
      <c r="W98" s="69">
        <v>1</v>
      </c>
      <c r="X98" s="69">
        <v>1</v>
      </c>
      <c r="Y98" s="69">
        <v>1</v>
      </c>
      <c r="Z98" s="69">
        <v>1</v>
      </c>
      <c r="AA98" s="69">
        <v>1</v>
      </c>
      <c r="AB98" s="69">
        <v>1</v>
      </c>
      <c r="AC98" s="69">
        <v>1</v>
      </c>
      <c r="AD98" s="69">
        <v>1</v>
      </c>
      <c r="AE98" s="69">
        <v>1</v>
      </c>
      <c r="AF98" s="69">
        <v>1</v>
      </c>
      <c r="AG98" s="69">
        <v>1</v>
      </c>
      <c r="AH98" s="69">
        <v>1</v>
      </c>
      <c r="AI98" s="70">
        <v>1</v>
      </c>
      <c r="AJ98" s="31">
        <v>1</v>
      </c>
      <c r="AK98" s="31">
        <v>1</v>
      </c>
      <c r="AL98" s="31">
        <v>1</v>
      </c>
      <c r="AM98" s="31">
        <v>1</v>
      </c>
      <c r="AN98" s="31">
        <v>1</v>
      </c>
      <c r="AO98" s="31">
        <v>1</v>
      </c>
      <c r="AP98" s="31">
        <v>1</v>
      </c>
      <c r="AQ98" s="31">
        <v>1</v>
      </c>
      <c r="AR98" s="31">
        <v>1</v>
      </c>
      <c r="AS98" s="31">
        <v>1</v>
      </c>
      <c r="AT98" s="31">
        <v>1</v>
      </c>
      <c r="AU98" s="31">
        <v>1</v>
      </c>
      <c r="AV98" s="31">
        <v>1</v>
      </c>
      <c r="AW98" s="64">
        <v>3</v>
      </c>
      <c r="AX98" s="37">
        <v>1</v>
      </c>
      <c r="AY98" s="47">
        <v>1</v>
      </c>
      <c r="AZ98" s="47">
        <v>1</v>
      </c>
      <c r="BA98" s="47">
        <v>1</v>
      </c>
      <c r="BB98" s="47">
        <v>1</v>
      </c>
      <c r="BC98" s="47">
        <v>1</v>
      </c>
      <c r="BD98" s="47" t="s">
        <v>94</v>
      </c>
      <c r="BE98" s="47">
        <v>1</v>
      </c>
      <c r="BF98" s="47">
        <v>1</v>
      </c>
      <c r="BG98" s="47">
        <v>1</v>
      </c>
      <c r="BH98" s="47">
        <v>1</v>
      </c>
      <c r="BI98" s="47">
        <v>1</v>
      </c>
      <c r="BJ98" s="47">
        <v>1</v>
      </c>
      <c r="BK98" s="48" t="s">
        <v>94</v>
      </c>
    </row>
    <row r="99" spans="7:63">
      <c r="G99" s="84">
        <v>12</v>
      </c>
      <c r="H99" s="52">
        <v>1</v>
      </c>
      <c r="I99" s="53">
        <v>1</v>
      </c>
      <c r="J99" s="53">
        <v>1</v>
      </c>
      <c r="K99" s="53">
        <v>1</v>
      </c>
      <c r="L99" s="53">
        <v>1</v>
      </c>
      <c r="M99" s="53">
        <v>1</v>
      </c>
      <c r="N99" s="53">
        <v>1</v>
      </c>
      <c r="O99" s="53">
        <v>1</v>
      </c>
      <c r="P99" s="53">
        <v>1</v>
      </c>
      <c r="Q99" s="53">
        <v>1</v>
      </c>
      <c r="R99" s="53">
        <v>1</v>
      </c>
      <c r="S99" s="53">
        <v>1</v>
      </c>
      <c r="T99" s="53">
        <v>1</v>
      </c>
      <c r="U99" s="53">
        <v>1</v>
      </c>
      <c r="V99" s="68">
        <v>1</v>
      </c>
      <c r="W99" s="69">
        <v>1</v>
      </c>
      <c r="X99" s="69">
        <v>1</v>
      </c>
      <c r="Y99" s="69">
        <v>1</v>
      </c>
      <c r="Z99" s="69">
        <v>1</v>
      </c>
      <c r="AA99" s="69">
        <v>1</v>
      </c>
      <c r="AB99" s="69">
        <v>1</v>
      </c>
      <c r="AC99" s="69">
        <v>1</v>
      </c>
      <c r="AD99" s="69">
        <v>1</v>
      </c>
      <c r="AE99" s="69">
        <v>1</v>
      </c>
      <c r="AF99" s="69">
        <v>1</v>
      </c>
      <c r="AG99" s="69">
        <v>1</v>
      </c>
      <c r="AH99" s="69">
        <v>1</v>
      </c>
      <c r="AI99" s="70">
        <v>1</v>
      </c>
      <c r="AJ99" s="31">
        <v>1</v>
      </c>
      <c r="AK99" s="31">
        <v>1</v>
      </c>
      <c r="AL99" s="31">
        <v>1</v>
      </c>
      <c r="AM99" s="31">
        <v>1</v>
      </c>
      <c r="AN99" s="31">
        <v>1</v>
      </c>
      <c r="AO99" s="31">
        <v>1</v>
      </c>
      <c r="AP99" s="31">
        <v>1</v>
      </c>
      <c r="AQ99" s="31">
        <v>1</v>
      </c>
      <c r="AR99" s="31">
        <v>1</v>
      </c>
      <c r="AS99" s="31">
        <v>1</v>
      </c>
      <c r="AT99" s="31">
        <v>1</v>
      </c>
      <c r="AU99" s="31">
        <v>1</v>
      </c>
      <c r="AV99" s="31">
        <v>1</v>
      </c>
      <c r="AW99" s="64">
        <v>3</v>
      </c>
      <c r="AX99" s="37">
        <v>1</v>
      </c>
      <c r="AY99" s="47">
        <v>1</v>
      </c>
      <c r="AZ99" s="47">
        <v>1</v>
      </c>
      <c r="BA99" s="47">
        <v>1</v>
      </c>
      <c r="BB99" s="47">
        <v>1</v>
      </c>
      <c r="BC99" s="47">
        <v>1</v>
      </c>
      <c r="BD99" s="47" t="s">
        <v>94</v>
      </c>
      <c r="BE99" s="47">
        <v>1</v>
      </c>
      <c r="BF99" s="47">
        <v>1</v>
      </c>
      <c r="BG99" s="47">
        <v>1</v>
      </c>
      <c r="BH99" s="47">
        <v>1</v>
      </c>
      <c r="BI99" s="47">
        <v>1</v>
      </c>
      <c r="BJ99" s="47">
        <v>1</v>
      </c>
      <c r="BK99" s="48" t="s">
        <v>94</v>
      </c>
    </row>
    <row r="100" spans="7:63">
      <c r="G100" s="84">
        <v>13</v>
      </c>
      <c r="H100" s="52">
        <v>1</v>
      </c>
      <c r="I100" s="53">
        <v>1</v>
      </c>
      <c r="J100" s="53">
        <v>1</v>
      </c>
      <c r="K100" s="53">
        <v>1</v>
      </c>
      <c r="L100" s="53">
        <v>1</v>
      </c>
      <c r="M100" s="53">
        <v>1</v>
      </c>
      <c r="N100" s="53">
        <v>1</v>
      </c>
      <c r="O100" s="53">
        <v>1</v>
      </c>
      <c r="P100" s="53">
        <v>1</v>
      </c>
      <c r="Q100" s="53">
        <v>1</v>
      </c>
      <c r="R100" s="53">
        <v>1</v>
      </c>
      <c r="S100" s="53">
        <v>1</v>
      </c>
      <c r="T100" s="53">
        <v>1</v>
      </c>
      <c r="U100" s="53">
        <v>1</v>
      </c>
      <c r="V100" s="68">
        <v>1</v>
      </c>
      <c r="W100" s="69">
        <v>1</v>
      </c>
      <c r="X100" s="69">
        <v>1</v>
      </c>
      <c r="Y100" s="69">
        <v>1</v>
      </c>
      <c r="Z100" s="69">
        <v>1</v>
      </c>
      <c r="AA100" s="69">
        <v>1</v>
      </c>
      <c r="AB100" s="69">
        <v>1</v>
      </c>
      <c r="AC100" s="69">
        <v>1</v>
      </c>
      <c r="AD100" s="69">
        <v>1</v>
      </c>
      <c r="AE100" s="69">
        <v>1</v>
      </c>
      <c r="AF100" s="69">
        <v>1</v>
      </c>
      <c r="AG100" s="69">
        <v>1</v>
      </c>
      <c r="AH100" s="69">
        <v>1</v>
      </c>
      <c r="AI100" s="70">
        <v>1</v>
      </c>
      <c r="AJ100" s="31">
        <v>1</v>
      </c>
      <c r="AK100" s="31">
        <v>1</v>
      </c>
      <c r="AL100" s="31">
        <v>1</v>
      </c>
      <c r="AM100" s="31">
        <v>1</v>
      </c>
      <c r="AN100" s="31">
        <v>1</v>
      </c>
      <c r="AO100" s="31">
        <v>1</v>
      </c>
      <c r="AP100" s="31">
        <v>1</v>
      </c>
      <c r="AQ100" s="31">
        <v>1</v>
      </c>
      <c r="AR100" s="31">
        <v>1</v>
      </c>
      <c r="AS100" s="31">
        <v>1</v>
      </c>
      <c r="AT100" s="31">
        <v>1</v>
      </c>
      <c r="AU100" s="31">
        <v>1</v>
      </c>
      <c r="AV100" s="31">
        <v>1</v>
      </c>
      <c r="AW100" s="64">
        <v>3</v>
      </c>
      <c r="AX100" s="37">
        <v>1</v>
      </c>
      <c r="AY100" s="47">
        <v>1</v>
      </c>
      <c r="AZ100" s="47">
        <v>1</v>
      </c>
      <c r="BA100" s="47">
        <v>1</v>
      </c>
      <c r="BB100" s="47">
        <v>1</v>
      </c>
      <c r="BC100" s="47">
        <v>1</v>
      </c>
      <c r="BD100" s="47" t="s">
        <v>94</v>
      </c>
      <c r="BE100" s="47">
        <v>1</v>
      </c>
      <c r="BF100" s="47">
        <v>1</v>
      </c>
      <c r="BG100" s="47">
        <v>1</v>
      </c>
      <c r="BH100" s="47">
        <v>1</v>
      </c>
      <c r="BI100" s="47">
        <v>1</v>
      </c>
      <c r="BJ100" s="47">
        <v>1</v>
      </c>
      <c r="BK100" s="48" t="s">
        <v>94</v>
      </c>
    </row>
    <row r="101" spans="7:63">
      <c r="G101" s="84">
        <v>14</v>
      </c>
      <c r="H101" s="52">
        <v>1</v>
      </c>
      <c r="I101" s="53">
        <v>1</v>
      </c>
      <c r="J101" s="53">
        <v>1</v>
      </c>
      <c r="K101" s="53">
        <v>1</v>
      </c>
      <c r="L101" s="53">
        <v>1</v>
      </c>
      <c r="M101" s="53">
        <v>1</v>
      </c>
      <c r="N101" s="53">
        <v>1</v>
      </c>
      <c r="O101" s="53">
        <v>1</v>
      </c>
      <c r="P101" s="53">
        <v>1</v>
      </c>
      <c r="Q101" s="53">
        <v>1</v>
      </c>
      <c r="R101" s="53">
        <v>1</v>
      </c>
      <c r="S101" s="53">
        <v>1</v>
      </c>
      <c r="T101" s="53">
        <v>1</v>
      </c>
      <c r="U101" s="53">
        <v>1</v>
      </c>
      <c r="V101" s="68">
        <v>1</v>
      </c>
      <c r="W101" s="69">
        <v>1</v>
      </c>
      <c r="X101" s="69">
        <v>1</v>
      </c>
      <c r="Y101" s="69">
        <v>1</v>
      </c>
      <c r="Z101" s="69">
        <v>1</v>
      </c>
      <c r="AA101" s="69">
        <v>1</v>
      </c>
      <c r="AB101" s="69">
        <v>1</v>
      </c>
      <c r="AC101" s="69">
        <v>1</v>
      </c>
      <c r="AD101" s="69">
        <v>1</v>
      </c>
      <c r="AE101" s="69">
        <v>1</v>
      </c>
      <c r="AF101" s="69">
        <v>1</v>
      </c>
      <c r="AG101" s="69">
        <v>1</v>
      </c>
      <c r="AH101" s="69">
        <v>1</v>
      </c>
      <c r="AI101" s="70">
        <v>1</v>
      </c>
      <c r="AJ101" s="31">
        <v>1</v>
      </c>
      <c r="AK101" s="31">
        <v>1</v>
      </c>
      <c r="AL101" s="31">
        <v>1</v>
      </c>
      <c r="AM101" s="31">
        <v>1</v>
      </c>
      <c r="AN101" s="31">
        <v>1</v>
      </c>
      <c r="AO101" s="31">
        <v>1</v>
      </c>
      <c r="AP101" s="31">
        <v>1</v>
      </c>
      <c r="AQ101" s="31">
        <v>1</v>
      </c>
      <c r="AR101" s="31">
        <v>1</v>
      </c>
      <c r="AS101" s="31">
        <v>1</v>
      </c>
      <c r="AT101" s="31">
        <v>1</v>
      </c>
      <c r="AU101" s="31">
        <v>1</v>
      </c>
      <c r="AV101" s="31">
        <v>1</v>
      </c>
      <c r="AW101" s="64">
        <v>4</v>
      </c>
      <c r="AX101" s="37">
        <v>1</v>
      </c>
      <c r="AY101" s="47">
        <v>1</v>
      </c>
      <c r="AZ101" s="47">
        <v>1</v>
      </c>
      <c r="BA101" s="47">
        <v>1</v>
      </c>
      <c r="BB101" s="47">
        <v>1</v>
      </c>
      <c r="BC101" s="47">
        <v>1</v>
      </c>
      <c r="BD101" s="47" t="s">
        <v>94</v>
      </c>
      <c r="BE101" s="47">
        <v>1</v>
      </c>
      <c r="BF101" s="47">
        <v>1</v>
      </c>
      <c r="BG101" s="47">
        <v>1</v>
      </c>
      <c r="BH101" s="47">
        <v>1</v>
      </c>
      <c r="BI101" s="47">
        <v>1</v>
      </c>
      <c r="BJ101" s="47">
        <v>1</v>
      </c>
      <c r="BK101" s="48" t="s">
        <v>94</v>
      </c>
    </row>
    <row r="102" spans="7:63">
      <c r="G102" s="84">
        <v>15</v>
      </c>
      <c r="H102" s="52">
        <v>1</v>
      </c>
      <c r="I102" s="53">
        <v>1</v>
      </c>
      <c r="J102" s="53">
        <v>1</v>
      </c>
      <c r="K102" s="53">
        <v>1</v>
      </c>
      <c r="L102" s="53">
        <v>1</v>
      </c>
      <c r="M102" s="53">
        <v>1</v>
      </c>
      <c r="N102" s="53">
        <v>1</v>
      </c>
      <c r="O102" s="53">
        <v>1</v>
      </c>
      <c r="P102" s="53">
        <v>1</v>
      </c>
      <c r="Q102" s="53">
        <v>1</v>
      </c>
      <c r="R102" s="53">
        <v>1</v>
      </c>
      <c r="S102" s="53">
        <v>1</v>
      </c>
      <c r="T102" s="53">
        <v>1</v>
      </c>
      <c r="U102" s="53">
        <v>2</v>
      </c>
      <c r="V102" s="68">
        <v>1</v>
      </c>
      <c r="W102" s="69">
        <v>1</v>
      </c>
      <c r="X102" s="69">
        <v>1</v>
      </c>
      <c r="Y102" s="69">
        <v>1</v>
      </c>
      <c r="Z102" s="69">
        <v>1</v>
      </c>
      <c r="AA102" s="69">
        <v>1</v>
      </c>
      <c r="AB102" s="69">
        <v>1</v>
      </c>
      <c r="AC102" s="69">
        <v>1</v>
      </c>
      <c r="AD102" s="69">
        <v>1</v>
      </c>
      <c r="AE102" s="69">
        <v>1</v>
      </c>
      <c r="AF102" s="69">
        <v>1</v>
      </c>
      <c r="AG102" s="69">
        <v>1</v>
      </c>
      <c r="AH102" s="69">
        <v>1</v>
      </c>
      <c r="AI102" s="70">
        <v>2</v>
      </c>
      <c r="AJ102" s="31">
        <v>1</v>
      </c>
      <c r="AK102" s="31">
        <v>1</v>
      </c>
      <c r="AL102" s="31">
        <v>1</v>
      </c>
      <c r="AM102" s="31">
        <v>1</v>
      </c>
      <c r="AN102" s="31">
        <v>1</v>
      </c>
      <c r="AO102" s="31">
        <v>1</v>
      </c>
      <c r="AP102" s="31">
        <v>1</v>
      </c>
      <c r="AQ102" s="31">
        <v>1</v>
      </c>
      <c r="AR102" s="31">
        <v>1</v>
      </c>
      <c r="AS102" s="31">
        <v>1</v>
      </c>
      <c r="AT102" s="31">
        <v>1</v>
      </c>
      <c r="AU102" s="31">
        <v>1</v>
      </c>
      <c r="AV102" s="31">
        <v>1</v>
      </c>
      <c r="AW102" s="64">
        <v>4</v>
      </c>
      <c r="AX102" s="37">
        <v>1</v>
      </c>
      <c r="AY102" s="47">
        <v>1</v>
      </c>
      <c r="AZ102" s="47">
        <v>1</v>
      </c>
      <c r="BA102" s="47">
        <v>1</v>
      </c>
      <c r="BB102" s="47">
        <v>1</v>
      </c>
      <c r="BC102" s="47">
        <v>1</v>
      </c>
      <c r="BD102" s="47" t="s">
        <v>94</v>
      </c>
      <c r="BE102" s="47">
        <v>1</v>
      </c>
      <c r="BF102" s="47">
        <v>1</v>
      </c>
      <c r="BG102" s="47">
        <v>1</v>
      </c>
      <c r="BH102" s="47">
        <v>1</v>
      </c>
      <c r="BI102" s="47">
        <v>1</v>
      </c>
      <c r="BJ102" s="47">
        <v>1</v>
      </c>
      <c r="BK102" s="48" t="s">
        <v>94</v>
      </c>
    </row>
    <row r="103" spans="7:63">
      <c r="G103" s="84">
        <v>16</v>
      </c>
      <c r="H103" s="52">
        <v>1</v>
      </c>
      <c r="I103" s="53">
        <v>1</v>
      </c>
      <c r="J103" s="53">
        <v>1</v>
      </c>
      <c r="K103" s="53">
        <v>1</v>
      </c>
      <c r="L103" s="53">
        <v>1</v>
      </c>
      <c r="M103" s="53">
        <v>1</v>
      </c>
      <c r="N103" s="53">
        <v>1</v>
      </c>
      <c r="O103" s="53">
        <v>1</v>
      </c>
      <c r="P103" s="53">
        <v>1</v>
      </c>
      <c r="Q103" s="53">
        <v>1</v>
      </c>
      <c r="R103" s="53">
        <v>1</v>
      </c>
      <c r="S103" s="53">
        <v>1</v>
      </c>
      <c r="T103" s="53">
        <v>1</v>
      </c>
      <c r="U103" s="53">
        <v>2</v>
      </c>
      <c r="V103" s="68">
        <v>1</v>
      </c>
      <c r="W103" s="69">
        <v>1</v>
      </c>
      <c r="X103" s="69">
        <v>1</v>
      </c>
      <c r="Y103" s="69">
        <v>1</v>
      </c>
      <c r="Z103" s="69">
        <v>1</v>
      </c>
      <c r="AA103" s="69">
        <v>1</v>
      </c>
      <c r="AB103" s="69">
        <v>1</v>
      </c>
      <c r="AC103" s="69">
        <v>1</v>
      </c>
      <c r="AD103" s="69">
        <v>1</v>
      </c>
      <c r="AE103" s="69">
        <v>1</v>
      </c>
      <c r="AF103" s="69">
        <v>1</v>
      </c>
      <c r="AG103" s="69">
        <v>1</v>
      </c>
      <c r="AH103" s="69">
        <v>1</v>
      </c>
      <c r="AI103" s="70">
        <v>2</v>
      </c>
      <c r="AJ103" s="31">
        <v>1</v>
      </c>
      <c r="AK103" s="31">
        <v>1</v>
      </c>
      <c r="AL103" s="31">
        <v>1</v>
      </c>
      <c r="AM103" s="31">
        <v>1</v>
      </c>
      <c r="AN103" s="31">
        <v>1</v>
      </c>
      <c r="AO103" s="31">
        <v>1</v>
      </c>
      <c r="AP103" s="31">
        <v>1</v>
      </c>
      <c r="AQ103" s="31">
        <v>1</v>
      </c>
      <c r="AR103" s="31">
        <v>1</v>
      </c>
      <c r="AS103" s="31">
        <v>1</v>
      </c>
      <c r="AT103" s="31">
        <v>1</v>
      </c>
      <c r="AU103" s="31">
        <v>1</v>
      </c>
      <c r="AV103" s="31">
        <v>1</v>
      </c>
      <c r="AW103" s="64">
        <v>4</v>
      </c>
      <c r="AX103" s="37">
        <v>1</v>
      </c>
      <c r="AY103" s="47">
        <v>1</v>
      </c>
      <c r="AZ103" s="47">
        <v>1</v>
      </c>
      <c r="BA103" s="47">
        <v>1</v>
      </c>
      <c r="BB103" s="47">
        <v>1</v>
      </c>
      <c r="BC103" s="47">
        <v>1</v>
      </c>
      <c r="BD103" s="47" t="s">
        <v>94</v>
      </c>
      <c r="BE103" s="47">
        <v>1</v>
      </c>
      <c r="BF103" s="47">
        <v>1</v>
      </c>
      <c r="BG103" s="47">
        <v>1</v>
      </c>
      <c r="BH103" s="47">
        <v>1</v>
      </c>
      <c r="BI103" s="47">
        <v>1</v>
      </c>
      <c r="BJ103" s="47">
        <v>1</v>
      </c>
      <c r="BK103" s="48" t="s">
        <v>94</v>
      </c>
    </row>
    <row r="104" spans="7:63">
      <c r="G104" s="84">
        <v>17</v>
      </c>
      <c r="H104" s="52">
        <v>1</v>
      </c>
      <c r="I104" s="53">
        <v>1</v>
      </c>
      <c r="J104" s="53">
        <v>1</v>
      </c>
      <c r="K104" s="53">
        <v>1</v>
      </c>
      <c r="L104" s="53">
        <v>1</v>
      </c>
      <c r="M104" s="53">
        <v>1</v>
      </c>
      <c r="N104" s="53">
        <v>1</v>
      </c>
      <c r="O104" s="53">
        <v>1</v>
      </c>
      <c r="P104" s="53">
        <v>1</v>
      </c>
      <c r="Q104" s="53">
        <v>1</v>
      </c>
      <c r="R104" s="53">
        <v>1</v>
      </c>
      <c r="S104" s="53">
        <v>1</v>
      </c>
      <c r="T104" s="53">
        <v>1</v>
      </c>
      <c r="U104" s="53">
        <v>2</v>
      </c>
      <c r="V104" s="68">
        <v>1</v>
      </c>
      <c r="W104" s="69">
        <v>1</v>
      </c>
      <c r="X104" s="69">
        <v>1</v>
      </c>
      <c r="Y104" s="69">
        <v>1</v>
      </c>
      <c r="Z104" s="69">
        <v>1</v>
      </c>
      <c r="AA104" s="69">
        <v>1</v>
      </c>
      <c r="AB104" s="69">
        <v>1</v>
      </c>
      <c r="AC104" s="69">
        <v>1</v>
      </c>
      <c r="AD104" s="69">
        <v>1</v>
      </c>
      <c r="AE104" s="69">
        <v>1</v>
      </c>
      <c r="AF104" s="69">
        <v>1</v>
      </c>
      <c r="AG104" s="69">
        <v>1</v>
      </c>
      <c r="AH104" s="69">
        <v>1</v>
      </c>
      <c r="AI104" s="70">
        <v>2</v>
      </c>
      <c r="AJ104" s="31">
        <v>1</v>
      </c>
      <c r="AK104" s="31">
        <v>1</v>
      </c>
      <c r="AL104" s="31">
        <v>1</v>
      </c>
      <c r="AM104" s="31">
        <v>1</v>
      </c>
      <c r="AN104" s="31">
        <v>1</v>
      </c>
      <c r="AO104" s="31">
        <v>1</v>
      </c>
      <c r="AP104" s="31">
        <v>1</v>
      </c>
      <c r="AQ104" s="31">
        <v>1</v>
      </c>
      <c r="AR104" s="31">
        <v>1</v>
      </c>
      <c r="AS104" s="31">
        <v>1</v>
      </c>
      <c r="AT104" s="31">
        <v>1</v>
      </c>
      <c r="AU104" s="31">
        <v>1</v>
      </c>
      <c r="AV104" s="31">
        <v>1</v>
      </c>
      <c r="AW104" s="64">
        <v>4</v>
      </c>
      <c r="AX104" s="37">
        <v>1</v>
      </c>
      <c r="AY104" s="47">
        <v>1</v>
      </c>
      <c r="AZ104" s="47">
        <v>1</v>
      </c>
      <c r="BA104" s="47">
        <v>1</v>
      </c>
      <c r="BB104" s="47">
        <v>1</v>
      </c>
      <c r="BC104" s="47">
        <v>1</v>
      </c>
      <c r="BD104" s="47" t="s">
        <v>94</v>
      </c>
      <c r="BE104" s="47">
        <v>1</v>
      </c>
      <c r="BF104" s="47">
        <v>1</v>
      </c>
      <c r="BG104" s="47">
        <v>1</v>
      </c>
      <c r="BH104" s="47">
        <v>1</v>
      </c>
      <c r="BI104" s="47">
        <v>1</v>
      </c>
      <c r="BJ104" s="47">
        <v>1</v>
      </c>
      <c r="BK104" s="48" t="s">
        <v>94</v>
      </c>
    </row>
    <row r="105" spans="7:63">
      <c r="G105" s="84">
        <v>18</v>
      </c>
      <c r="H105" s="52">
        <v>1</v>
      </c>
      <c r="I105" s="53">
        <v>1</v>
      </c>
      <c r="J105" s="53">
        <v>1</v>
      </c>
      <c r="K105" s="53">
        <v>1</v>
      </c>
      <c r="L105" s="53">
        <v>1</v>
      </c>
      <c r="M105" s="53">
        <v>1</v>
      </c>
      <c r="N105" s="53">
        <v>1</v>
      </c>
      <c r="O105" s="53">
        <v>1</v>
      </c>
      <c r="P105" s="53">
        <v>1</v>
      </c>
      <c r="Q105" s="53">
        <v>1</v>
      </c>
      <c r="R105" s="53">
        <v>1</v>
      </c>
      <c r="S105" s="53">
        <v>1</v>
      </c>
      <c r="T105" s="53">
        <v>1</v>
      </c>
      <c r="U105" s="53">
        <v>2</v>
      </c>
      <c r="V105" s="68">
        <v>1</v>
      </c>
      <c r="W105" s="69">
        <v>1</v>
      </c>
      <c r="X105" s="69">
        <v>1</v>
      </c>
      <c r="Y105" s="69">
        <v>1</v>
      </c>
      <c r="Z105" s="69">
        <v>1</v>
      </c>
      <c r="AA105" s="69">
        <v>1</v>
      </c>
      <c r="AB105" s="69">
        <v>1</v>
      </c>
      <c r="AC105" s="69">
        <v>1</v>
      </c>
      <c r="AD105" s="69">
        <v>1</v>
      </c>
      <c r="AE105" s="69">
        <v>1</v>
      </c>
      <c r="AF105" s="69">
        <v>1</v>
      </c>
      <c r="AG105" s="69">
        <v>1</v>
      </c>
      <c r="AH105" s="69">
        <v>1</v>
      </c>
      <c r="AI105" s="70">
        <v>2</v>
      </c>
      <c r="AJ105" s="31">
        <v>1</v>
      </c>
      <c r="AK105" s="31">
        <v>1</v>
      </c>
      <c r="AL105" s="31">
        <v>1</v>
      </c>
      <c r="AM105" s="31">
        <v>1</v>
      </c>
      <c r="AN105" s="31">
        <v>1</v>
      </c>
      <c r="AO105" s="31">
        <v>1</v>
      </c>
      <c r="AP105" s="31">
        <v>1</v>
      </c>
      <c r="AQ105" s="31">
        <v>1</v>
      </c>
      <c r="AR105" s="31">
        <v>1</v>
      </c>
      <c r="AS105" s="31">
        <v>1</v>
      </c>
      <c r="AT105" s="31">
        <v>1</v>
      </c>
      <c r="AU105" s="31">
        <v>1</v>
      </c>
      <c r="AV105" s="31">
        <v>1</v>
      </c>
      <c r="AW105" s="64">
        <v>4</v>
      </c>
      <c r="AX105" s="37">
        <v>1</v>
      </c>
      <c r="AY105" s="47">
        <v>1</v>
      </c>
      <c r="AZ105" s="47">
        <v>1</v>
      </c>
      <c r="BA105" s="47">
        <v>1</v>
      </c>
      <c r="BB105" s="47">
        <v>1</v>
      </c>
      <c r="BC105" s="47">
        <v>1</v>
      </c>
      <c r="BD105" s="47" t="s">
        <v>94</v>
      </c>
      <c r="BE105" s="47">
        <v>1</v>
      </c>
      <c r="BF105" s="47">
        <v>1</v>
      </c>
      <c r="BG105" s="47">
        <v>1</v>
      </c>
      <c r="BH105" s="47">
        <v>1</v>
      </c>
      <c r="BI105" s="47">
        <v>1</v>
      </c>
      <c r="BJ105" s="47">
        <v>1</v>
      </c>
      <c r="BK105" s="48" t="s">
        <v>94</v>
      </c>
    </row>
    <row r="106" spans="7:63">
      <c r="G106" s="84">
        <v>19</v>
      </c>
      <c r="H106" s="52">
        <v>1</v>
      </c>
      <c r="I106" s="53">
        <v>1</v>
      </c>
      <c r="J106" s="53">
        <v>1</v>
      </c>
      <c r="K106" s="53">
        <v>1</v>
      </c>
      <c r="L106" s="53">
        <v>1</v>
      </c>
      <c r="M106" s="53">
        <v>1</v>
      </c>
      <c r="N106" s="53">
        <v>1</v>
      </c>
      <c r="O106" s="53">
        <v>1</v>
      </c>
      <c r="P106" s="53">
        <v>1</v>
      </c>
      <c r="Q106" s="53">
        <v>1</v>
      </c>
      <c r="R106" s="53">
        <v>1</v>
      </c>
      <c r="S106" s="53">
        <v>1</v>
      </c>
      <c r="T106" s="53">
        <v>1</v>
      </c>
      <c r="U106" s="53">
        <v>2</v>
      </c>
      <c r="V106" s="68">
        <v>1</v>
      </c>
      <c r="W106" s="69">
        <v>1</v>
      </c>
      <c r="X106" s="69">
        <v>1</v>
      </c>
      <c r="Y106" s="69">
        <v>1</v>
      </c>
      <c r="Z106" s="69">
        <v>1</v>
      </c>
      <c r="AA106" s="69">
        <v>1</v>
      </c>
      <c r="AB106" s="69">
        <v>1</v>
      </c>
      <c r="AC106" s="69">
        <v>1</v>
      </c>
      <c r="AD106" s="69">
        <v>1</v>
      </c>
      <c r="AE106" s="69">
        <v>1</v>
      </c>
      <c r="AF106" s="69">
        <v>1</v>
      </c>
      <c r="AG106" s="69">
        <v>1</v>
      </c>
      <c r="AH106" s="69">
        <v>1</v>
      </c>
      <c r="AI106" s="70">
        <v>2</v>
      </c>
      <c r="AJ106" s="31">
        <v>1</v>
      </c>
      <c r="AK106" s="31">
        <v>1</v>
      </c>
      <c r="AL106" s="31">
        <v>1</v>
      </c>
      <c r="AM106" s="31">
        <v>1</v>
      </c>
      <c r="AN106" s="31">
        <v>1</v>
      </c>
      <c r="AO106" s="31">
        <v>1</v>
      </c>
      <c r="AP106" s="31">
        <v>1</v>
      </c>
      <c r="AQ106" s="31">
        <v>1</v>
      </c>
      <c r="AR106" s="31">
        <v>1</v>
      </c>
      <c r="AS106" s="31">
        <v>1</v>
      </c>
      <c r="AT106" s="31">
        <v>1</v>
      </c>
      <c r="AU106" s="31">
        <v>1</v>
      </c>
      <c r="AV106" s="31">
        <v>1</v>
      </c>
      <c r="AW106" s="64">
        <v>4</v>
      </c>
      <c r="AX106" s="37">
        <v>1</v>
      </c>
      <c r="AY106" s="47">
        <v>1</v>
      </c>
      <c r="AZ106" s="47">
        <v>1</v>
      </c>
      <c r="BA106" s="47">
        <v>1</v>
      </c>
      <c r="BB106" s="47">
        <v>1</v>
      </c>
      <c r="BC106" s="47">
        <v>1</v>
      </c>
      <c r="BD106" s="47" t="s">
        <v>94</v>
      </c>
      <c r="BE106" s="47">
        <v>1</v>
      </c>
      <c r="BF106" s="47">
        <v>1</v>
      </c>
      <c r="BG106" s="47">
        <v>1</v>
      </c>
      <c r="BH106" s="47">
        <v>1</v>
      </c>
      <c r="BI106" s="47">
        <v>1</v>
      </c>
      <c r="BJ106" s="47">
        <v>1</v>
      </c>
      <c r="BK106" s="48" t="s">
        <v>94</v>
      </c>
    </row>
    <row r="107" spans="7:63">
      <c r="G107" s="84">
        <v>20</v>
      </c>
      <c r="H107" s="52">
        <v>1</v>
      </c>
      <c r="I107" s="53">
        <v>1</v>
      </c>
      <c r="J107" s="53">
        <v>1</v>
      </c>
      <c r="K107" s="53">
        <v>1</v>
      </c>
      <c r="L107" s="53">
        <v>1</v>
      </c>
      <c r="M107" s="53">
        <v>1</v>
      </c>
      <c r="N107" s="53">
        <v>1</v>
      </c>
      <c r="O107" s="53">
        <v>1</v>
      </c>
      <c r="P107" s="53">
        <v>1</v>
      </c>
      <c r="Q107" s="53">
        <v>1</v>
      </c>
      <c r="R107" s="53">
        <v>1</v>
      </c>
      <c r="S107" s="53">
        <v>1</v>
      </c>
      <c r="T107" s="53">
        <v>1</v>
      </c>
      <c r="U107" s="53">
        <v>2</v>
      </c>
      <c r="V107" s="68">
        <v>1</v>
      </c>
      <c r="W107" s="69">
        <v>1</v>
      </c>
      <c r="X107" s="69">
        <v>1</v>
      </c>
      <c r="Y107" s="69">
        <v>1</v>
      </c>
      <c r="Z107" s="69">
        <v>1</v>
      </c>
      <c r="AA107" s="69">
        <v>1</v>
      </c>
      <c r="AB107" s="69">
        <v>1</v>
      </c>
      <c r="AC107" s="69">
        <v>1</v>
      </c>
      <c r="AD107" s="69">
        <v>1</v>
      </c>
      <c r="AE107" s="69">
        <v>1</v>
      </c>
      <c r="AF107" s="69">
        <v>1</v>
      </c>
      <c r="AG107" s="69">
        <v>1</v>
      </c>
      <c r="AH107" s="69">
        <v>1</v>
      </c>
      <c r="AI107" s="70">
        <v>2</v>
      </c>
      <c r="AJ107" s="31">
        <v>1</v>
      </c>
      <c r="AK107" s="31">
        <v>1</v>
      </c>
      <c r="AL107" s="31">
        <v>1</v>
      </c>
      <c r="AM107" s="31">
        <v>1</v>
      </c>
      <c r="AN107" s="31">
        <v>1</v>
      </c>
      <c r="AO107" s="31">
        <v>1</v>
      </c>
      <c r="AP107" s="31">
        <v>1</v>
      </c>
      <c r="AQ107" s="31">
        <v>1</v>
      </c>
      <c r="AR107" s="31">
        <v>1</v>
      </c>
      <c r="AS107" s="31">
        <v>1</v>
      </c>
      <c r="AT107" s="31">
        <v>1</v>
      </c>
      <c r="AU107" s="31">
        <v>1</v>
      </c>
      <c r="AV107" s="31">
        <v>1</v>
      </c>
      <c r="AW107" s="64">
        <v>4</v>
      </c>
      <c r="AX107" s="37">
        <v>1</v>
      </c>
      <c r="AY107" s="47">
        <v>1</v>
      </c>
      <c r="AZ107" s="47">
        <v>1</v>
      </c>
      <c r="BA107" s="47">
        <v>1</v>
      </c>
      <c r="BB107" s="47">
        <v>1</v>
      </c>
      <c r="BC107" s="47">
        <v>1</v>
      </c>
      <c r="BD107" s="47" t="s">
        <v>94</v>
      </c>
      <c r="BE107" s="47">
        <v>1</v>
      </c>
      <c r="BF107" s="47">
        <v>1</v>
      </c>
      <c r="BG107" s="47">
        <v>1</v>
      </c>
      <c r="BH107" s="47">
        <v>1</v>
      </c>
      <c r="BI107" s="47">
        <v>1</v>
      </c>
      <c r="BJ107" s="47">
        <v>1</v>
      </c>
      <c r="BK107" s="48" t="s">
        <v>94</v>
      </c>
    </row>
    <row r="108" spans="7:63">
      <c r="G108" s="84">
        <v>21</v>
      </c>
      <c r="H108" s="52">
        <v>1</v>
      </c>
      <c r="I108" s="53">
        <v>1</v>
      </c>
      <c r="J108" s="53">
        <v>1</v>
      </c>
      <c r="K108" s="53">
        <v>1</v>
      </c>
      <c r="L108" s="53">
        <v>1</v>
      </c>
      <c r="M108" s="53">
        <v>1</v>
      </c>
      <c r="N108" s="53">
        <v>1</v>
      </c>
      <c r="O108" s="53">
        <v>1</v>
      </c>
      <c r="P108" s="53">
        <v>1</v>
      </c>
      <c r="Q108" s="53">
        <v>1</v>
      </c>
      <c r="R108" s="53">
        <v>1</v>
      </c>
      <c r="S108" s="53">
        <v>1</v>
      </c>
      <c r="T108" s="53">
        <v>1</v>
      </c>
      <c r="U108" s="53">
        <v>3</v>
      </c>
      <c r="V108" s="68">
        <v>1</v>
      </c>
      <c r="W108" s="69">
        <v>1</v>
      </c>
      <c r="X108" s="69">
        <v>1</v>
      </c>
      <c r="Y108" s="69">
        <v>1</v>
      </c>
      <c r="Z108" s="69">
        <v>1</v>
      </c>
      <c r="AA108" s="69">
        <v>1</v>
      </c>
      <c r="AB108" s="69">
        <v>1</v>
      </c>
      <c r="AC108" s="69">
        <v>1</v>
      </c>
      <c r="AD108" s="69">
        <v>1</v>
      </c>
      <c r="AE108" s="69">
        <v>1</v>
      </c>
      <c r="AF108" s="69">
        <v>1</v>
      </c>
      <c r="AG108" s="69">
        <v>1</v>
      </c>
      <c r="AH108" s="69">
        <v>1</v>
      </c>
      <c r="AI108" s="70">
        <v>2</v>
      </c>
      <c r="AJ108" s="31">
        <v>1</v>
      </c>
      <c r="AK108" s="31">
        <v>1</v>
      </c>
      <c r="AL108" s="31">
        <v>1</v>
      </c>
      <c r="AM108" s="31">
        <v>1</v>
      </c>
      <c r="AN108" s="31">
        <v>1</v>
      </c>
      <c r="AO108" s="31">
        <v>1</v>
      </c>
      <c r="AP108" s="31">
        <v>1</v>
      </c>
      <c r="AQ108" s="31">
        <v>1</v>
      </c>
      <c r="AR108" s="31">
        <v>1</v>
      </c>
      <c r="AS108" s="31">
        <v>1</v>
      </c>
      <c r="AT108" s="31">
        <v>1</v>
      </c>
      <c r="AU108" s="31">
        <v>1</v>
      </c>
      <c r="AV108" s="31">
        <v>1</v>
      </c>
      <c r="AW108" s="64">
        <v>4</v>
      </c>
      <c r="AX108" s="37">
        <v>1</v>
      </c>
      <c r="AY108" s="47">
        <v>1</v>
      </c>
      <c r="AZ108" s="47">
        <v>1</v>
      </c>
      <c r="BA108" s="47">
        <v>1</v>
      </c>
      <c r="BB108" s="47">
        <v>1</v>
      </c>
      <c r="BC108" s="47">
        <v>1</v>
      </c>
      <c r="BD108" s="47" t="s">
        <v>94</v>
      </c>
      <c r="BE108" s="47">
        <v>1</v>
      </c>
      <c r="BF108" s="47">
        <v>1</v>
      </c>
      <c r="BG108" s="47">
        <v>1</v>
      </c>
      <c r="BH108" s="47">
        <v>1</v>
      </c>
      <c r="BI108" s="47">
        <v>1</v>
      </c>
      <c r="BJ108" s="47">
        <v>1</v>
      </c>
      <c r="BK108" s="48" t="s">
        <v>94</v>
      </c>
    </row>
    <row r="109" spans="7:63">
      <c r="G109" s="84">
        <v>22</v>
      </c>
      <c r="H109" s="52">
        <v>1</v>
      </c>
      <c r="I109" s="53">
        <v>1</v>
      </c>
      <c r="J109" s="53">
        <v>1</v>
      </c>
      <c r="K109" s="53">
        <v>1</v>
      </c>
      <c r="L109" s="53">
        <v>1</v>
      </c>
      <c r="M109" s="53">
        <v>1</v>
      </c>
      <c r="N109" s="53">
        <v>1</v>
      </c>
      <c r="O109" s="53">
        <v>1</v>
      </c>
      <c r="P109" s="53">
        <v>1</v>
      </c>
      <c r="Q109" s="53">
        <v>1</v>
      </c>
      <c r="R109" s="53">
        <v>1</v>
      </c>
      <c r="S109" s="53">
        <v>1</v>
      </c>
      <c r="T109" s="53">
        <v>1</v>
      </c>
      <c r="U109" s="53">
        <v>3</v>
      </c>
      <c r="V109" s="68">
        <v>1</v>
      </c>
      <c r="W109" s="69">
        <v>1</v>
      </c>
      <c r="X109" s="69">
        <v>1</v>
      </c>
      <c r="Y109" s="69">
        <v>1</v>
      </c>
      <c r="Z109" s="69">
        <v>1</v>
      </c>
      <c r="AA109" s="69">
        <v>1</v>
      </c>
      <c r="AB109" s="69">
        <v>1</v>
      </c>
      <c r="AC109" s="69">
        <v>1</v>
      </c>
      <c r="AD109" s="69">
        <v>1</v>
      </c>
      <c r="AE109" s="69">
        <v>1</v>
      </c>
      <c r="AF109" s="69">
        <v>1</v>
      </c>
      <c r="AG109" s="69">
        <v>1</v>
      </c>
      <c r="AH109" s="69">
        <v>1</v>
      </c>
      <c r="AI109" s="70">
        <v>3</v>
      </c>
      <c r="AJ109" s="31">
        <v>1</v>
      </c>
      <c r="AK109" s="31">
        <v>1</v>
      </c>
      <c r="AL109" s="31">
        <v>1</v>
      </c>
      <c r="AM109" s="31">
        <v>1</v>
      </c>
      <c r="AN109" s="31">
        <v>1</v>
      </c>
      <c r="AO109" s="31">
        <v>1</v>
      </c>
      <c r="AP109" s="31">
        <v>1</v>
      </c>
      <c r="AQ109" s="31">
        <v>1</v>
      </c>
      <c r="AR109" s="31">
        <v>1</v>
      </c>
      <c r="AS109" s="31">
        <v>1</v>
      </c>
      <c r="AT109" s="31">
        <v>1</v>
      </c>
      <c r="AU109" s="31">
        <v>1</v>
      </c>
      <c r="AV109" s="31">
        <v>1</v>
      </c>
      <c r="AW109" s="64">
        <v>4</v>
      </c>
      <c r="AX109" s="37">
        <v>2</v>
      </c>
      <c r="AY109" s="47">
        <v>1</v>
      </c>
      <c r="AZ109" s="47">
        <v>1</v>
      </c>
      <c r="BA109" s="47">
        <v>1</v>
      </c>
      <c r="BB109" s="47">
        <v>1</v>
      </c>
      <c r="BC109" s="47">
        <v>1</v>
      </c>
      <c r="BD109" s="47" t="s">
        <v>94</v>
      </c>
      <c r="BE109" s="47">
        <v>1</v>
      </c>
      <c r="BF109" s="47">
        <v>1</v>
      </c>
      <c r="BG109" s="47">
        <v>1</v>
      </c>
      <c r="BH109" s="47">
        <v>1</v>
      </c>
      <c r="BI109" s="47">
        <v>1</v>
      </c>
      <c r="BJ109" s="47">
        <v>1</v>
      </c>
      <c r="BK109" s="48" t="s">
        <v>94</v>
      </c>
    </row>
    <row r="110" spans="7:63">
      <c r="G110" s="84">
        <v>23</v>
      </c>
      <c r="H110" s="52">
        <v>1</v>
      </c>
      <c r="I110" s="53">
        <v>1</v>
      </c>
      <c r="J110" s="53">
        <v>1</v>
      </c>
      <c r="K110" s="53">
        <v>1</v>
      </c>
      <c r="L110" s="53">
        <v>1</v>
      </c>
      <c r="M110" s="53">
        <v>1</v>
      </c>
      <c r="N110" s="53">
        <v>1</v>
      </c>
      <c r="O110" s="53">
        <v>1</v>
      </c>
      <c r="P110" s="53">
        <v>1</v>
      </c>
      <c r="Q110" s="53">
        <v>1</v>
      </c>
      <c r="R110" s="53">
        <v>1</v>
      </c>
      <c r="S110" s="53">
        <v>1</v>
      </c>
      <c r="T110" s="53">
        <v>1</v>
      </c>
      <c r="U110" s="53">
        <v>3</v>
      </c>
      <c r="V110" s="68">
        <v>1</v>
      </c>
      <c r="W110" s="69">
        <v>1</v>
      </c>
      <c r="X110" s="69">
        <v>1</v>
      </c>
      <c r="Y110" s="69">
        <v>1</v>
      </c>
      <c r="Z110" s="69">
        <v>1</v>
      </c>
      <c r="AA110" s="69">
        <v>1</v>
      </c>
      <c r="AB110" s="69">
        <v>1</v>
      </c>
      <c r="AC110" s="69">
        <v>1</v>
      </c>
      <c r="AD110" s="69">
        <v>1</v>
      </c>
      <c r="AE110" s="69">
        <v>1</v>
      </c>
      <c r="AF110" s="69">
        <v>1</v>
      </c>
      <c r="AG110" s="69">
        <v>1</v>
      </c>
      <c r="AH110" s="69">
        <v>1</v>
      </c>
      <c r="AI110" s="70">
        <v>3</v>
      </c>
      <c r="AJ110" s="31">
        <v>1</v>
      </c>
      <c r="AK110" s="31">
        <v>1</v>
      </c>
      <c r="AL110" s="31">
        <v>1</v>
      </c>
      <c r="AM110" s="31">
        <v>1</v>
      </c>
      <c r="AN110" s="31">
        <v>1</v>
      </c>
      <c r="AO110" s="31">
        <v>1</v>
      </c>
      <c r="AP110" s="31">
        <v>1</v>
      </c>
      <c r="AQ110" s="31">
        <v>1</v>
      </c>
      <c r="AR110" s="31">
        <v>1</v>
      </c>
      <c r="AS110" s="31">
        <v>1</v>
      </c>
      <c r="AT110" s="31">
        <v>1</v>
      </c>
      <c r="AU110" s="31">
        <v>1</v>
      </c>
      <c r="AV110" s="31">
        <v>1</v>
      </c>
      <c r="AW110" s="64">
        <v>5</v>
      </c>
      <c r="AX110" s="37">
        <v>2</v>
      </c>
      <c r="AY110" s="47">
        <v>1</v>
      </c>
      <c r="AZ110" s="47">
        <v>1</v>
      </c>
      <c r="BA110" s="47">
        <v>1</v>
      </c>
      <c r="BB110" s="47">
        <v>1</v>
      </c>
      <c r="BC110" s="47">
        <v>1</v>
      </c>
      <c r="BD110" s="47" t="s">
        <v>94</v>
      </c>
      <c r="BE110" s="47">
        <v>1</v>
      </c>
      <c r="BF110" s="47">
        <v>1</v>
      </c>
      <c r="BG110" s="47">
        <v>1</v>
      </c>
      <c r="BH110" s="47">
        <v>1</v>
      </c>
      <c r="BI110" s="47">
        <v>1</v>
      </c>
      <c r="BJ110" s="47">
        <v>1</v>
      </c>
      <c r="BK110" s="48" t="s">
        <v>94</v>
      </c>
    </row>
    <row r="111" spans="7:63">
      <c r="G111" s="84">
        <v>24</v>
      </c>
      <c r="H111" s="52">
        <v>1</v>
      </c>
      <c r="I111" s="53">
        <v>1</v>
      </c>
      <c r="J111" s="53">
        <v>1</v>
      </c>
      <c r="K111" s="53">
        <v>1</v>
      </c>
      <c r="L111" s="53">
        <v>1</v>
      </c>
      <c r="M111" s="53">
        <v>1</v>
      </c>
      <c r="N111" s="53">
        <v>1</v>
      </c>
      <c r="O111" s="53">
        <v>1</v>
      </c>
      <c r="P111" s="53">
        <v>1</v>
      </c>
      <c r="Q111" s="53">
        <v>1</v>
      </c>
      <c r="R111" s="53">
        <v>1</v>
      </c>
      <c r="S111" s="53">
        <v>1</v>
      </c>
      <c r="T111" s="53">
        <v>1</v>
      </c>
      <c r="U111" s="53">
        <v>3</v>
      </c>
      <c r="V111" s="68">
        <v>1</v>
      </c>
      <c r="W111" s="69">
        <v>1</v>
      </c>
      <c r="X111" s="69">
        <v>1</v>
      </c>
      <c r="Y111" s="69">
        <v>1</v>
      </c>
      <c r="Z111" s="69">
        <v>1</v>
      </c>
      <c r="AA111" s="69">
        <v>1</v>
      </c>
      <c r="AB111" s="69">
        <v>1</v>
      </c>
      <c r="AC111" s="69">
        <v>1</v>
      </c>
      <c r="AD111" s="69">
        <v>1</v>
      </c>
      <c r="AE111" s="69">
        <v>1</v>
      </c>
      <c r="AF111" s="69">
        <v>1</v>
      </c>
      <c r="AG111" s="69">
        <v>1</v>
      </c>
      <c r="AH111" s="69">
        <v>1</v>
      </c>
      <c r="AI111" s="70">
        <v>3</v>
      </c>
      <c r="AJ111" s="31">
        <v>1</v>
      </c>
      <c r="AK111" s="31">
        <v>1</v>
      </c>
      <c r="AL111" s="31">
        <v>1</v>
      </c>
      <c r="AM111" s="31">
        <v>1</v>
      </c>
      <c r="AN111" s="31">
        <v>1</v>
      </c>
      <c r="AO111" s="31">
        <v>1</v>
      </c>
      <c r="AP111" s="31">
        <v>1</v>
      </c>
      <c r="AQ111" s="31">
        <v>1</v>
      </c>
      <c r="AR111" s="31">
        <v>1</v>
      </c>
      <c r="AS111" s="31">
        <v>1</v>
      </c>
      <c r="AT111" s="31">
        <v>1</v>
      </c>
      <c r="AU111" s="31">
        <v>1</v>
      </c>
      <c r="AV111" s="31">
        <v>1</v>
      </c>
      <c r="AW111" s="64">
        <v>5</v>
      </c>
      <c r="AX111" s="37">
        <v>2</v>
      </c>
      <c r="AY111" s="47">
        <v>1</v>
      </c>
      <c r="AZ111" s="47">
        <v>1</v>
      </c>
      <c r="BA111" s="47">
        <v>1</v>
      </c>
      <c r="BB111" s="47">
        <v>1</v>
      </c>
      <c r="BC111" s="47">
        <v>1</v>
      </c>
      <c r="BD111" s="47" t="s">
        <v>94</v>
      </c>
      <c r="BE111" s="47">
        <v>1</v>
      </c>
      <c r="BF111" s="47">
        <v>1</v>
      </c>
      <c r="BG111" s="47">
        <v>1</v>
      </c>
      <c r="BH111" s="47">
        <v>1</v>
      </c>
      <c r="BI111" s="47">
        <v>1</v>
      </c>
      <c r="BJ111" s="47">
        <v>1</v>
      </c>
      <c r="BK111" s="48" t="s">
        <v>94</v>
      </c>
    </row>
    <row r="112" spans="7:63">
      <c r="G112" s="84">
        <v>25</v>
      </c>
      <c r="H112" s="52">
        <v>1</v>
      </c>
      <c r="I112" s="53">
        <v>1</v>
      </c>
      <c r="J112" s="53">
        <v>1</v>
      </c>
      <c r="K112" s="53">
        <v>1</v>
      </c>
      <c r="L112" s="53">
        <v>1</v>
      </c>
      <c r="M112" s="53">
        <v>1</v>
      </c>
      <c r="N112" s="53">
        <v>1</v>
      </c>
      <c r="O112" s="53">
        <v>1</v>
      </c>
      <c r="P112" s="53">
        <v>1</v>
      </c>
      <c r="Q112" s="53">
        <v>1</v>
      </c>
      <c r="R112" s="53">
        <v>1</v>
      </c>
      <c r="S112" s="53">
        <v>1</v>
      </c>
      <c r="T112" s="53">
        <v>1</v>
      </c>
      <c r="U112" s="53">
        <v>3</v>
      </c>
      <c r="V112" s="68">
        <v>1</v>
      </c>
      <c r="W112" s="69">
        <v>1</v>
      </c>
      <c r="X112" s="69">
        <v>1</v>
      </c>
      <c r="Y112" s="69">
        <v>1</v>
      </c>
      <c r="Z112" s="69">
        <v>1</v>
      </c>
      <c r="AA112" s="69">
        <v>1</v>
      </c>
      <c r="AB112" s="69">
        <v>1</v>
      </c>
      <c r="AC112" s="69">
        <v>1</v>
      </c>
      <c r="AD112" s="69">
        <v>1</v>
      </c>
      <c r="AE112" s="69">
        <v>1</v>
      </c>
      <c r="AF112" s="69">
        <v>1</v>
      </c>
      <c r="AG112" s="69">
        <v>1</v>
      </c>
      <c r="AH112" s="69">
        <v>1</v>
      </c>
      <c r="AI112" s="70">
        <v>3</v>
      </c>
      <c r="AJ112" s="31">
        <v>1</v>
      </c>
      <c r="AK112" s="31">
        <v>1</v>
      </c>
      <c r="AL112" s="31">
        <v>1</v>
      </c>
      <c r="AM112" s="31">
        <v>1</v>
      </c>
      <c r="AN112" s="31">
        <v>1</v>
      </c>
      <c r="AO112" s="31">
        <v>1</v>
      </c>
      <c r="AP112" s="31">
        <v>1</v>
      </c>
      <c r="AQ112" s="31">
        <v>1</v>
      </c>
      <c r="AR112" s="31">
        <v>1</v>
      </c>
      <c r="AS112" s="31">
        <v>1</v>
      </c>
      <c r="AT112" s="31">
        <v>1</v>
      </c>
      <c r="AU112" s="31">
        <v>1</v>
      </c>
      <c r="AV112" s="31">
        <v>1</v>
      </c>
      <c r="AW112" s="64">
        <v>5</v>
      </c>
      <c r="AX112" s="37">
        <v>2</v>
      </c>
      <c r="AY112" s="47">
        <v>1</v>
      </c>
      <c r="AZ112" s="47">
        <v>1</v>
      </c>
      <c r="BA112" s="47">
        <v>1</v>
      </c>
      <c r="BB112" s="47">
        <v>1</v>
      </c>
      <c r="BC112" s="47">
        <v>1</v>
      </c>
      <c r="BD112" s="47" t="s">
        <v>94</v>
      </c>
      <c r="BE112" s="47">
        <v>1</v>
      </c>
      <c r="BF112" s="47">
        <v>1</v>
      </c>
      <c r="BG112" s="47">
        <v>1</v>
      </c>
      <c r="BH112" s="47">
        <v>1</v>
      </c>
      <c r="BI112" s="47">
        <v>1</v>
      </c>
      <c r="BJ112" s="47">
        <v>1</v>
      </c>
      <c r="BK112" s="48" t="s">
        <v>94</v>
      </c>
    </row>
    <row r="113" spans="7:63">
      <c r="G113" s="84">
        <v>26</v>
      </c>
      <c r="H113" s="52">
        <v>1</v>
      </c>
      <c r="I113" s="53">
        <v>1</v>
      </c>
      <c r="J113" s="53">
        <v>1</v>
      </c>
      <c r="K113" s="53">
        <v>1</v>
      </c>
      <c r="L113" s="53">
        <v>1</v>
      </c>
      <c r="M113" s="53">
        <v>1</v>
      </c>
      <c r="N113" s="53">
        <v>1</v>
      </c>
      <c r="O113" s="53">
        <v>1</v>
      </c>
      <c r="P113" s="53">
        <v>1</v>
      </c>
      <c r="Q113" s="53">
        <v>1</v>
      </c>
      <c r="R113" s="53">
        <v>1</v>
      </c>
      <c r="S113" s="53">
        <v>1</v>
      </c>
      <c r="T113" s="53">
        <v>1</v>
      </c>
      <c r="U113" s="53">
        <v>3</v>
      </c>
      <c r="V113" s="68">
        <v>1</v>
      </c>
      <c r="W113" s="69">
        <v>1</v>
      </c>
      <c r="X113" s="69">
        <v>1</v>
      </c>
      <c r="Y113" s="69">
        <v>1</v>
      </c>
      <c r="Z113" s="69">
        <v>1</v>
      </c>
      <c r="AA113" s="69">
        <v>1</v>
      </c>
      <c r="AB113" s="69">
        <v>1</v>
      </c>
      <c r="AC113" s="69">
        <v>1</v>
      </c>
      <c r="AD113" s="69">
        <v>1</v>
      </c>
      <c r="AE113" s="69">
        <v>1</v>
      </c>
      <c r="AF113" s="69">
        <v>1</v>
      </c>
      <c r="AG113" s="69">
        <v>1</v>
      </c>
      <c r="AH113" s="69">
        <v>1</v>
      </c>
      <c r="AI113" s="70">
        <v>3</v>
      </c>
      <c r="AJ113" s="31">
        <v>1</v>
      </c>
      <c r="AK113" s="31">
        <v>1</v>
      </c>
      <c r="AL113" s="31">
        <v>1</v>
      </c>
      <c r="AM113" s="31">
        <v>1</v>
      </c>
      <c r="AN113" s="31">
        <v>1</v>
      </c>
      <c r="AO113" s="31">
        <v>1</v>
      </c>
      <c r="AP113" s="31">
        <v>1</v>
      </c>
      <c r="AQ113" s="31">
        <v>1</v>
      </c>
      <c r="AR113" s="31">
        <v>1</v>
      </c>
      <c r="AS113" s="31">
        <v>1</v>
      </c>
      <c r="AT113" s="31">
        <v>1</v>
      </c>
      <c r="AU113" s="31">
        <v>1</v>
      </c>
      <c r="AV113" s="31">
        <v>1</v>
      </c>
      <c r="AW113" s="64">
        <v>5</v>
      </c>
      <c r="AX113" s="37">
        <v>2</v>
      </c>
      <c r="AY113" s="47">
        <v>1</v>
      </c>
      <c r="AZ113" s="47">
        <v>1</v>
      </c>
      <c r="BA113" s="47">
        <v>1</v>
      </c>
      <c r="BB113" s="47">
        <v>1</v>
      </c>
      <c r="BC113" s="47">
        <v>1</v>
      </c>
      <c r="BD113" s="47" t="s">
        <v>94</v>
      </c>
      <c r="BE113" s="47">
        <v>1</v>
      </c>
      <c r="BF113" s="47">
        <v>1</v>
      </c>
      <c r="BG113" s="47">
        <v>1</v>
      </c>
      <c r="BH113" s="47">
        <v>1</v>
      </c>
      <c r="BI113" s="47">
        <v>1</v>
      </c>
      <c r="BJ113" s="47">
        <v>1</v>
      </c>
      <c r="BK113" s="48" t="s">
        <v>94</v>
      </c>
    </row>
    <row r="114" spans="7:63">
      <c r="G114" s="84">
        <v>27</v>
      </c>
      <c r="H114" s="52">
        <v>1</v>
      </c>
      <c r="I114" s="53">
        <v>1</v>
      </c>
      <c r="J114" s="53">
        <v>1</v>
      </c>
      <c r="K114" s="53">
        <v>1</v>
      </c>
      <c r="L114" s="53">
        <v>1</v>
      </c>
      <c r="M114" s="53">
        <v>1</v>
      </c>
      <c r="N114" s="53">
        <v>1</v>
      </c>
      <c r="O114" s="53">
        <v>1</v>
      </c>
      <c r="P114" s="53">
        <v>1</v>
      </c>
      <c r="Q114" s="53">
        <v>1</v>
      </c>
      <c r="R114" s="53">
        <v>1</v>
      </c>
      <c r="S114" s="53">
        <v>1</v>
      </c>
      <c r="T114" s="53">
        <v>1</v>
      </c>
      <c r="U114" s="53">
        <v>4</v>
      </c>
      <c r="V114" s="68">
        <v>1</v>
      </c>
      <c r="W114" s="69">
        <v>1</v>
      </c>
      <c r="X114" s="69">
        <v>1</v>
      </c>
      <c r="Y114" s="69">
        <v>1</v>
      </c>
      <c r="Z114" s="69">
        <v>1</v>
      </c>
      <c r="AA114" s="69">
        <v>1</v>
      </c>
      <c r="AB114" s="69">
        <v>1</v>
      </c>
      <c r="AC114" s="69">
        <v>1</v>
      </c>
      <c r="AD114" s="69">
        <v>1</v>
      </c>
      <c r="AE114" s="69">
        <v>1</v>
      </c>
      <c r="AF114" s="69">
        <v>1</v>
      </c>
      <c r="AG114" s="69">
        <v>1</v>
      </c>
      <c r="AH114" s="69">
        <v>1</v>
      </c>
      <c r="AI114" s="70">
        <v>3</v>
      </c>
      <c r="AJ114" s="31">
        <v>1</v>
      </c>
      <c r="AK114" s="31">
        <v>1</v>
      </c>
      <c r="AL114" s="31">
        <v>1</v>
      </c>
      <c r="AM114" s="31">
        <v>1</v>
      </c>
      <c r="AN114" s="31">
        <v>1</v>
      </c>
      <c r="AO114" s="31">
        <v>1</v>
      </c>
      <c r="AP114" s="31">
        <v>1</v>
      </c>
      <c r="AQ114" s="31">
        <v>1</v>
      </c>
      <c r="AR114" s="31">
        <v>1</v>
      </c>
      <c r="AS114" s="31">
        <v>1</v>
      </c>
      <c r="AT114" s="31">
        <v>1</v>
      </c>
      <c r="AU114" s="31">
        <v>1</v>
      </c>
      <c r="AV114" s="31">
        <v>1</v>
      </c>
      <c r="AW114" s="64">
        <v>5</v>
      </c>
      <c r="AX114" s="37">
        <v>2</v>
      </c>
      <c r="AY114" s="47">
        <v>1</v>
      </c>
      <c r="AZ114" s="47">
        <v>1</v>
      </c>
      <c r="BA114" s="47">
        <v>1</v>
      </c>
      <c r="BB114" s="47">
        <v>1</v>
      </c>
      <c r="BC114" s="47">
        <v>1</v>
      </c>
      <c r="BD114" s="47" t="s">
        <v>94</v>
      </c>
      <c r="BE114" s="47">
        <v>1</v>
      </c>
      <c r="BF114" s="47">
        <v>1</v>
      </c>
      <c r="BG114" s="47">
        <v>1</v>
      </c>
      <c r="BH114" s="47">
        <v>1</v>
      </c>
      <c r="BI114" s="47">
        <v>1</v>
      </c>
      <c r="BJ114" s="47">
        <v>1</v>
      </c>
      <c r="BK114" s="48" t="s">
        <v>94</v>
      </c>
    </row>
    <row r="115" spans="7:63">
      <c r="G115" s="84">
        <v>28</v>
      </c>
      <c r="H115" s="52">
        <v>1</v>
      </c>
      <c r="I115" s="53">
        <v>1</v>
      </c>
      <c r="J115" s="53">
        <v>1</v>
      </c>
      <c r="K115" s="53">
        <v>1</v>
      </c>
      <c r="L115" s="53">
        <v>1</v>
      </c>
      <c r="M115" s="53">
        <v>1</v>
      </c>
      <c r="N115" s="53">
        <v>1</v>
      </c>
      <c r="O115" s="53">
        <v>1</v>
      </c>
      <c r="P115" s="53">
        <v>1</v>
      </c>
      <c r="Q115" s="53">
        <v>1</v>
      </c>
      <c r="R115" s="53">
        <v>1</v>
      </c>
      <c r="S115" s="53">
        <v>1</v>
      </c>
      <c r="T115" s="53">
        <v>1</v>
      </c>
      <c r="U115" s="53">
        <v>4</v>
      </c>
      <c r="V115" s="68">
        <v>1</v>
      </c>
      <c r="W115" s="69">
        <v>1</v>
      </c>
      <c r="X115" s="69">
        <v>1</v>
      </c>
      <c r="Y115" s="69">
        <v>1</v>
      </c>
      <c r="Z115" s="69">
        <v>1</v>
      </c>
      <c r="AA115" s="69">
        <v>1</v>
      </c>
      <c r="AB115" s="69">
        <v>1</v>
      </c>
      <c r="AC115" s="69">
        <v>1</v>
      </c>
      <c r="AD115" s="69">
        <v>1</v>
      </c>
      <c r="AE115" s="69">
        <v>1</v>
      </c>
      <c r="AF115" s="69">
        <v>1</v>
      </c>
      <c r="AG115" s="69">
        <v>1</v>
      </c>
      <c r="AH115" s="69">
        <v>1</v>
      </c>
      <c r="AI115" s="70">
        <v>4</v>
      </c>
      <c r="AJ115" s="31">
        <v>1</v>
      </c>
      <c r="AK115" s="31">
        <v>1</v>
      </c>
      <c r="AL115" s="31">
        <v>1</v>
      </c>
      <c r="AM115" s="31">
        <v>1</v>
      </c>
      <c r="AN115" s="31">
        <v>1</v>
      </c>
      <c r="AO115" s="31">
        <v>1</v>
      </c>
      <c r="AP115" s="31">
        <v>1</v>
      </c>
      <c r="AQ115" s="31">
        <v>1</v>
      </c>
      <c r="AR115" s="31">
        <v>1</v>
      </c>
      <c r="AS115" s="31">
        <v>1</v>
      </c>
      <c r="AT115" s="31">
        <v>1</v>
      </c>
      <c r="AU115" s="31">
        <v>1</v>
      </c>
      <c r="AV115" s="31">
        <v>1</v>
      </c>
      <c r="AW115" s="64">
        <v>5</v>
      </c>
      <c r="AX115" s="37">
        <v>3</v>
      </c>
      <c r="AY115" s="47">
        <v>1</v>
      </c>
      <c r="AZ115" s="47">
        <v>1</v>
      </c>
      <c r="BA115" s="47">
        <v>1</v>
      </c>
      <c r="BB115" s="47">
        <v>1</v>
      </c>
      <c r="BC115" s="47">
        <v>1</v>
      </c>
      <c r="BD115" s="47" t="s">
        <v>94</v>
      </c>
      <c r="BE115" s="47">
        <v>1</v>
      </c>
      <c r="BF115" s="47">
        <v>1</v>
      </c>
      <c r="BG115" s="47">
        <v>1</v>
      </c>
      <c r="BH115" s="47">
        <v>1</v>
      </c>
      <c r="BI115" s="47">
        <v>1</v>
      </c>
      <c r="BJ115" s="47">
        <v>1</v>
      </c>
      <c r="BK115" s="48" t="s">
        <v>94</v>
      </c>
    </row>
    <row r="116" spans="7:63">
      <c r="G116" s="84">
        <v>29</v>
      </c>
      <c r="H116" s="52">
        <v>1</v>
      </c>
      <c r="I116" s="53">
        <v>1</v>
      </c>
      <c r="J116" s="53">
        <v>1</v>
      </c>
      <c r="K116" s="53">
        <v>1</v>
      </c>
      <c r="L116" s="53">
        <v>1</v>
      </c>
      <c r="M116" s="53">
        <v>1</v>
      </c>
      <c r="N116" s="53">
        <v>1</v>
      </c>
      <c r="O116" s="53">
        <v>1</v>
      </c>
      <c r="P116" s="53">
        <v>1</v>
      </c>
      <c r="Q116" s="53">
        <v>1</v>
      </c>
      <c r="R116" s="53">
        <v>1</v>
      </c>
      <c r="S116" s="53">
        <v>1</v>
      </c>
      <c r="T116" s="53">
        <v>1</v>
      </c>
      <c r="U116" s="53">
        <v>4</v>
      </c>
      <c r="V116" s="68">
        <v>1</v>
      </c>
      <c r="W116" s="69">
        <v>1</v>
      </c>
      <c r="X116" s="69">
        <v>1</v>
      </c>
      <c r="Y116" s="69">
        <v>1</v>
      </c>
      <c r="Z116" s="69">
        <v>1</v>
      </c>
      <c r="AA116" s="69">
        <v>1</v>
      </c>
      <c r="AB116" s="69">
        <v>1</v>
      </c>
      <c r="AC116" s="69">
        <v>1</v>
      </c>
      <c r="AD116" s="69">
        <v>1</v>
      </c>
      <c r="AE116" s="69">
        <v>1</v>
      </c>
      <c r="AF116" s="69">
        <v>1</v>
      </c>
      <c r="AG116" s="69">
        <v>1</v>
      </c>
      <c r="AH116" s="69">
        <v>1</v>
      </c>
      <c r="AI116" s="70">
        <v>4</v>
      </c>
      <c r="AJ116" s="31">
        <v>1</v>
      </c>
      <c r="AK116" s="31">
        <v>1</v>
      </c>
      <c r="AL116" s="31">
        <v>1</v>
      </c>
      <c r="AM116" s="31">
        <v>1</v>
      </c>
      <c r="AN116" s="31">
        <v>1</v>
      </c>
      <c r="AO116" s="31">
        <v>1</v>
      </c>
      <c r="AP116" s="31">
        <v>1</v>
      </c>
      <c r="AQ116" s="31">
        <v>1</v>
      </c>
      <c r="AR116" s="31">
        <v>1</v>
      </c>
      <c r="AS116" s="31">
        <v>1</v>
      </c>
      <c r="AT116" s="31">
        <v>1</v>
      </c>
      <c r="AU116" s="31">
        <v>1</v>
      </c>
      <c r="AV116" s="31">
        <v>1</v>
      </c>
      <c r="AW116" s="64">
        <v>5</v>
      </c>
      <c r="AX116" s="37">
        <v>3</v>
      </c>
      <c r="AY116" s="47">
        <v>1</v>
      </c>
      <c r="AZ116" s="47">
        <v>1</v>
      </c>
      <c r="BA116" s="47">
        <v>1</v>
      </c>
      <c r="BB116" s="47">
        <v>1</v>
      </c>
      <c r="BC116" s="47">
        <v>1</v>
      </c>
      <c r="BD116" s="47" t="s">
        <v>94</v>
      </c>
      <c r="BE116" s="47">
        <v>1</v>
      </c>
      <c r="BF116" s="47">
        <v>1</v>
      </c>
      <c r="BG116" s="47">
        <v>1</v>
      </c>
      <c r="BH116" s="47">
        <v>1</v>
      </c>
      <c r="BI116" s="47">
        <v>1</v>
      </c>
      <c r="BJ116" s="47">
        <v>1</v>
      </c>
      <c r="BK116" s="48" t="s">
        <v>94</v>
      </c>
    </row>
    <row r="117" spans="7:63">
      <c r="G117" s="84">
        <v>30</v>
      </c>
      <c r="H117" s="52">
        <v>1</v>
      </c>
      <c r="I117" s="53">
        <v>1</v>
      </c>
      <c r="J117" s="53">
        <v>1</v>
      </c>
      <c r="K117" s="53">
        <v>1</v>
      </c>
      <c r="L117" s="53">
        <v>1</v>
      </c>
      <c r="M117" s="53">
        <v>1</v>
      </c>
      <c r="N117" s="53">
        <v>1</v>
      </c>
      <c r="O117" s="53">
        <v>1</v>
      </c>
      <c r="P117" s="53">
        <v>1</v>
      </c>
      <c r="Q117" s="53">
        <v>1</v>
      </c>
      <c r="R117" s="53">
        <v>1</v>
      </c>
      <c r="S117" s="53">
        <v>1</v>
      </c>
      <c r="T117" s="53">
        <v>1</v>
      </c>
      <c r="U117" s="53">
        <v>4</v>
      </c>
      <c r="V117" s="68">
        <v>1</v>
      </c>
      <c r="W117" s="69">
        <v>1</v>
      </c>
      <c r="X117" s="69">
        <v>1</v>
      </c>
      <c r="Y117" s="69">
        <v>1</v>
      </c>
      <c r="Z117" s="69">
        <v>1</v>
      </c>
      <c r="AA117" s="69">
        <v>1</v>
      </c>
      <c r="AB117" s="69">
        <v>1</v>
      </c>
      <c r="AC117" s="69">
        <v>1</v>
      </c>
      <c r="AD117" s="69">
        <v>1</v>
      </c>
      <c r="AE117" s="69">
        <v>1</v>
      </c>
      <c r="AF117" s="69">
        <v>1</v>
      </c>
      <c r="AG117" s="69">
        <v>1</v>
      </c>
      <c r="AH117" s="69">
        <v>1</v>
      </c>
      <c r="AI117" s="70">
        <v>4</v>
      </c>
      <c r="AJ117" s="31">
        <v>1</v>
      </c>
      <c r="AK117" s="31">
        <v>1</v>
      </c>
      <c r="AL117" s="31">
        <v>1</v>
      </c>
      <c r="AM117" s="31">
        <v>1</v>
      </c>
      <c r="AN117" s="31">
        <v>1</v>
      </c>
      <c r="AO117" s="31">
        <v>1</v>
      </c>
      <c r="AP117" s="31">
        <v>1</v>
      </c>
      <c r="AQ117" s="31">
        <v>1</v>
      </c>
      <c r="AR117" s="31">
        <v>1</v>
      </c>
      <c r="AS117" s="31">
        <v>1</v>
      </c>
      <c r="AT117" s="31">
        <v>1</v>
      </c>
      <c r="AU117" s="31">
        <v>1</v>
      </c>
      <c r="AV117" s="31">
        <v>1</v>
      </c>
      <c r="AW117" s="64">
        <v>5</v>
      </c>
      <c r="AX117" s="37">
        <v>3</v>
      </c>
      <c r="AY117" s="47">
        <v>1</v>
      </c>
      <c r="AZ117" s="47">
        <v>1</v>
      </c>
      <c r="BA117" s="47">
        <v>1</v>
      </c>
      <c r="BB117" s="47">
        <v>1</v>
      </c>
      <c r="BC117" s="47">
        <v>1</v>
      </c>
      <c r="BD117" s="47" t="s">
        <v>94</v>
      </c>
      <c r="BE117" s="47">
        <v>1</v>
      </c>
      <c r="BF117" s="47">
        <v>1</v>
      </c>
      <c r="BG117" s="47">
        <v>1</v>
      </c>
      <c r="BH117" s="47">
        <v>1</v>
      </c>
      <c r="BI117" s="47">
        <v>1</v>
      </c>
      <c r="BJ117" s="47">
        <v>1</v>
      </c>
      <c r="BK117" s="48" t="s">
        <v>94</v>
      </c>
    </row>
    <row r="118" spans="7:63">
      <c r="G118" s="84">
        <v>31</v>
      </c>
      <c r="H118" s="52">
        <v>1</v>
      </c>
      <c r="I118" s="53">
        <v>1</v>
      </c>
      <c r="J118" s="53">
        <v>1</v>
      </c>
      <c r="K118" s="53">
        <v>1</v>
      </c>
      <c r="L118" s="53">
        <v>1</v>
      </c>
      <c r="M118" s="53">
        <v>1</v>
      </c>
      <c r="N118" s="53">
        <v>1</v>
      </c>
      <c r="O118" s="53">
        <v>1</v>
      </c>
      <c r="P118" s="53">
        <v>1</v>
      </c>
      <c r="Q118" s="53">
        <v>1</v>
      </c>
      <c r="R118" s="53">
        <v>1</v>
      </c>
      <c r="S118" s="53">
        <v>1</v>
      </c>
      <c r="T118" s="53">
        <v>1</v>
      </c>
      <c r="U118" s="53">
        <v>4</v>
      </c>
      <c r="V118" s="68">
        <v>1</v>
      </c>
      <c r="W118" s="69">
        <v>1</v>
      </c>
      <c r="X118" s="69">
        <v>1</v>
      </c>
      <c r="Y118" s="69">
        <v>1</v>
      </c>
      <c r="Z118" s="69">
        <v>1</v>
      </c>
      <c r="AA118" s="69">
        <v>1</v>
      </c>
      <c r="AB118" s="69">
        <v>1</v>
      </c>
      <c r="AC118" s="69">
        <v>1</v>
      </c>
      <c r="AD118" s="69">
        <v>1</v>
      </c>
      <c r="AE118" s="69">
        <v>1</v>
      </c>
      <c r="AF118" s="69">
        <v>1</v>
      </c>
      <c r="AG118" s="69">
        <v>1</v>
      </c>
      <c r="AH118" s="69">
        <v>1</v>
      </c>
      <c r="AI118" s="70">
        <v>4</v>
      </c>
      <c r="AJ118" s="31">
        <v>1</v>
      </c>
      <c r="AK118" s="31">
        <v>1</v>
      </c>
      <c r="AL118" s="31">
        <v>1</v>
      </c>
      <c r="AM118" s="31">
        <v>1</v>
      </c>
      <c r="AN118" s="31">
        <v>1</v>
      </c>
      <c r="AO118" s="31">
        <v>1</v>
      </c>
      <c r="AP118" s="31">
        <v>1</v>
      </c>
      <c r="AQ118" s="31">
        <v>1</v>
      </c>
      <c r="AR118" s="31">
        <v>1</v>
      </c>
      <c r="AS118" s="31">
        <v>1</v>
      </c>
      <c r="AT118" s="31">
        <v>1</v>
      </c>
      <c r="AU118" s="31">
        <v>1</v>
      </c>
      <c r="AV118" s="31">
        <v>1</v>
      </c>
      <c r="AW118" s="64">
        <v>6</v>
      </c>
      <c r="AX118" s="37">
        <v>3</v>
      </c>
      <c r="AY118" s="47">
        <v>1</v>
      </c>
      <c r="AZ118" s="47">
        <v>1</v>
      </c>
      <c r="BA118" s="47">
        <v>1</v>
      </c>
      <c r="BB118" s="47">
        <v>1</v>
      </c>
      <c r="BC118" s="47">
        <v>1</v>
      </c>
      <c r="BD118" s="47" t="s">
        <v>94</v>
      </c>
      <c r="BE118" s="47">
        <v>1</v>
      </c>
      <c r="BF118" s="47">
        <v>1</v>
      </c>
      <c r="BG118" s="47">
        <v>1</v>
      </c>
      <c r="BH118" s="47">
        <v>1</v>
      </c>
      <c r="BI118" s="47">
        <v>1</v>
      </c>
      <c r="BJ118" s="47">
        <v>1</v>
      </c>
      <c r="BK118" s="48" t="s">
        <v>94</v>
      </c>
    </row>
    <row r="119" spans="7:63">
      <c r="G119" s="84">
        <v>32</v>
      </c>
      <c r="H119" s="52">
        <v>1</v>
      </c>
      <c r="I119" s="53">
        <v>1</v>
      </c>
      <c r="J119" s="53">
        <v>1</v>
      </c>
      <c r="K119" s="53">
        <v>1</v>
      </c>
      <c r="L119" s="53">
        <v>1</v>
      </c>
      <c r="M119" s="53">
        <v>1</v>
      </c>
      <c r="N119" s="53">
        <v>1</v>
      </c>
      <c r="O119" s="53">
        <v>2</v>
      </c>
      <c r="P119" s="53">
        <v>1</v>
      </c>
      <c r="Q119" s="53">
        <v>1</v>
      </c>
      <c r="R119" s="53">
        <v>1</v>
      </c>
      <c r="S119" s="53">
        <v>1</v>
      </c>
      <c r="T119" s="53">
        <v>1</v>
      </c>
      <c r="U119" s="53">
        <v>4</v>
      </c>
      <c r="V119" s="68">
        <v>1</v>
      </c>
      <c r="W119" s="69">
        <v>1</v>
      </c>
      <c r="X119" s="69">
        <v>1</v>
      </c>
      <c r="Y119" s="69">
        <v>1</v>
      </c>
      <c r="Z119" s="69">
        <v>1</v>
      </c>
      <c r="AA119" s="69">
        <v>1</v>
      </c>
      <c r="AB119" s="69">
        <v>1</v>
      </c>
      <c r="AC119" s="69">
        <v>1</v>
      </c>
      <c r="AD119" s="69">
        <v>1</v>
      </c>
      <c r="AE119" s="69">
        <v>1</v>
      </c>
      <c r="AF119" s="69">
        <v>1</v>
      </c>
      <c r="AG119" s="69">
        <v>1</v>
      </c>
      <c r="AH119" s="69">
        <v>1</v>
      </c>
      <c r="AI119" s="70">
        <v>4</v>
      </c>
      <c r="AJ119" s="31">
        <v>1</v>
      </c>
      <c r="AK119" s="31">
        <v>1</v>
      </c>
      <c r="AL119" s="31">
        <v>1</v>
      </c>
      <c r="AM119" s="31">
        <v>1</v>
      </c>
      <c r="AN119" s="31">
        <v>1</v>
      </c>
      <c r="AO119" s="31">
        <v>1</v>
      </c>
      <c r="AP119" s="31">
        <v>1</v>
      </c>
      <c r="AQ119" s="31">
        <v>1</v>
      </c>
      <c r="AR119" s="31">
        <v>2</v>
      </c>
      <c r="AS119" s="31">
        <v>1</v>
      </c>
      <c r="AT119" s="31">
        <v>1</v>
      </c>
      <c r="AU119" s="31">
        <v>1</v>
      </c>
      <c r="AV119" s="31">
        <v>1</v>
      </c>
      <c r="AW119" s="64">
        <v>6</v>
      </c>
      <c r="AX119" s="37">
        <v>3</v>
      </c>
      <c r="AY119" s="47">
        <v>1</v>
      </c>
      <c r="AZ119" s="47">
        <v>1</v>
      </c>
      <c r="BA119" s="47">
        <v>1</v>
      </c>
      <c r="BB119" s="47">
        <v>1</v>
      </c>
      <c r="BC119" s="47">
        <v>1</v>
      </c>
      <c r="BD119" s="47" t="s">
        <v>94</v>
      </c>
      <c r="BE119" s="47">
        <v>1</v>
      </c>
      <c r="BF119" s="47">
        <v>1</v>
      </c>
      <c r="BG119" s="47">
        <v>1</v>
      </c>
      <c r="BH119" s="47">
        <v>1</v>
      </c>
      <c r="BI119" s="47">
        <v>1</v>
      </c>
      <c r="BJ119" s="47">
        <v>1</v>
      </c>
      <c r="BK119" s="48" t="s">
        <v>94</v>
      </c>
    </row>
    <row r="120" spans="7:63">
      <c r="G120" s="84">
        <v>33</v>
      </c>
      <c r="H120" s="52">
        <v>1</v>
      </c>
      <c r="I120" s="53">
        <v>1</v>
      </c>
      <c r="J120" s="53">
        <v>1</v>
      </c>
      <c r="K120" s="53">
        <v>1</v>
      </c>
      <c r="L120" s="53">
        <v>1</v>
      </c>
      <c r="M120" s="53">
        <v>1</v>
      </c>
      <c r="N120" s="53">
        <v>1</v>
      </c>
      <c r="O120" s="53">
        <v>2</v>
      </c>
      <c r="P120" s="53">
        <v>1</v>
      </c>
      <c r="Q120" s="53">
        <v>1</v>
      </c>
      <c r="R120" s="53">
        <v>1</v>
      </c>
      <c r="S120" s="53">
        <v>1</v>
      </c>
      <c r="T120" s="53">
        <v>1</v>
      </c>
      <c r="U120" s="53">
        <v>4</v>
      </c>
      <c r="V120" s="68">
        <v>1</v>
      </c>
      <c r="W120" s="69">
        <v>1</v>
      </c>
      <c r="X120" s="69">
        <v>1</v>
      </c>
      <c r="Y120" s="69">
        <v>1</v>
      </c>
      <c r="Z120" s="69">
        <v>1</v>
      </c>
      <c r="AA120" s="69">
        <v>1</v>
      </c>
      <c r="AB120" s="69">
        <v>1</v>
      </c>
      <c r="AC120" s="69">
        <v>1</v>
      </c>
      <c r="AD120" s="69">
        <v>1</v>
      </c>
      <c r="AE120" s="69">
        <v>1</v>
      </c>
      <c r="AF120" s="69">
        <v>1</v>
      </c>
      <c r="AG120" s="69">
        <v>1</v>
      </c>
      <c r="AH120" s="69">
        <v>1</v>
      </c>
      <c r="AI120" s="70">
        <v>4</v>
      </c>
      <c r="AJ120" s="31">
        <v>1</v>
      </c>
      <c r="AK120" s="31">
        <v>1</v>
      </c>
      <c r="AL120" s="31">
        <v>1</v>
      </c>
      <c r="AM120" s="31">
        <v>1</v>
      </c>
      <c r="AN120" s="31">
        <v>1</v>
      </c>
      <c r="AO120" s="31">
        <v>1</v>
      </c>
      <c r="AP120" s="31">
        <v>1</v>
      </c>
      <c r="AQ120" s="31">
        <v>1</v>
      </c>
      <c r="AR120" s="31">
        <v>2</v>
      </c>
      <c r="AS120" s="31">
        <v>1</v>
      </c>
      <c r="AT120" s="31">
        <v>1</v>
      </c>
      <c r="AU120" s="31">
        <v>1</v>
      </c>
      <c r="AV120" s="31">
        <v>1</v>
      </c>
      <c r="AW120" s="64">
        <v>6</v>
      </c>
      <c r="AX120" s="37">
        <v>4</v>
      </c>
      <c r="AY120" s="47">
        <v>1</v>
      </c>
      <c r="AZ120" s="47">
        <v>1</v>
      </c>
      <c r="BA120" s="47">
        <v>1</v>
      </c>
      <c r="BB120" s="47">
        <v>1</v>
      </c>
      <c r="BC120" s="47">
        <v>1</v>
      </c>
      <c r="BD120" s="47" t="s">
        <v>94</v>
      </c>
      <c r="BE120" s="47">
        <v>1</v>
      </c>
      <c r="BF120" s="47">
        <v>1</v>
      </c>
      <c r="BG120" s="47">
        <v>1</v>
      </c>
      <c r="BH120" s="47">
        <v>1</v>
      </c>
      <c r="BI120" s="47">
        <v>1</v>
      </c>
      <c r="BJ120" s="47">
        <v>1</v>
      </c>
      <c r="BK120" s="48" t="s">
        <v>94</v>
      </c>
    </row>
    <row r="121" spans="7:63">
      <c r="G121" s="84">
        <v>34</v>
      </c>
      <c r="H121" s="52">
        <v>1</v>
      </c>
      <c r="I121" s="53">
        <v>1</v>
      </c>
      <c r="J121" s="53">
        <v>1</v>
      </c>
      <c r="K121" s="53">
        <v>1</v>
      </c>
      <c r="L121" s="53">
        <v>1</v>
      </c>
      <c r="M121" s="53">
        <v>1</v>
      </c>
      <c r="N121" s="53">
        <v>2</v>
      </c>
      <c r="O121" s="53">
        <v>2</v>
      </c>
      <c r="P121" s="53">
        <v>1</v>
      </c>
      <c r="Q121" s="53">
        <v>1</v>
      </c>
      <c r="R121" s="53">
        <v>1</v>
      </c>
      <c r="S121" s="53">
        <v>1</v>
      </c>
      <c r="T121" s="53">
        <v>1</v>
      </c>
      <c r="U121" s="53">
        <v>5</v>
      </c>
      <c r="V121" s="68">
        <v>1</v>
      </c>
      <c r="W121" s="69">
        <v>1</v>
      </c>
      <c r="X121" s="69">
        <v>1</v>
      </c>
      <c r="Y121" s="69">
        <v>1</v>
      </c>
      <c r="Z121" s="69">
        <v>1</v>
      </c>
      <c r="AA121" s="69">
        <v>1</v>
      </c>
      <c r="AB121" s="69">
        <v>1</v>
      </c>
      <c r="AC121" s="69">
        <v>1</v>
      </c>
      <c r="AD121" s="69">
        <v>1</v>
      </c>
      <c r="AE121" s="69">
        <v>1</v>
      </c>
      <c r="AF121" s="69">
        <v>1</v>
      </c>
      <c r="AG121" s="69">
        <v>1</v>
      </c>
      <c r="AH121" s="69">
        <v>1</v>
      </c>
      <c r="AI121" s="70">
        <v>5</v>
      </c>
      <c r="AJ121" s="31">
        <v>1</v>
      </c>
      <c r="AK121" s="31">
        <v>1</v>
      </c>
      <c r="AL121" s="31">
        <v>1</v>
      </c>
      <c r="AM121" s="31">
        <v>1</v>
      </c>
      <c r="AN121" s="31">
        <v>1</v>
      </c>
      <c r="AO121" s="31">
        <v>1</v>
      </c>
      <c r="AP121" s="31">
        <v>1</v>
      </c>
      <c r="AQ121" s="31">
        <v>1</v>
      </c>
      <c r="AR121" s="31">
        <v>2</v>
      </c>
      <c r="AS121" s="31">
        <v>1</v>
      </c>
      <c r="AT121" s="31">
        <v>1</v>
      </c>
      <c r="AU121" s="31">
        <v>1</v>
      </c>
      <c r="AV121" s="31">
        <v>1</v>
      </c>
      <c r="AW121" s="64">
        <v>6</v>
      </c>
      <c r="AX121" s="37">
        <v>4</v>
      </c>
      <c r="AY121" s="47">
        <v>1</v>
      </c>
      <c r="AZ121" s="47">
        <v>1</v>
      </c>
      <c r="BA121" s="47">
        <v>1</v>
      </c>
      <c r="BB121" s="47">
        <v>1</v>
      </c>
      <c r="BC121" s="47">
        <v>2</v>
      </c>
      <c r="BD121" s="47" t="s">
        <v>94</v>
      </c>
      <c r="BE121" s="47">
        <v>1</v>
      </c>
      <c r="BF121" s="47">
        <v>1</v>
      </c>
      <c r="BG121" s="47">
        <v>1</v>
      </c>
      <c r="BH121" s="47">
        <v>1</v>
      </c>
      <c r="BI121" s="47">
        <v>1</v>
      </c>
      <c r="BJ121" s="47">
        <v>1</v>
      </c>
      <c r="BK121" s="48" t="s">
        <v>94</v>
      </c>
    </row>
    <row r="122" spans="7:63">
      <c r="G122" s="84">
        <v>35</v>
      </c>
      <c r="H122" s="52">
        <v>1</v>
      </c>
      <c r="I122" s="53">
        <v>1</v>
      </c>
      <c r="J122" s="53">
        <v>1</v>
      </c>
      <c r="K122" s="53">
        <v>1</v>
      </c>
      <c r="L122" s="53">
        <v>1</v>
      </c>
      <c r="M122" s="53">
        <v>1</v>
      </c>
      <c r="N122" s="53">
        <v>2</v>
      </c>
      <c r="O122" s="53">
        <v>2</v>
      </c>
      <c r="P122" s="53">
        <v>1</v>
      </c>
      <c r="Q122" s="53">
        <v>1</v>
      </c>
      <c r="R122" s="53">
        <v>1</v>
      </c>
      <c r="S122" s="53">
        <v>1</v>
      </c>
      <c r="T122" s="53">
        <v>1</v>
      </c>
      <c r="U122" s="53">
        <v>5</v>
      </c>
      <c r="V122" s="68">
        <v>1</v>
      </c>
      <c r="W122" s="69">
        <v>1</v>
      </c>
      <c r="X122" s="69">
        <v>1</v>
      </c>
      <c r="Y122" s="69">
        <v>1</v>
      </c>
      <c r="Z122" s="69">
        <v>1</v>
      </c>
      <c r="AA122" s="69">
        <v>1</v>
      </c>
      <c r="AB122" s="69">
        <v>1</v>
      </c>
      <c r="AC122" s="69">
        <v>2</v>
      </c>
      <c r="AD122" s="69">
        <v>1</v>
      </c>
      <c r="AE122" s="69">
        <v>1</v>
      </c>
      <c r="AF122" s="69">
        <v>1</v>
      </c>
      <c r="AG122" s="69">
        <v>1</v>
      </c>
      <c r="AH122" s="69">
        <v>1</v>
      </c>
      <c r="AI122" s="70">
        <v>5</v>
      </c>
      <c r="AJ122" s="31">
        <v>1</v>
      </c>
      <c r="AK122" s="31">
        <v>1</v>
      </c>
      <c r="AL122" s="31">
        <v>1</v>
      </c>
      <c r="AM122" s="31">
        <v>1</v>
      </c>
      <c r="AN122" s="31">
        <v>1</v>
      </c>
      <c r="AO122" s="31">
        <v>1</v>
      </c>
      <c r="AP122" s="31">
        <v>1</v>
      </c>
      <c r="AQ122" s="31">
        <v>1</v>
      </c>
      <c r="AR122" s="31">
        <v>2</v>
      </c>
      <c r="AS122" s="31">
        <v>1</v>
      </c>
      <c r="AT122" s="31">
        <v>1</v>
      </c>
      <c r="AU122" s="31">
        <v>1</v>
      </c>
      <c r="AV122" s="31">
        <v>1</v>
      </c>
      <c r="AW122" s="64">
        <v>6</v>
      </c>
      <c r="AX122" s="37">
        <v>4</v>
      </c>
      <c r="AY122" s="47">
        <v>1</v>
      </c>
      <c r="AZ122" s="47">
        <v>1</v>
      </c>
      <c r="BA122" s="47">
        <v>1</v>
      </c>
      <c r="BB122" s="47">
        <v>1</v>
      </c>
      <c r="BC122" s="47">
        <v>2</v>
      </c>
      <c r="BD122" s="47" t="s">
        <v>94</v>
      </c>
      <c r="BE122" s="47">
        <v>1</v>
      </c>
      <c r="BF122" s="47">
        <v>1</v>
      </c>
      <c r="BG122" s="47">
        <v>1</v>
      </c>
      <c r="BH122" s="47">
        <v>1</v>
      </c>
      <c r="BI122" s="47">
        <v>1</v>
      </c>
      <c r="BJ122" s="47">
        <v>1</v>
      </c>
      <c r="BK122" s="48" t="s">
        <v>94</v>
      </c>
    </row>
    <row r="123" spans="7:63">
      <c r="G123" s="84">
        <v>36</v>
      </c>
      <c r="H123" s="52">
        <v>1</v>
      </c>
      <c r="I123" s="53">
        <v>1</v>
      </c>
      <c r="J123" s="53">
        <v>1</v>
      </c>
      <c r="K123" s="53">
        <v>1</v>
      </c>
      <c r="L123" s="53">
        <v>1</v>
      </c>
      <c r="M123" s="53">
        <v>2</v>
      </c>
      <c r="N123" s="53">
        <v>2</v>
      </c>
      <c r="O123" s="53">
        <v>3</v>
      </c>
      <c r="P123" s="53">
        <v>1</v>
      </c>
      <c r="Q123" s="53">
        <v>1</v>
      </c>
      <c r="R123" s="53">
        <v>1</v>
      </c>
      <c r="S123" s="53">
        <v>1</v>
      </c>
      <c r="T123" s="53">
        <v>1</v>
      </c>
      <c r="U123" s="53">
        <v>5</v>
      </c>
      <c r="V123" s="68">
        <v>1</v>
      </c>
      <c r="W123" s="69">
        <v>1</v>
      </c>
      <c r="X123" s="69">
        <v>1</v>
      </c>
      <c r="Y123" s="69">
        <v>1</v>
      </c>
      <c r="Z123" s="69">
        <v>1</v>
      </c>
      <c r="AA123" s="69">
        <v>1</v>
      </c>
      <c r="AB123" s="69">
        <v>2</v>
      </c>
      <c r="AC123" s="69">
        <v>2</v>
      </c>
      <c r="AD123" s="69">
        <v>1</v>
      </c>
      <c r="AE123" s="69">
        <v>1</v>
      </c>
      <c r="AF123" s="69">
        <v>1</v>
      </c>
      <c r="AG123" s="69">
        <v>1</v>
      </c>
      <c r="AH123" s="69">
        <v>1</v>
      </c>
      <c r="AI123" s="70">
        <v>5</v>
      </c>
      <c r="AJ123" s="31">
        <v>1</v>
      </c>
      <c r="AK123" s="31">
        <v>1</v>
      </c>
      <c r="AL123" s="31">
        <v>1</v>
      </c>
      <c r="AM123" s="31">
        <v>1</v>
      </c>
      <c r="AN123" s="31">
        <v>1</v>
      </c>
      <c r="AO123" s="31">
        <v>1</v>
      </c>
      <c r="AP123" s="31">
        <v>1</v>
      </c>
      <c r="AQ123" s="31">
        <v>1</v>
      </c>
      <c r="AR123" s="31">
        <v>3</v>
      </c>
      <c r="AS123" s="31">
        <v>1</v>
      </c>
      <c r="AT123" s="31">
        <v>1</v>
      </c>
      <c r="AU123" s="31">
        <v>1</v>
      </c>
      <c r="AV123" s="31">
        <v>1</v>
      </c>
      <c r="AW123" s="64">
        <v>6</v>
      </c>
      <c r="AX123" s="37">
        <v>4</v>
      </c>
      <c r="AY123" s="47">
        <v>2</v>
      </c>
      <c r="AZ123" s="47">
        <v>1</v>
      </c>
      <c r="BA123" s="47">
        <v>1</v>
      </c>
      <c r="BB123" s="47">
        <v>1</v>
      </c>
      <c r="BC123" s="47">
        <v>2</v>
      </c>
      <c r="BD123" s="47" t="s">
        <v>94</v>
      </c>
      <c r="BE123" s="47">
        <v>1</v>
      </c>
      <c r="BF123" s="47">
        <v>1</v>
      </c>
      <c r="BG123" s="47">
        <v>1</v>
      </c>
      <c r="BH123" s="47">
        <v>1</v>
      </c>
      <c r="BI123" s="47">
        <v>1</v>
      </c>
      <c r="BJ123" s="47">
        <v>1</v>
      </c>
      <c r="BK123" s="48" t="s">
        <v>94</v>
      </c>
    </row>
    <row r="124" spans="7:63">
      <c r="G124" s="84">
        <v>37</v>
      </c>
      <c r="H124" s="52">
        <v>1</v>
      </c>
      <c r="I124" s="53">
        <v>1</v>
      </c>
      <c r="J124" s="53">
        <v>1</v>
      </c>
      <c r="K124" s="53">
        <v>1</v>
      </c>
      <c r="L124" s="53">
        <v>1</v>
      </c>
      <c r="M124" s="53">
        <v>2</v>
      </c>
      <c r="N124" s="53">
        <v>2</v>
      </c>
      <c r="O124" s="53">
        <v>3</v>
      </c>
      <c r="P124" s="53">
        <v>1</v>
      </c>
      <c r="Q124" s="53">
        <v>1</v>
      </c>
      <c r="R124" s="53">
        <v>1</v>
      </c>
      <c r="S124" s="53">
        <v>1</v>
      </c>
      <c r="T124" s="53">
        <v>2</v>
      </c>
      <c r="U124" s="53">
        <v>5</v>
      </c>
      <c r="V124" s="68">
        <v>1</v>
      </c>
      <c r="W124" s="69">
        <v>1</v>
      </c>
      <c r="X124" s="69">
        <v>1</v>
      </c>
      <c r="Y124" s="69">
        <v>1</v>
      </c>
      <c r="Z124" s="69">
        <v>1</v>
      </c>
      <c r="AA124" s="69">
        <v>1</v>
      </c>
      <c r="AB124" s="69">
        <v>2</v>
      </c>
      <c r="AC124" s="69">
        <v>2</v>
      </c>
      <c r="AD124" s="69">
        <v>1</v>
      </c>
      <c r="AE124" s="69">
        <v>1</v>
      </c>
      <c r="AF124" s="69">
        <v>1</v>
      </c>
      <c r="AG124" s="69">
        <v>1</v>
      </c>
      <c r="AH124" s="69">
        <v>1</v>
      </c>
      <c r="AI124" s="70">
        <v>5</v>
      </c>
      <c r="AJ124" s="31">
        <v>1</v>
      </c>
      <c r="AK124" s="31">
        <v>1</v>
      </c>
      <c r="AL124" s="31">
        <v>1</v>
      </c>
      <c r="AM124" s="31">
        <v>1</v>
      </c>
      <c r="AN124" s="31">
        <v>1</v>
      </c>
      <c r="AO124" s="31">
        <v>1</v>
      </c>
      <c r="AP124" s="31">
        <v>1</v>
      </c>
      <c r="AQ124" s="31">
        <v>1</v>
      </c>
      <c r="AR124" s="31">
        <v>3</v>
      </c>
      <c r="AS124" s="31">
        <v>1</v>
      </c>
      <c r="AT124" s="31">
        <v>1</v>
      </c>
      <c r="AU124" s="31">
        <v>1</v>
      </c>
      <c r="AV124" s="31">
        <v>1</v>
      </c>
      <c r="AW124" s="64">
        <v>6</v>
      </c>
      <c r="AX124" s="37">
        <v>4</v>
      </c>
      <c r="AY124" s="47">
        <v>2</v>
      </c>
      <c r="AZ124" s="47">
        <v>1</v>
      </c>
      <c r="BA124" s="47">
        <v>1</v>
      </c>
      <c r="BB124" s="47">
        <v>1</v>
      </c>
      <c r="BC124" s="47">
        <v>2</v>
      </c>
      <c r="BD124" s="47" t="s">
        <v>94</v>
      </c>
      <c r="BE124" s="47">
        <v>1</v>
      </c>
      <c r="BF124" s="47">
        <v>1</v>
      </c>
      <c r="BG124" s="47">
        <v>1</v>
      </c>
      <c r="BH124" s="47">
        <v>1</v>
      </c>
      <c r="BI124" s="47">
        <v>1</v>
      </c>
      <c r="BJ124" s="47">
        <v>1</v>
      </c>
      <c r="BK124" s="48" t="s">
        <v>94</v>
      </c>
    </row>
    <row r="125" spans="7:63">
      <c r="G125" s="84">
        <v>38</v>
      </c>
      <c r="H125" s="52">
        <v>1</v>
      </c>
      <c r="I125" s="53">
        <v>1</v>
      </c>
      <c r="J125" s="53">
        <v>1</v>
      </c>
      <c r="K125" s="53">
        <v>1</v>
      </c>
      <c r="L125" s="53">
        <v>2</v>
      </c>
      <c r="M125" s="53">
        <v>2</v>
      </c>
      <c r="N125" s="53">
        <v>3</v>
      </c>
      <c r="O125" s="53">
        <v>3</v>
      </c>
      <c r="P125" s="53">
        <v>1</v>
      </c>
      <c r="Q125" s="53">
        <v>1</v>
      </c>
      <c r="R125" s="53">
        <v>1</v>
      </c>
      <c r="S125" s="53">
        <v>1</v>
      </c>
      <c r="T125" s="53">
        <v>2</v>
      </c>
      <c r="U125" s="53">
        <v>5</v>
      </c>
      <c r="V125" s="68">
        <v>1</v>
      </c>
      <c r="W125" s="69">
        <v>1</v>
      </c>
      <c r="X125" s="69">
        <v>1</v>
      </c>
      <c r="Y125" s="69">
        <v>1</v>
      </c>
      <c r="Z125" s="69">
        <v>1</v>
      </c>
      <c r="AA125" s="69">
        <v>1</v>
      </c>
      <c r="AB125" s="69">
        <v>2</v>
      </c>
      <c r="AC125" s="69">
        <v>2</v>
      </c>
      <c r="AD125" s="69">
        <v>1</v>
      </c>
      <c r="AE125" s="69">
        <v>1</v>
      </c>
      <c r="AF125" s="69">
        <v>1</v>
      </c>
      <c r="AG125" s="69">
        <v>1</v>
      </c>
      <c r="AH125" s="69">
        <v>1</v>
      </c>
      <c r="AI125" s="70">
        <v>5</v>
      </c>
      <c r="AJ125" s="31">
        <v>2</v>
      </c>
      <c r="AK125" s="31">
        <v>1</v>
      </c>
      <c r="AL125" s="31">
        <v>1</v>
      </c>
      <c r="AM125" s="31">
        <v>1</v>
      </c>
      <c r="AN125" s="31">
        <v>1</v>
      </c>
      <c r="AO125" s="31">
        <v>1</v>
      </c>
      <c r="AP125" s="31">
        <v>1</v>
      </c>
      <c r="AQ125" s="31">
        <v>2</v>
      </c>
      <c r="AR125" s="31">
        <v>3</v>
      </c>
      <c r="AS125" s="31">
        <v>1</v>
      </c>
      <c r="AT125" s="31">
        <v>1</v>
      </c>
      <c r="AU125" s="31">
        <v>1</v>
      </c>
      <c r="AV125" s="31">
        <v>1</v>
      </c>
      <c r="AW125" s="64">
        <v>6</v>
      </c>
      <c r="AX125" s="37">
        <v>4</v>
      </c>
      <c r="AY125" s="47">
        <v>2</v>
      </c>
      <c r="AZ125" s="47">
        <v>1</v>
      </c>
      <c r="BA125" s="47">
        <v>1</v>
      </c>
      <c r="BB125" s="47">
        <v>1</v>
      </c>
      <c r="BC125" s="47">
        <v>2</v>
      </c>
      <c r="BD125" s="47" t="s">
        <v>94</v>
      </c>
      <c r="BE125" s="47">
        <v>1</v>
      </c>
      <c r="BF125" s="47">
        <v>1</v>
      </c>
      <c r="BG125" s="47">
        <v>1</v>
      </c>
      <c r="BH125" s="47">
        <v>1</v>
      </c>
      <c r="BI125" s="47">
        <v>1</v>
      </c>
      <c r="BJ125" s="47">
        <v>2</v>
      </c>
      <c r="BK125" s="48" t="s">
        <v>94</v>
      </c>
    </row>
    <row r="126" spans="7:63">
      <c r="G126" s="84">
        <v>39</v>
      </c>
      <c r="H126" s="52">
        <v>1</v>
      </c>
      <c r="I126" s="53">
        <v>1</v>
      </c>
      <c r="J126" s="53">
        <v>1</v>
      </c>
      <c r="K126" s="53">
        <v>2</v>
      </c>
      <c r="L126" s="53">
        <v>2</v>
      </c>
      <c r="M126" s="53">
        <v>2</v>
      </c>
      <c r="N126" s="53">
        <v>3</v>
      </c>
      <c r="O126" s="53">
        <v>3</v>
      </c>
      <c r="P126" s="53">
        <v>1</v>
      </c>
      <c r="Q126" s="53">
        <v>1</v>
      </c>
      <c r="R126" s="53">
        <v>1</v>
      </c>
      <c r="S126" s="53">
        <v>1</v>
      </c>
      <c r="T126" s="53">
        <v>2</v>
      </c>
      <c r="U126" s="53">
        <v>5</v>
      </c>
      <c r="V126" s="68">
        <v>1</v>
      </c>
      <c r="W126" s="69">
        <v>1</v>
      </c>
      <c r="X126" s="69">
        <v>1</v>
      </c>
      <c r="Y126" s="69">
        <v>1</v>
      </c>
      <c r="Z126" s="69">
        <v>1</v>
      </c>
      <c r="AA126" s="69">
        <v>1</v>
      </c>
      <c r="AB126" s="69">
        <v>2</v>
      </c>
      <c r="AC126" s="69">
        <v>3</v>
      </c>
      <c r="AD126" s="69">
        <v>1</v>
      </c>
      <c r="AE126" s="69">
        <v>1</v>
      </c>
      <c r="AF126" s="69">
        <v>1</v>
      </c>
      <c r="AG126" s="69">
        <v>1</v>
      </c>
      <c r="AH126" s="69">
        <v>1</v>
      </c>
      <c r="AI126" s="70">
        <v>5</v>
      </c>
      <c r="AJ126" s="31">
        <v>2</v>
      </c>
      <c r="AK126" s="31">
        <v>1</v>
      </c>
      <c r="AL126" s="31">
        <v>1</v>
      </c>
      <c r="AM126" s="31">
        <v>1</v>
      </c>
      <c r="AN126" s="31">
        <v>1</v>
      </c>
      <c r="AO126" s="31">
        <v>1</v>
      </c>
      <c r="AP126" s="31">
        <v>1</v>
      </c>
      <c r="AQ126" s="31">
        <v>2</v>
      </c>
      <c r="AR126" s="31">
        <v>3</v>
      </c>
      <c r="AS126" s="31">
        <v>2</v>
      </c>
      <c r="AT126" s="31">
        <v>1</v>
      </c>
      <c r="AU126" s="31">
        <v>1</v>
      </c>
      <c r="AV126" s="31">
        <v>2</v>
      </c>
      <c r="AW126" s="64">
        <v>6</v>
      </c>
      <c r="AX126" s="37">
        <v>5</v>
      </c>
      <c r="AY126" s="47">
        <v>2</v>
      </c>
      <c r="AZ126" s="47">
        <v>1</v>
      </c>
      <c r="BA126" s="47">
        <v>1</v>
      </c>
      <c r="BB126" s="47">
        <v>1</v>
      </c>
      <c r="BC126" s="47">
        <v>3</v>
      </c>
      <c r="BD126" s="47" t="s">
        <v>94</v>
      </c>
      <c r="BE126" s="47">
        <v>1</v>
      </c>
      <c r="BF126" s="47">
        <v>1</v>
      </c>
      <c r="BG126" s="47">
        <v>1</v>
      </c>
      <c r="BH126" s="47">
        <v>1</v>
      </c>
      <c r="BI126" s="47">
        <v>1</v>
      </c>
      <c r="BJ126" s="47">
        <v>2</v>
      </c>
      <c r="BK126" s="48" t="s">
        <v>94</v>
      </c>
    </row>
    <row r="127" spans="7:63">
      <c r="G127" s="84">
        <v>40</v>
      </c>
      <c r="H127" s="52">
        <v>2</v>
      </c>
      <c r="I127" s="53">
        <v>2</v>
      </c>
      <c r="J127" s="53">
        <v>2</v>
      </c>
      <c r="K127" s="53">
        <v>2</v>
      </c>
      <c r="L127" s="53">
        <v>2</v>
      </c>
      <c r="M127" s="53">
        <v>3</v>
      </c>
      <c r="N127" s="53">
        <v>3</v>
      </c>
      <c r="O127" s="53">
        <v>3</v>
      </c>
      <c r="P127" s="53">
        <v>2</v>
      </c>
      <c r="Q127" s="53">
        <v>1</v>
      </c>
      <c r="R127" s="53">
        <v>1</v>
      </c>
      <c r="S127" s="53">
        <v>1</v>
      </c>
      <c r="T127" s="53">
        <v>2</v>
      </c>
      <c r="U127" s="53">
        <v>6</v>
      </c>
      <c r="V127" s="68">
        <v>1</v>
      </c>
      <c r="W127" s="69">
        <v>1</v>
      </c>
      <c r="X127" s="69">
        <v>1</v>
      </c>
      <c r="Y127" s="69">
        <v>1</v>
      </c>
      <c r="Z127" s="69">
        <v>1</v>
      </c>
      <c r="AA127" s="69">
        <v>2</v>
      </c>
      <c r="AB127" s="69">
        <v>3</v>
      </c>
      <c r="AC127" s="69">
        <v>3</v>
      </c>
      <c r="AD127" s="69">
        <v>1</v>
      </c>
      <c r="AE127" s="69">
        <v>1</v>
      </c>
      <c r="AF127" s="69">
        <v>1</v>
      </c>
      <c r="AG127" s="69">
        <v>1</v>
      </c>
      <c r="AH127" s="69">
        <v>1</v>
      </c>
      <c r="AI127" s="70">
        <v>5</v>
      </c>
      <c r="AJ127" s="31">
        <v>2</v>
      </c>
      <c r="AK127" s="31">
        <v>1</v>
      </c>
      <c r="AL127" s="31">
        <v>1</v>
      </c>
      <c r="AM127" s="31">
        <v>1</v>
      </c>
      <c r="AN127" s="31">
        <v>1</v>
      </c>
      <c r="AO127" s="31">
        <v>1</v>
      </c>
      <c r="AP127" s="31">
        <v>2</v>
      </c>
      <c r="AQ127" s="31">
        <v>2</v>
      </c>
      <c r="AR127" s="31">
        <v>3</v>
      </c>
      <c r="AS127" s="31">
        <v>2</v>
      </c>
      <c r="AT127" s="31">
        <v>1</v>
      </c>
      <c r="AU127" s="31">
        <v>1</v>
      </c>
      <c r="AV127" s="31">
        <v>2</v>
      </c>
      <c r="AW127" s="64">
        <v>7</v>
      </c>
      <c r="AX127" s="37">
        <v>5</v>
      </c>
      <c r="AY127" s="47">
        <v>3</v>
      </c>
      <c r="AZ127" s="47">
        <v>1</v>
      </c>
      <c r="BA127" s="47">
        <v>1</v>
      </c>
      <c r="BB127" s="47">
        <v>1</v>
      </c>
      <c r="BC127" s="47">
        <v>3</v>
      </c>
      <c r="BD127" s="47" t="s">
        <v>94</v>
      </c>
      <c r="BE127" s="47">
        <v>1</v>
      </c>
      <c r="BF127" s="47">
        <v>1</v>
      </c>
      <c r="BG127" s="47">
        <v>1</v>
      </c>
      <c r="BH127" s="47">
        <v>1</v>
      </c>
      <c r="BI127" s="47">
        <v>1</v>
      </c>
      <c r="BJ127" s="47">
        <v>2</v>
      </c>
      <c r="BK127" s="48" t="s">
        <v>94</v>
      </c>
    </row>
    <row r="128" spans="7:63">
      <c r="G128" s="84">
        <v>41</v>
      </c>
      <c r="H128" s="52">
        <v>2</v>
      </c>
      <c r="I128" s="53">
        <v>2</v>
      </c>
      <c r="J128" s="53">
        <v>2</v>
      </c>
      <c r="K128" s="53">
        <v>2</v>
      </c>
      <c r="L128" s="53">
        <v>3</v>
      </c>
      <c r="M128" s="53">
        <v>3</v>
      </c>
      <c r="N128" s="53">
        <v>3</v>
      </c>
      <c r="O128" s="53">
        <v>4</v>
      </c>
      <c r="P128" s="53">
        <v>2</v>
      </c>
      <c r="Q128" s="53">
        <v>1</v>
      </c>
      <c r="R128" s="53">
        <v>1</v>
      </c>
      <c r="S128" s="53">
        <v>1</v>
      </c>
      <c r="T128" s="53">
        <v>3</v>
      </c>
      <c r="U128" s="53">
        <v>6</v>
      </c>
      <c r="V128" s="68">
        <v>1</v>
      </c>
      <c r="W128" s="69">
        <v>1</v>
      </c>
      <c r="X128" s="69">
        <v>1</v>
      </c>
      <c r="Y128" s="69">
        <v>1</v>
      </c>
      <c r="Z128" s="69">
        <v>1</v>
      </c>
      <c r="AA128" s="69">
        <v>2</v>
      </c>
      <c r="AB128" s="69">
        <v>3</v>
      </c>
      <c r="AC128" s="69">
        <v>3</v>
      </c>
      <c r="AD128" s="69">
        <v>1</v>
      </c>
      <c r="AE128" s="69">
        <v>1</v>
      </c>
      <c r="AF128" s="69">
        <v>1</v>
      </c>
      <c r="AG128" s="69">
        <v>1</v>
      </c>
      <c r="AH128" s="69">
        <v>1</v>
      </c>
      <c r="AI128" s="70">
        <v>6</v>
      </c>
      <c r="AJ128" s="31">
        <v>3</v>
      </c>
      <c r="AK128" s="31">
        <v>2</v>
      </c>
      <c r="AL128" s="31">
        <v>1</v>
      </c>
      <c r="AM128" s="31">
        <v>1</v>
      </c>
      <c r="AN128" s="31">
        <v>1</v>
      </c>
      <c r="AO128" s="31">
        <v>1</v>
      </c>
      <c r="AP128" s="31">
        <v>2</v>
      </c>
      <c r="AQ128" s="31">
        <v>3</v>
      </c>
      <c r="AR128" s="31">
        <v>4</v>
      </c>
      <c r="AS128" s="31">
        <v>2</v>
      </c>
      <c r="AT128" s="31">
        <v>1</v>
      </c>
      <c r="AU128" s="31">
        <v>1</v>
      </c>
      <c r="AV128" s="31">
        <v>2</v>
      </c>
      <c r="AW128" s="64">
        <v>7</v>
      </c>
      <c r="AX128" s="37">
        <v>5</v>
      </c>
      <c r="AY128" s="47">
        <v>3</v>
      </c>
      <c r="AZ128" s="47">
        <v>1</v>
      </c>
      <c r="BA128" s="47">
        <v>1</v>
      </c>
      <c r="BB128" s="47">
        <v>1</v>
      </c>
      <c r="BC128" s="47">
        <v>3</v>
      </c>
      <c r="BD128" s="47" t="s">
        <v>94</v>
      </c>
      <c r="BE128" s="47">
        <v>1</v>
      </c>
      <c r="BF128" s="47">
        <v>1</v>
      </c>
      <c r="BG128" s="47">
        <v>1</v>
      </c>
      <c r="BH128" s="47">
        <v>1</v>
      </c>
      <c r="BI128" s="47">
        <v>1</v>
      </c>
      <c r="BJ128" s="47">
        <v>2</v>
      </c>
      <c r="BK128" s="48" t="s">
        <v>94</v>
      </c>
    </row>
    <row r="129" spans="7:63">
      <c r="G129" s="84">
        <v>42</v>
      </c>
      <c r="H129" s="52">
        <v>2</v>
      </c>
      <c r="I129" s="53">
        <v>2</v>
      </c>
      <c r="J129" s="53">
        <v>2</v>
      </c>
      <c r="K129" s="53">
        <v>2</v>
      </c>
      <c r="L129" s="53">
        <v>3</v>
      </c>
      <c r="M129" s="53">
        <v>3</v>
      </c>
      <c r="N129" s="53">
        <v>4</v>
      </c>
      <c r="O129" s="53">
        <v>4</v>
      </c>
      <c r="P129" s="53">
        <v>2</v>
      </c>
      <c r="Q129" s="53">
        <v>1</v>
      </c>
      <c r="R129" s="53">
        <v>1</v>
      </c>
      <c r="S129" s="53">
        <v>1</v>
      </c>
      <c r="T129" s="53">
        <v>3</v>
      </c>
      <c r="U129" s="53">
        <v>6</v>
      </c>
      <c r="V129" s="68">
        <v>1</v>
      </c>
      <c r="W129" s="69">
        <v>1</v>
      </c>
      <c r="X129" s="69">
        <v>1</v>
      </c>
      <c r="Y129" s="69">
        <v>1</v>
      </c>
      <c r="Z129" s="69">
        <v>1</v>
      </c>
      <c r="AA129" s="69">
        <v>2</v>
      </c>
      <c r="AB129" s="69">
        <v>3</v>
      </c>
      <c r="AC129" s="69">
        <v>3</v>
      </c>
      <c r="AD129" s="69">
        <v>1</v>
      </c>
      <c r="AE129" s="69">
        <v>1</v>
      </c>
      <c r="AF129" s="69">
        <v>1</v>
      </c>
      <c r="AG129" s="69">
        <v>1</v>
      </c>
      <c r="AH129" s="69">
        <v>2</v>
      </c>
      <c r="AI129" s="70">
        <v>6</v>
      </c>
      <c r="AJ129" s="31">
        <v>3</v>
      </c>
      <c r="AK129" s="31">
        <v>2</v>
      </c>
      <c r="AL129" s="31">
        <v>2</v>
      </c>
      <c r="AM129" s="31">
        <v>1</v>
      </c>
      <c r="AN129" s="31">
        <v>1</v>
      </c>
      <c r="AO129" s="31">
        <v>2</v>
      </c>
      <c r="AP129" s="31">
        <v>2</v>
      </c>
      <c r="AQ129" s="31">
        <v>3</v>
      </c>
      <c r="AR129" s="31">
        <v>4</v>
      </c>
      <c r="AS129" s="31">
        <v>2</v>
      </c>
      <c r="AT129" s="31">
        <v>1</v>
      </c>
      <c r="AU129" s="31">
        <v>1</v>
      </c>
      <c r="AV129" s="31">
        <v>2</v>
      </c>
      <c r="AW129" s="64">
        <v>7</v>
      </c>
      <c r="AX129" s="37">
        <v>5</v>
      </c>
      <c r="AY129" s="47">
        <v>3</v>
      </c>
      <c r="AZ129" s="47">
        <v>1</v>
      </c>
      <c r="BA129" s="47">
        <v>1</v>
      </c>
      <c r="BB129" s="47">
        <v>1</v>
      </c>
      <c r="BC129" s="47">
        <v>3</v>
      </c>
      <c r="BD129" s="47" t="s">
        <v>94</v>
      </c>
      <c r="BE129" s="47">
        <v>1</v>
      </c>
      <c r="BF129" s="47">
        <v>1</v>
      </c>
      <c r="BG129" s="47">
        <v>1</v>
      </c>
      <c r="BH129" s="47">
        <v>1</v>
      </c>
      <c r="BI129" s="47">
        <v>1</v>
      </c>
      <c r="BJ129" s="47">
        <v>3</v>
      </c>
      <c r="BK129" s="48" t="s">
        <v>94</v>
      </c>
    </row>
    <row r="130" spans="7:63">
      <c r="G130" s="84">
        <v>43</v>
      </c>
      <c r="H130" s="52">
        <v>3</v>
      </c>
      <c r="I130" s="53">
        <v>3</v>
      </c>
      <c r="J130" s="53">
        <v>3</v>
      </c>
      <c r="K130" s="53">
        <v>3</v>
      </c>
      <c r="L130" s="53">
        <v>3</v>
      </c>
      <c r="M130" s="53">
        <v>3</v>
      </c>
      <c r="N130" s="53">
        <v>4</v>
      </c>
      <c r="O130" s="53">
        <v>4</v>
      </c>
      <c r="P130" s="53">
        <v>2</v>
      </c>
      <c r="Q130" s="53">
        <v>1</v>
      </c>
      <c r="R130" s="53">
        <v>1</v>
      </c>
      <c r="S130" s="53">
        <v>1</v>
      </c>
      <c r="T130" s="53">
        <v>3</v>
      </c>
      <c r="U130" s="53">
        <v>6</v>
      </c>
      <c r="V130" s="68">
        <v>2</v>
      </c>
      <c r="W130" s="69">
        <v>1</v>
      </c>
      <c r="X130" s="69">
        <v>1</v>
      </c>
      <c r="Y130" s="69">
        <v>1</v>
      </c>
      <c r="Z130" s="69">
        <v>2</v>
      </c>
      <c r="AA130" s="69">
        <v>2</v>
      </c>
      <c r="AB130" s="69">
        <v>3</v>
      </c>
      <c r="AC130" s="69">
        <v>4</v>
      </c>
      <c r="AD130" s="69">
        <v>1</v>
      </c>
      <c r="AE130" s="69">
        <v>1</v>
      </c>
      <c r="AF130" s="69">
        <v>1</v>
      </c>
      <c r="AG130" s="69">
        <v>1</v>
      </c>
      <c r="AH130" s="69">
        <v>2</v>
      </c>
      <c r="AI130" s="70">
        <v>6</v>
      </c>
      <c r="AJ130" s="31">
        <v>3</v>
      </c>
      <c r="AK130" s="31">
        <v>2</v>
      </c>
      <c r="AL130" s="31">
        <v>2</v>
      </c>
      <c r="AM130" s="31">
        <v>2</v>
      </c>
      <c r="AN130" s="31">
        <v>2</v>
      </c>
      <c r="AO130" s="31">
        <v>2</v>
      </c>
      <c r="AP130" s="31">
        <v>2</v>
      </c>
      <c r="AQ130" s="31">
        <v>3</v>
      </c>
      <c r="AR130" s="31">
        <v>4</v>
      </c>
      <c r="AS130" s="31">
        <v>3</v>
      </c>
      <c r="AT130" s="31">
        <v>1</v>
      </c>
      <c r="AU130" s="31">
        <v>1</v>
      </c>
      <c r="AV130" s="31">
        <v>3</v>
      </c>
      <c r="AW130" s="64">
        <v>7</v>
      </c>
      <c r="AX130" s="37">
        <v>5</v>
      </c>
      <c r="AY130" s="47">
        <v>3</v>
      </c>
      <c r="AZ130" s="47">
        <v>1</v>
      </c>
      <c r="BA130" s="47">
        <v>1</v>
      </c>
      <c r="BB130" s="47">
        <v>2</v>
      </c>
      <c r="BC130" s="47">
        <v>4</v>
      </c>
      <c r="BD130" s="47" t="s">
        <v>94</v>
      </c>
      <c r="BE130" s="47">
        <v>1</v>
      </c>
      <c r="BF130" s="47">
        <v>1</v>
      </c>
      <c r="BG130" s="47">
        <v>1</v>
      </c>
      <c r="BH130" s="47">
        <v>1</v>
      </c>
      <c r="BI130" s="47">
        <v>1</v>
      </c>
      <c r="BJ130" s="47">
        <v>3</v>
      </c>
      <c r="BK130" s="48" t="s">
        <v>94</v>
      </c>
    </row>
    <row r="131" spans="7:63">
      <c r="G131" s="84">
        <v>44</v>
      </c>
      <c r="H131" s="52">
        <v>3</v>
      </c>
      <c r="I131" s="53">
        <v>3</v>
      </c>
      <c r="J131" s="53">
        <v>3</v>
      </c>
      <c r="K131" s="53">
        <v>3</v>
      </c>
      <c r="L131" s="53">
        <v>3</v>
      </c>
      <c r="M131" s="53">
        <v>4</v>
      </c>
      <c r="N131" s="53">
        <v>4</v>
      </c>
      <c r="O131" s="53">
        <v>4</v>
      </c>
      <c r="P131" s="53">
        <v>3</v>
      </c>
      <c r="Q131" s="53">
        <v>1</v>
      </c>
      <c r="R131" s="53">
        <v>1</v>
      </c>
      <c r="S131" s="53">
        <v>1</v>
      </c>
      <c r="T131" s="53">
        <v>3</v>
      </c>
      <c r="U131" s="53">
        <v>6</v>
      </c>
      <c r="V131" s="68">
        <v>2</v>
      </c>
      <c r="W131" s="69">
        <v>1</v>
      </c>
      <c r="X131" s="69">
        <v>1</v>
      </c>
      <c r="Y131" s="69">
        <v>1</v>
      </c>
      <c r="Z131" s="69">
        <v>2</v>
      </c>
      <c r="AA131" s="69">
        <v>3</v>
      </c>
      <c r="AB131" s="69">
        <v>4</v>
      </c>
      <c r="AC131" s="69">
        <v>4</v>
      </c>
      <c r="AD131" s="69">
        <v>1</v>
      </c>
      <c r="AE131" s="69">
        <v>1</v>
      </c>
      <c r="AF131" s="69">
        <v>1</v>
      </c>
      <c r="AG131" s="69">
        <v>1</v>
      </c>
      <c r="AH131" s="69">
        <v>2</v>
      </c>
      <c r="AI131" s="70">
        <v>6</v>
      </c>
      <c r="AJ131" s="31">
        <v>3</v>
      </c>
      <c r="AK131" s="31">
        <v>3</v>
      </c>
      <c r="AL131" s="31">
        <v>2</v>
      </c>
      <c r="AM131" s="31">
        <v>2</v>
      </c>
      <c r="AN131" s="31">
        <v>2</v>
      </c>
      <c r="AO131" s="31">
        <v>2</v>
      </c>
      <c r="AP131" s="31">
        <v>3</v>
      </c>
      <c r="AQ131" s="31">
        <v>3</v>
      </c>
      <c r="AR131" s="31">
        <v>4</v>
      </c>
      <c r="AS131" s="31">
        <v>3</v>
      </c>
      <c r="AT131" s="31">
        <v>1</v>
      </c>
      <c r="AU131" s="31">
        <v>1</v>
      </c>
      <c r="AV131" s="31">
        <v>3</v>
      </c>
      <c r="AW131" s="64">
        <v>7</v>
      </c>
      <c r="AX131" s="37">
        <v>6</v>
      </c>
      <c r="AY131" s="47">
        <v>4</v>
      </c>
      <c r="AZ131" s="47">
        <v>2</v>
      </c>
      <c r="BA131" s="47">
        <v>1</v>
      </c>
      <c r="BB131" s="47">
        <v>2</v>
      </c>
      <c r="BC131" s="47">
        <v>4</v>
      </c>
      <c r="BD131" s="47" t="s">
        <v>94</v>
      </c>
      <c r="BE131" s="47">
        <v>2</v>
      </c>
      <c r="BF131" s="47">
        <v>1</v>
      </c>
      <c r="BG131" s="47">
        <v>1</v>
      </c>
      <c r="BH131" s="47">
        <v>1</v>
      </c>
      <c r="BI131" s="47">
        <v>1</v>
      </c>
      <c r="BJ131" s="47">
        <v>3</v>
      </c>
      <c r="BK131" s="48" t="s">
        <v>94</v>
      </c>
    </row>
    <row r="132" spans="7:63">
      <c r="G132" s="84">
        <v>45</v>
      </c>
      <c r="H132" s="52">
        <v>3</v>
      </c>
      <c r="I132" s="53">
        <v>3</v>
      </c>
      <c r="J132" s="53">
        <v>3</v>
      </c>
      <c r="K132" s="53">
        <v>3</v>
      </c>
      <c r="L132" s="53">
        <v>4</v>
      </c>
      <c r="M132" s="53">
        <v>4</v>
      </c>
      <c r="N132" s="53">
        <v>4</v>
      </c>
      <c r="O132" s="53">
        <v>5</v>
      </c>
      <c r="P132" s="53">
        <v>3</v>
      </c>
      <c r="Q132" s="53">
        <v>1</v>
      </c>
      <c r="R132" s="53">
        <v>1</v>
      </c>
      <c r="S132" s="53">
        <v>1</v>
      </c>
      <c r="T132" s="53">
        <v>4</v>
      </c>
      <c r="U132" s="53">
        <v>6</v>
      </c>
      <c r="V132" s="68">
        <v>2</v>
      </c>
      <c r="W132" s="69">
        <v>2</v>
      </c>
      <c r="X132" s="69">
        <v>1</v>
      </c>
      <c r="Y132" s="69">
        <v>2</v>
      </c>
      <c r="Z132" s="69">
        <v>2</v>
      </c>
      <c r="AA132" s="69">
        <v>3</v>
      </c>
      <c r="AB132" s="69">
        <v>4</v>
      </c>
      <c r="AC132" s="69">
        <v>4</v>
      </c>
      <c r="AD132" s="69">
        <v>1</v>
      </c>
      <c r="AE132" s="69">
        <v>1</v>
      </c>
      <c r="AF132" s="69">
        <v>1</v>
      </c>
      <c r="AG132" s="69">
        <v>1</v>
      </c>
      <c r="AH132" s="69">
        <v>3</v>
      </c>
      <c r="AI132" s="70">
        <v>6</v>
      </c>
      <c r="AJ132" s="31">
        <v>4</v>
      </c>
      <c r="AK132" s="31">
        <v>3</v>
      </c>
      <c r="AL132" s="31">
        <v>2</v>
      </c>
      <c r="AM132" s="31">
        <v>2</v>
      </c>
      <c r="AN132" s="31">
        <v>2</v>
      </c>
      <c r="AO132" s="31">
        <v>2</v>
      </c>
      <c r="AP132" s="31">
        <v>3</v>
      </c>
      <c r="AQ132" s="31">
        <v>4</v>
      </c>
      <c r="AR132" s="31">
        <v>5</v>
      </c>
      <c r="AS132" s="31">
        <v>3</v>
      </c>
      <c r="AT132" s="31">
        <v>1</v>
      </c>
      <c r="AU132" s="31">
        <v>1</v>
      </c>
      <c r="AV132" s="31">
        <v>3</v>
      </c>
      <c r="AW132" s="64">
        <v>7</v>
      </c>
      <c r="AX132" s="37">
        <v>6</v>
      </c>
      <c r="AY132" s="47">
        <v>4</v>
      </c>
      <c r="AZ132" s="47">
        <v>2</v>
      </c>
      <c r="BA132" s="47">
        <v>1</v>
      </c>
      <c r="BB132" s="47">
        <v>2</v>
      </c>
      <c r="BC132" s="47">
        <v>4</v>
      </c>
      <c r="BD132" s="47" t="s">
        <v>94</v>
      </c>
      <c r="BE132" s="47">
        <v>2</v>
      </c>
      <c r="BF132" s="47">
        <v>1</v>
      </c>
      <c r="BG132" s="47">
        <v>1</v>
      </c>
      <c r="BH132" s="47">
        <v>1</v>
      </c>
      <c r="BI132" s="47">
        <v>1</v>
      </c>
      <c r="BJ132" s="47">
        <v>3</v>
      </c>
      <c r="BK132" s="48" t="s">
        <v>94</v>
      </c>
    </row>
    <row r="133" spans="7:63">
      <c r="G133" s="84">
        <v>46</v>
      </c>
      <c r="H133" s="52">
        <v>4</v>
      </c>
      <c r="I133" s="53">
        <v>3</v>
      </c>
      <c r="J133" s="53">
        <v>3</v>
      </c>
      <c r="K133" s="53">
        <v>4</v>
      </c>
      <c r="L133" s="53">
        <v>4</v>
      </c>
      <c r="M133" s="53">
        <v>4</v>
      </c>
      <c r="N133" s="53">
        <v>5</v>
      </c>
      <c r="O133" s="53">
        <v>5</v>
      </c>
      <c r="P133" s="53">
        <v>3</v>
      </c>
      <c r="Q133" s="53">
        <v>1</v>
      </c>
      <c r="R133" s="53">
        <v>1</v>
      </c>
      <c r="S133" s="53">
        <v>1</v>
      </c>
      <c r="T133" s="53">
        <v>4</v>
      </c>
      <c r="U133" s="53">
        <v>7</v>
      </c>
      <c r="V133" s="68">
        <v>3</v>
      </c>
      <c r="W133" s="69">
        <v>2</v>
      </c>
      <c r="X133" s="69">
        <v>2</v>
      </c>
      <c r="Y133" s="69">
        <v>2</v>
      </c>
      <c r="Z133" s="69">
        <v>3</v>
      </c>
      <c r="AA133" s="69">
        <v>3</v>
      </c>
      <c r="AB133" s="69">
        <v>4</v>
      </c>
      <c r="AC133" s="69">
        <v>5</v>
      </c>
      <c r="AD133" s="69">
        <v>1</v>
      </c>
      <c r="AE133" s="69">
        <v>1</v>
      </c>
      <c r="AF133" s="69">
        <v>1</v>
      </c>
      <c r="AG133" s="69">
        <v>1</v>
      </c>
      <c r="AH133" s="69">
        <v>3</v>
      </c>
      <c r="AI133" s="70">
        <v>6</v>
      </c>
      <c r="AJ133" s="31">
        <v>4</v>
      </c>
      <c r="AK133" s="31">
        <v>3</v>
      </c>
      <c r="AL133" s="31">
        <v>3</v>
      </c>
      <c r="AM133" s="31">
        <v>3</v>
      </c>
      <c r="AN133" s="31">
        <v>3</v>
      </c>
      <c r="AO133" s="31">
        <v>3</v>
      </c>
      <c r="AP133" s="31">
        <v>3</v>
      </c>
      <c r="AQ133" s="31">
        <v>4</v>
      </c>
      <c r="AR133" s="31">
        <v>5</v>
      </c>
      <c r="AS133" s="31">
        <v>3</v>
      </c>
      <c r="AT133" s="31">
        <v>1</v>
      </c>
      <c r="AU133" s="31">
        <v>1</v>
      </c>
      <c r="AV133" s="31">
        <v>4</v>
      </c>
      <c r="AW133" s="64">
        <v>7</v>
      </c>
      <c r="AX133" s="37">
        <v>6</v>
      </c>
      <c r="AY133" s="47">
        <v>4</v>
      </c>
      <c r="AZ133" s="47">
        <v>2</v>
      </c>
      <c r="BA133" s="47">
        <v>2</v>
      </c>
      <c r="BB133" s="47">
        <v>3</v>
      </c>
      <c r="BC133" s="47">
        <v>4</v>
      </c>
      <c r="BD133" s="47" t="s">
        <v>94</v>
      </c>
      <c r="BE133" s="47">
        <v>2</v>
      </c>
      <c r="BF133" s="47">
        <v>1</v>
      </c>
      <c r="BG133" s="47">
        <v>1</v>
      </c>
      <c r="BH133" s="47">
        <v>1</v>
      </c>
      <c r="BI133" s="47">
        <v>1</v>
      </c>
      <c r="BJ133" s="47">
        <v>4</v>
      </c>
      <c r="BK133" s="48" t="s">
        <v>94</v>
      </c>
    </row>
    <row r="134" spans="7:63">
      <c r="G134" s="84">
        <v>47</v>
      </c>
      <c r="H134" s="52">
        <v>4</v>
      </c>
      <c r="I134" s="53">
        <v>4</v>
      </c>
      <c r="J134" s="53">
        <v>4</v>
      </c>
      <c r="K134" s="53">
        <v>4</v>
      </c>
      <c r="L134" s="53">
        <v>4</v>
      </c>
      <c r="M134" s="53">
        <v>4</v>
      </c>
      <c r="N134" s="53">
        <v>5</v>
      </c>
      <c r="O134" s="53">
        <v>5</v>
      </c>
      <c r="P134" s="53">
        <v>4</v>
      </c>
      <c r="Q134" s="53">
        <v>1</v>
      </c>
      <c r="R134" s="53">
        <v>1</v>
      </c>
      <c r="S134" s="53">
        <v>1</v>
      </c>
      <c r="T134" s="53">
        <v>4</v>
      </c>
      <c r="U134" s="53">
        <v>7</v>
      </c>
      <c r="V134" s="68">
        <v>3</v>
      </c>
      <c r="W134" s="69">
        <v>2</v>
      </c>
      <c r="X134" s="69">
        <v>2</v>
      </c>
      <c r="Y134" s="69">
        <v>2</v>
      </c>
      <c r="Z134" s="69">
        <v>3</v>
      </c>
      <c r="AA134" s="69">
        <v>4</v>
      </c>
      <c r="AB134" s="69">
        <v>4</v>
      </c>
      <c r="AC134" s="69">
        <v>5</v>
      </c>
      <c r="AD134" s="69">
        <v>1</v>
      </c>
      <c r="AE134" s="69">
        <v>1</v>
      </c>
      <c r="AF134" s="69">
        <v>1</v>
      </c>
      <c r="AG134" s="69">
        <v>1</v>
      </c>
      <c r="AH134" s="69">
        <v>3</v>
      </c>
      <c r="AI134" s="70">
        <v>7</v>
      </c>
      <c r="AJ134" s="31">
        <v>4</v>
      </c>
      <c r="AK134" s="31">
        <v>4</v>
      </c>
      <c r="AL134" s="31">
        <v>3</v>
      </c>
      <c r="AM134" s="31">
        <v>3</v>
      </c>
      <c r="AN134" s="31">
        <v>3</v>
      </c>
      <c r="AO134" s="31">
        <v>3</v>
      </c>
      <c r="AP134" s="31">
        <v>4</v>
      </c>
      <c r="AQ134" s="31">
        <v>4</v>
      </c>
      <c r="AR134" s="31">
        <v>5</v>
      </c>
      <c r="AS134" s="31">
        <v>4</v>
      </c>
      <c r="AT134" s="31">
        <v>1</v>
      </c>
      <c r="AU134" s="31">
        <v>1</v>
      </c>
      <c r="AV134" s="31">
        <v>4</v>
      </c>
      <c r="AW134" s="64">
        <v>7</v>
      </c>
      <c r="AX134" s="37">
        <v>6</v>
      </c>
      <c r="AY134" s="47">
        <v>4</v>
      </c>
      <c r="AZ134" s="47">
        <v>3</v>
      </c>
      <c r="BA134" s="47">
        <v>2</v>
      </c>
      <c r="BB134" s="47">
        <v>3</v>
      </c>
      <c r="BC134" s="47">
        <v>5</v>
      </c>
      <c r="BD134" s="47" t="s">
        <v>94</v>
      </c>
      <c r="BE134" s="47">
        <v>3</v>
      </c>
      <c r="BF134" s="47">
        <v>1</v>
      </c>
      <c r="BG134" s="47">
        <v>1</v>
      </c>
      <c r="BH134" s="47">
        <v>1</v>
      </c>
      <c r="BI134" s="47">
        <v>1</v>
      </c>
      <c r="BJ134" s="47">
        <v>4</v>
      </c>
      <c r="BK134" s="48" t="s">
        <v>94</v>
      </c>
    </row>
    <row r="135" spans="7:63">
      <c r="G135" s="84">
        <v>48</v>
      </c>
      <c r="H135" s="52">
        <v>4</v>
      </c>
      <c r="I135" s="53">
        <v>4</v>
      </c>
      <c r="J135" s="53">
        <v>4</v>
      </c>
      <c r="K135" s="53">
        <v>4</v>
      </c>
      <c r="L135" s="53">
        <v>4</v>
      </c>
      <c r="M135" s="53">
        <v>5</v>
      </c>
      <c r="N135" s="53">
        <v>5</v>
      </c>
      <c r="O135" s="53">
        <v>5</v>
      </c>
      <c r="P135" s="53">
        <v>4</v>
      </c>
      <c r="Q135" s="53">
        <v>2</v>
      </c>
      <c r="R135" s="53">
        <v>1</v>
      </c>
      <c r="S135" s="53">
        <v>2</v>
      </c>
      <c r="T135" s="53">
        <v>4</v>
      </c>
      <c r="U135" s="53">
        <v>7</v>
      </c>
      <c r="V135" s="68">
        <v>3</v>
      </c>
      <c r="W135" s="69">
        <v>3</v>
      </c>
      <c r="X135" s="69">
        <v>2</v>
      </c>
      <c r="Y135" s="69">
        <v>3</v>
      </c>
      <c r="Z135" s="69">
        <v>3</v>
      </c>
      <c r="AA135" s="69">
        <v>4</v>
      </c>
      <c r="AB135" s="69">
        <v>5</v>
      </c>
      <c r="AC135" s="69">
        <v>5</v>
      </c>
      <c r="AD135" s="69">
        <v>1</v>
      </c>
      <c r="AE135" s="69">
        <v>1</v>
      </c>
      <c r="AF135" s="69">
        <v>1</v>
      </c>
      <c r="AG135" s="69">
        <v>1</v>
      </c>
      <c r="AH135" s="69">
        <v>4</v>
      </c>
      <c r="AI135" s="70">
        <v>7</v>
      </c>
      <c r="AJ135" s="31">
        <v>5</v>
      </c>
      <c r="AK135" s="31">
        <v>4</v>
      </c>
      <c r="AL135" s="31">
        <v>3</v>
      </c>
      <c r="AM135" s="31">
        <v>3</v>
      </c>
      <c r="AN135" s="31">
        <v>3</v>
      </c>
      <c r="AO135" s="31">
        <v>3</v>
      </c>
      <c r="AP135" s="31">
        <v>4</v>
      </c>
      <c r="AQ135" s="31">
        <v>5</v>
      </c>
      <c r="AR135" s="31">
        <v>5</v>
      </c>
      <c r="AS135" s="31">
        <v>4</v>
      </c>
      <c r="AT135" s="31">
        <v>1</v>
      </c>
      <c r="AU135" s="31">
        <v>1</v>
      </c>
      <c r="AV135" s="31">
        <v>4</v>
      </c>
      <c r="AW135" s="64">
        <v>7</v>
      </c>
      <c r="AX135" s="37">
        <v>6</v>
      </c>
      <c r="AY135" s="47">
        <v>5</v>
      </c>
      <c r="AZ135" s="47">
        <v>3</v>
      </c>
      <c r="BA135" s="47">
        <v>2</v>
      </c>
      <c r="BB135" s="47">
        <v>3</v>
      </c>
      <c r="BC135" s="47">
        <v>5</v>
      </c>
      <c r="BD135" s="47" t="s">
        <v>94</v>
      </c>
      <c r="BE135" s="47">
        <v>3</v>
      </c>
      <c r="BF135" s="47">
        <v>1</v>
      </c>
      <c r="BG135" s="47">
        <v>1</v>
      </c>
      <c r="BH135" s="47">
        <v>1</v>
      </c>
      <c r="BI135" s="47">
        <v>1</v>
      </c>
      <c r="BJ135" s="47">
        <v>4</v>
      </c>
      <c r="BK135" s="48" t="s">
        <v>94</v>
      </c>
    </row>
    <row r="136" spans="7:63">
      <c r="G136" s="84">
        <v>49</v>
      </c>
      <c r="H136" s="52">
        <v>4</v>
      </c>
      <c r="I136" s="53">
        <v>4</v>
      </c>
      <c r="J136" s="53">
        <v>4</v>
      </c>
      <c r="K136" s="53">
        <v>4</v>
      </c>
      <c r="L136" s="53">
        <v>5</v>
      </c>
      <c r="M136" s="53">
        <v>5</v>
      </c>
      <c r="N136" s="53">
        <v>6</v>
      </c>
      <c r="O136" s="53">
        <v>6</v>
      </c>
      <c r="P136" s="53">
        <v>4</v>
      </c>
      <c r="Q136" s="53">
        <v>2</v>
      </c>
      <c r="R136" s="53">
        <v>1</v>
      </c>
      <c r="S136" s="53">
        <v>2</v>
      </c>
      <c r="T136" s="53">
        <v>5</v>
      </c>
      <c r="U136" s="53">
        <v>7</v>
      </c>
      <c r="V136" s="68">
        <v>4</v>
      </c>
      <c r="W136" s="69">
        <v>3</v>
      </c>
      <c r="X136" s="69">
        <v>3</v>
      </c>
      <c r="Y136" s="69">
        <v>3</v>
      </c>
      <c r="Z136" s="69">
        <v>3</v>
      </c>
      <c r="AA136" s="69">
        <v>4</v>
      </c>
      <c r="AB136" s="69">
        <v>5</v>
      </c>
      <c r="AC136" s="69">
        <v>5</v>
      </c>
      <c r="AD136" s="69">
        <v>1</v>
      </c>
      <c r="AE136" s="69">
        <v>1</v>
      </c>
      <c r="AF136" s="69">
        <v>1</v>
      </c>
      <c r="AG136" s="69">
        <v>1</v>
      </c>
      <c r="AH136" s="69">
        <v>4</v>
      </c>
      <c r="AI136" s="70">
        <v>7</v>
      </c>
      <c r="AJ136" s="31">
        <v>5</v>
      </c>
      <c r="AK136" s="31">
        <v>4</v>
      </c>
      <c r="AL136" s="31">
        <v>4</v>
      </c>
      <c r="AM136" s="31">
        <v>3</v>
      </c>
      <c r="AN136" s="31">
        <v>3</v>
      </c>
      <c r="AO136" s="31">
        <v>4</v>
      </c>
      <c r="AP136" s="31">
        <v>4</v>
      </c>
      <c r="AQ136" s="31">
        <v>5</v>
      </c>
      <c r="AR136" s="31">
        <v>6</v>
      </c>
      <c r="AS136" s="31">
        <v>4</v>
      </c>
      <c r="AT136" s="31">
        <v>1</v>
      </c>
      <c r="AU136" s="31">
        <v>1</v>
      </c>
      <c r="AV136" s="31">
        <v>4</v>
      </c>
      <c r="AW136" s="64">
        <v>8</v>
      </c>
      <c r="AX136" s="37">
        <v>6</v>
      </c>
      <c r="AY136" s="47">
        <v>5</v>
      </c>
      <c r="AZ136" s="47">
        <v>3</v>
      </c>
      <c r="BA136" s="47">
        <v>3</v>
      </c>
      <c r="BB136" s="47">
        <v>3</v>
      </c>
      <c r="BC136" s="47">
        <v>5</v>
      </c>
      <c r="BD136" s="47" t="s">
        <v>94</v>
      </c>
      <c r="BE136" s="47">
        <v>3</v>
      </c>
      <c r="BF136" s="47">
        <v>1</v>
      </c>
      <c r="BG136" s="47">
        <v>1</v>
      </c>
      <c r="BH136" s="47">
        <v>1</v>
      </c>
      <c r="BI136" s="47">
        <v>2</v>
      </c>
      <c r="BJ136" s="47">
        <v>4</v>
      </c>
      <c r="BK136" s="48" t="s">
        <v>94</v>
      </c>
    </row>
    <row r="137" spans="7:63">
      <c r="G137" s="84">
        <v>50</v>
      </c>
      <c r="H137" s="52">
        <v>5</v>
      </c>
      <c r="I137" s="53">
        <v>5</v>
      </c>
      <c r="J137" s="53">
        <v>4</v>
      </c>
      <c r="K137" s="53">
        <v>5</v>
      </c>
      <c r="L137" s="53">
        <v>5</v>
      </c>
      <c r="M137" s="53">
        <v>5</v>
      </c>
      <c r="N137" s="53">
        <v>6</v>
      </c>
      <c r="O137" s="53">
        <v>6</v>
      </c>
      <c r="P137" s="53">
        <v>4</v>
      </c>
      <c r="Q137" s="53">
        <v>3</v>
      </c>
      <c r="R137" s="53">
        <v>1</v>
      </c>
      <c r="S137" s="53">
        <v>2</v>
      </c>
      <c r="T137" s="53">
        <v>5</v>
      </c>
      <c r="U137" s="53">
        <v>7</v>
      </c>
      <c r="V137" s="68">
        <v>4</v>
      </c>
      <c r="W137" s="69">
        <v>3</v>
      </c>
      <c r="X137" s="69">
        <v>3</v>
      </c>
      <c r="Y137" s="69">
        <v>3</v>
      </c>
      <c r="Z137" s="69">
        <v>4</v>
      </c>
      <c r="AA137" s="69">
        <v>4</v>
      </c>
      <c r="AB137" s="69">
        <v>5</v>
      </c>
      <c r="AC137" s="69">
        <v>6</v>
      </c>
      <c r="AD137" s="69">
        <v>1</v>
      </c>
      <c r="AE137" s="69">
        <v>1</v>
      </c>
      <c r="AF137" s="69">
        <v>1</v>
      </c>
      <c r="AG137" s="69">
        <v>1</v>
      </c>
      <c r="AH137" s="69">
        <v>4</v>
      </c>
      <c r="AI137" s="70">
        <v>7</v>
      </c>
      <c r="AJ137" s="31">
        <v>5</v>
      </c>
      <c r="AK137" s="31">
        <v>5</v>
      </c>
      <c r="AL137" s="31">
        <v>4</v>
      </c>
      <c r="AM137" s="31">
        <v>4</v>
      </c>
      <c r="AN137" s="31">
        <v>4</v>
      </c>
      <c r="AO137" s="31">
        <v>4</v>
      </c>
      <c r="AP137" s="31">
        <v>4</v>
      </c>
      <c r="AQ137" s="31">
        <v>5</v>
      </c>
      <c r="AR137" s="31">
        <v>6</v>
      </c>
      <c r="AS137" s="31">
        <v>5</v>
      </c>
      <c r="AT137" s="31">
        <v>2</v>
      </c>
      <c r="AU137" s="31">
        <v>1</v>
      </c>
      <c r="AV137" s="31">
        <v>5</v>
      </c>
      <c r="AW137" s="64">
        <v>8</v>
      </c>
      <c r="AX137" s="37">
        <v>7</v>
      </c>
      <c r="AY137" s="47">
        <v>5</v>
      </c>
      <c r="AZ137" s="47">
        <v>4</v>
      </c>
      <c r="BA137" s="47">
        <v>3</v>
      </c>
      <c r="BB137" s="47">
        <v>4</v>
      </c>
      <c r="BC137" s="47">
        <v>5</v>
      </c>
      <c r="BD137" s="47" t="s">
        <v>94</v>
      </c>
      <c r="BE137" s="47">
        <v>4</v>
      </c>
      <c r="BF137" s="47">
        <v>1</v>
      </c>
      <c r="BG137" s="47">
        <v>1</v>
      </c>
      <c r="BH137" s="47">
        <v>1</v>
      </c>
      <c r="BI137" s="47">
        <v>2</v>
      </c>
      <c r="BJ137" s="47">
        <v>5</v>
      </c>
      <c r="BK137" s="48" t="s">
        <v>94</v>
      </c>
    </row>
    <row r="138" spans="7:63">
      <c r="G138" s="84">
        <v>51</v>
      </c>
      <c r="H138" s="52">
        <v>5</v>
      </c>
      <c r="I138" s="53">
        <v>5</v>
      </c>
      <c r="J138" s="53">
        <v>5</v>
      </c>
      <c r="K138" s="53">
        <v>5</v>
      </c>
      <c r="L138" s="53">
        <v>5</v>
      </c>
      <c r="M138" s="53">
        <v>5</v>
      </c>
      <c r="N138" s="53">
        <v>6</v>
      </c>
      <c r="O138" s="53">
        <v>6</v>
      </c>
      <c r="P138" s="53">
        <v>5</v>
      </c>
      <c r="Q138" s="53">
        <v>3</v>
      </c>
      <c r="R138" s="53">
        <v>2</v>
      </c>
      <c r="S138" s="53">
        <v>3</v>
      </c>
      <c r="T138" s="53">
        <v>5</v>
      </c>
      <c r="U138" s="53">
        <v>7</v>
      </c>
      <c r="V138" s="68">
        <v>4</v>
      </c>
      <c r="W138" s="69">
        <v>4</v>
      </c>
      <c r="X138" s="69">
        <v>3</v>
      </c>
      <c r="Y138" s="69">
        <v>4</v>
      </c>
      <c r="Z138" s="69">
        <v>4</v>
      </c>
      <c r="AA138" s="69">
        <v>5</v>
      </c>
      <c r="AB138" s="69">
        <v>5</v>
      </c>
      <c r="AC138" s="69">
        <v>6</v>
      </c>
      <c r="AD138" s="69">
        <v>1</v>
      </c>
      <c r="AE138" s="69">
        <v>2</v>
      </c>
      <c r="AF138" s="69">
        <v>2</v>
      </c>
      <c r="AG138" s="69">
        <v>1</v>
      </c>
      <c r="AH138" s="69">
        <v>4</v>
      </c>
      <c r="AI138" s="70">
        <v>7</v>
      </c>
      <c r="AJ138" s="31">
        <v>6</v>
      </c>
      <c r="AK138" s="31">
        <v>5</v>
      </c>
      <c r="AL138" s="31">
        <v>4</v>
      </c>
      <c r="AM138" s="31">
        <v>4</v>
      </c>
      <c r="AN138" s="31">
        <v>4</v>
      </c>
      <c r="AO138" s="31">
        <v>4</v>
      </c>
      <c r="AP138" s="31">
        <v>5</v>
      </c>
      <c r="AQ138" s="31">
        <v>6</v>
      </c>
      <c r="AR138" s="31">
        <v>6</v>
      </c>
      <c r="AS138" s="31">
        <v>5</v>
      </c>
      <c r="AT138" s="31">
        <v>2</v>
      </c>
      <c r="AU138" s="31">
        <v>1</v>
      </c>
      <c r="AV138" s="31">
        <v>5</v>
      </c>
      <c r="AW138" s="64">
        <v>8</v>
      </c>
      <c r="AX138" s="37">
        <v>7</v>
      </c>
      <c r="AY138" s="47">
        <v>5</v>
      </c>
      <c r="AZ138" s="47">
        <v>4</v>
      </c>
      <c r="BA138" s="47">
        <v>3</v>
      </c>
      <c r="BB138" s="47">
        <v>4</v>
      </c>
      <c r="BC138" s="47">
        <v>5</v>
      </c>
      <c r="BD138" s="47" t="s">
        <v>94</v>
      </c>
      <c r="BE138" s="47">
        <v>4</v>
      </c>
      <c r="BF138" s="47">
        <v>2</v>
      </c>
      <c r="BG138" s="47">
        <v>1</v>
      </c>
      <c r="BH138" s="47">
        <v>1</v>
      </c>
      <c r="BI138" s="47">
        <v>2</v>
      </c>
      <c r="BJ138" s="47">
        <v>5</v>
      </c>
      <c r="BK138" s="48" t="s">
        <v>94</v>
      </c>
    </row>
    <row r="139" spans="7:63">
      <c r="G139" s="84">
        <v>52</v>
      </c>
      <c r="H139" s="52">
        <v>5</v>
      </c>
      <c r="I139" s="53">
        <v>5</v>
      </c>
      <c r="J139" s="53">
        <v>5</v>
      </c>
      <c r="K139" s="53">
        <v>5</v>
      </c>
      <c r="L139" s="53">
        <v>5</v>
      </c>
      <c r="M139" s="53">
        <v>6</v>
      </c>
      <c r="N139" s="53">
        <v>6</v>
      </c>
      <c r="O139" s="53">
        <v>6</v>
      </c>
      <c r="P139" s="53">
        <v>5</v>
      </c>
      <c r="Q139" s="53">
        <v>3</v>
      </c>
      <c r="R139" s="53">
        <v>2</v>
      </c>
      <c r="S139" s="53">
        <v>3</v>
      </c>
      <c r="T139" s="53">
        <v>5</v>
      </c>
      <c r="U139" s="53">
        <v>7</v>
      </c>
      <c r="V139" s="68">
        <v>5</v>
      </c>
      <c r="W139" s="69">
        <v>4</v>
      </c>
      <c r="X139" s="69">
        <v>4</v>
      </c>
      <c r="Y139" s="69">
        <v>4</v>
      </c>
      <c r="Z139" s="69">
        <v>4</v>
      </c>
      <c r="AA139" s="69">
        <v>5</v>
      </c>
      <c r="AB139" s="69">
        <v>6</v>
      </c>
      <c r="AC139" s="69">
        <v>6</v>
      </c>
      <c r="AD139" s="69">
        <v>2</v>
      </c>
      <c r="AE139" s="69">
        <v>2</v>
      </c>
      <c r="AF139" s="69">
        <v>2</v>
      </c>
      <c r="AG139" s="69">
        <v>2</v>
      </c>
      <c r="AH139" s="69">
        <v>5</v>
      </c>
      <c r="AI139" s="70">
        <v>7</v>
      </c>
      <c r="AJ139" s="31">
        <v>6</v>
      </c>
      <c r="AK139" s="31">
        <v>5</v>
      </c>
      <c r="AL139" s="31">
        <v>5</v>
      </c>
      <c r="AM139" s="31">
        <v>4</v>
      </c>
      <c r="AN139" s="31">
        <v>4</v>
      </c>
      <c r="AO139" s="31">
        <v>5</v>
      </c>
      <c r="AP139" s="31">
        <v>5</v>
      </c>
      <c r="AQ139" s="31">
        <v>6</v>
      </c>
      <c r="AR139" s="31">
        <v>6</v>
      </c>
      <c r="AS139" s="31">
        <v>5</v>
      </c>
      <c r="AT139" s="31">
        <v>3</v>
      </c>
      <c r="AU139" s="31">
        <v>1</v>
      </c>
      <c r="AV139" s="31">
        <v>5</v>
      </c>
      <c r="AW139" s="64">
        <v>8</v>
      </c>
      <c r="AX139" s="37">
        <v>7</v>
      </c>
      <c r="AY139" s="47">
        <v>6</v>
      </c>
      <c r="AZ139" s="47">
        <v>4</v>
      </c>
      <c r="BA139" s="47">
        <v>4</v>
      </c>
      <c r="BB139" s="47">
        <v>4</v>
      </c>
      <c r="BC139" s="47">
        <v>6</v>
      </c>
      <c r="BD139" s="47" t="s">
        <v>94</v>
      </c>
      <c r="BE139" s="47">
        <v>4</v>
      </c>
      <c r="BF139" s="47">
        <v>2</v>
      </c>
      <c r="BG139" s="47">
        <v>1</v>
      </c>
      <c r="BH139" s="47">
        <v>1</v>
      </c>
      <c r="BI139" s="47">
        <v>3</v>
      </c>
      <c r="BJ139" s="47">
        <v>5</v>
      </c>
      <c r="BK139" s="48" t="s">
        <v>94</v>
      </c>
    </row>
    <row r="140" spans="7:63">
      <c r="G140" s="84">
        <v>53</v>
      </c>
      <c r="H140" s="52">
        <v>6</v>
      </c>
      <c r="I140" s="53">
        <v>5</v>
      </c>
      <c r="J140" s="53">
        <v>5</v>
      </c>
      <c r="K140" s="53">
        <v>5</v>
      </c>
      <c r="L140" s="53">
        <v>6</v>
      </c>
      <c r="M140" s="53">
        <v>6</v>
      </c>
      <c r="N140" s="53">
        <v>7</v>
      </c>
      <c r="O140" s="53">
        <v>7</v>
      </c>
      <c r="P140" s="53">
        <v>5</v>
      </c>
      <c r="Q140" s="53">
        <v>4</v>
      </c>
      <c r="R140" s="53">
        <v>3</v>
      </c>
      <c r="S140" s="53">
        <v>3</v>
      </c>
      <c r="T140" s="53">
        <v>6</v>
      </c>
      <c r="U140" s="53">
        <v>8</v>
      </c>
      <c r="V140" s="68">
        <v>5</v>
      </c>
      <c r="W140" s="69">
        <v>4</v>
      </c>
      <c r="X140" s="69">
        <v>4</v>
      </c>
      <c r="Y140" s="69">
        <v>4</v>
      </c>
      <c r="Z140" s="69">
        <v>5</v>
      </c>
      <c r="AA140" s="69">
        <v>5</v>
      </c>
      <c r="AB140" s="69">
        <v>6</v>
      </c>
      <c r="AC140" s="69">
        <v>6</v>
      </c>
      <c r="AD140" s="69">
        <v>2</v>
      </c>
      <c r="AE140" s="69">
        <v>3</v>
      </c>
      <c r="AF140" s="69">
        <v>2</v>
      </c>
      <c r="AG140" s="69">
        <v>2</v>
      </c>
      <c r="AH140" s="69">
        <v>5</v>
      </c>
      <c r="AI140" s="70">
        <v>8</v>
      </c>
      <c r="AJ140" s="31">
        <v>6</v>
      </c>
      <c r="AK140" s="31">
        <v>5</v>
      </c>
      <c r="AL140" s="31">
        <v>5</v>
      </c>
      <c r="AM140" s="31">
        <v>5</v>
      </c>
      <c r="AN140" s="31">
        <v>5</v>
      </c>
      <c r="AO140" s="31">
        <v>5</v>
      </c>
      <c r="AP140" s="31">
        <v>5</v>
      </c>
      <c r="AQ140" s="31">
        <v>6</v>
      </c>
      <c r="AR140" s="31">
        <v>6</v>
      </c>
      <c r="AS140" s="31">
        <v>5</v>
      </c>
      <c r="AT140" s="31">
        <v>3</v>
      </c>
      <c r="AU140" s="31">
        <v>2</v>
      </c>
      <c r="AV140" s="31">
        <v>5</v>
      </c>
      <c r="AW140" s="64">
        <v>8</v>
      </c>
      <c r="AX140" s="37">
        <v>7</v>
      </c>
      <c r="AY140" s="47">
        <v>6</v>
      </c>
      <c r="AZ140" s="47">
        <v>5</v>
      </c>
      <c r="BA140" s="47">
        <v>4</v>
      </c>
      <c r="BB140" s="47">
        <v>5</v>
      </c>
      <c r="BC140" s="47">
        <v>6</v>
      </c>
      <c r="BD140" s="47" t="s">
        <v>94</v>
      </c>
      <c r="BE140" s="47">
        <v>5</v>
      </c>
      <c r="BF140" s="47">
        <v>3</v>
      </c>
      <c r="BG140" s="47">
        <v>1</v>
      </c>
      <c r="BH140" s="47">
        <v>1</v>
      </c>
      <c r="BI140" s="47">
        <v>3</v>
      </c>
      <c r="BJ140" s="47">
        <v>5</v>
      </c>
      <c r="BK140" s="48" t="s">
        <v>94</v>
      </c>
    </row>
    <row r="141" spans="7:63">
      <c r="G141" s="84">
        <v>54</v>
      </c>
      <c r="H141" s="52">
        <v>6</v>
      </c>
      <c r="I141" s="53">
        <v>6</v>
      </c>
      <c r="J141" s="53">
        <v>6</v>
      </c>
      <c r="K141" s="53">
        <v>6</v>
      </c>
      <c r="L141" s="53">
        <v>6</v>
      </c>
      <c r="M141" s="53">
        <v>6</v>
      </c>
      <c r="N141" s="53">
        <v>7</v>
      </c>
      <c r="O141" s="53">
        <v>7</v>
      </c>
      <c r="P141" s="53">
        <v>6</v>
      </c>
      <c r="Q141" s="53">
        <v>4</v>
      </c>
      <c r="R141" s="53">
        <v>3</v>
      </c>
      <c r="S141" s="53">
        <v>4</v>
      </c>
      <c r="T141" s="53">
        <v>6</v>
      </c>
      <c r="U141" s="53">
        <v>8</v>
      </c>
      <c r="V141" s="68">
        <v>5</v>
      </c>
      <c r="W141" s="69">
        <v>5</v>
      </c>
      <c r="X141" s="69">
        <v>5</v>
      </c>
      <c r="Y141" s="69">
        <v>5</v>
      </c>
      <c r="Z141" s="69">
        <v>5</v>
      </c>
      <c r="AA141" s="69">
        <v>5</v>
      </c>
      <c r="AB141" s="69">
        <v>6</v>
      </c>
      <c r="AC141" s="69">
        <v>7</v>
      </c>
      <c r="AD141" s="69">
        <v>3</v>
      </c>
      <c r="AE141" s="69">
        <v>3</v>
      </c>
      <c r="AF141" s="69">
        <v>3</v>
      </c>
      <c r="AG141" s="69">
        <v>3</v>
      </c>
      <c r="AH141" s="69">
        <v>5</v>
      </c>
      <c r="AI141" s="70">
        <v>8</v>
      </c>
      <c r="AJ141" s="31">
        <v>6</v>
      </c>
      <c r="AK141" s="31">
        <v>6</v>
      </c>
      <c r="AL141" s="31">
        <v>5</v>
      </c>
      <c r="AM141" s="31">
        <v>5</v>
      </c>
      <c r="AN141" s="31">
        <v>5</v>
      </c>
      <c r="AO141" s="31">
        <v>5</v>
      </c>
      <c r="AP141" s="31">
        <v>6</v>
      </c>
      <c r="AQ141" s="31">
        <v>6</v>
      </c>
      <c r="AR141" s="31">
        <v>7</v>
      </c>
      <c r="AS141" s="31">
        <v>6</v>
      </c>
      <c r="AT141" s="31">
        <v>3</v>
      </c>
      <c r="AU141" s="31">
        <v>2</v>
      </c>
      <c r="AV141" s="31">
        <v>6</v>
      </c>
      <c r="AW141" s="64">
        <v>8</v>
      </c>
      <c r="AX141" s="37">
        <v>7</v>
      </c>
      <c r="AY141" s="47">
        <v>6</v>
      </c>
      <c r="AZ141" s="47">
        <v>5</v>
      </c>
      <c r="BA141" s="47">
        <v>4</v>
      </c>
      <c r="BB141" s="47">
        <v>5</v>
      </c>
      <c r="BC141" s="47">
        <v>6</v>
      </c>
      <c r="BD141" s="47" t="s">
        <v>94</v>
      </c>
      <c r="BE141" s="47">
        <v>5</v>
      </c>
      <c r="BF141" s="47">
        <v>3</v>
      </c>
      <c r="BG141" s="47">
        <v>2</v>
      </c>
      <c r="BH141" s="47">
        <v>2</v>
      </c>
      <c r="BI141" s="47">
        <v>4</v>
      </c>
      <c r="BJ141" s="47">
        <v>6</v>
      </c>
      <c r="BK141" s="48" t="s">
        <v>94</v>
      </c>
    </row>
    <row r="142" spans="7:63">
      <c r="G142" s="84">
        <v>55</v>
      </c>
      <c r="H142" s="52">
        <v>6</v>
      </c>
      <c r="I142" s="53">
        <v>6</v>
      </c>
      <c r="J142" s="53">
        <v>6</v>
      </c>
      <c r="K142" s="53">
        <v>6</v>
      </c>
      <c r="L142" s="53">
        <v>6</v>
      </c>
      <c r="M142" s="53">
        <v>7</v>
      </c>
      <c r="N142" s="53">
        <v>7</v>
      </c>
      <c r="O142" s="53">
        <v>7</v>
      </c>
      <c r="P142" s="53">
        <v>6</v>
      </c>
      <c r="Q142" s="53">
        <v>4</v>
      </c>
      <c r="R142" s="53">
        <v>3</v>
      </c>
      <c r="S142" s="53">
        <v>4</v>
      </c>
      <c r="T142" s="53">
        <v>6</v>
      </c>
      <c r="U142" s="53">
        <v>8</v>
      </c>
      <c r="V142" s="68">
        <v>6</v>
      </c>
      <c r="W142" s="69">
        <v>5</v>
      </c>
      <c r="X142" s="69">
        <v>5</v>
      </c>
      <c r="Y142" s="69">
        <v>5</v>
      </c>
      <c r="Z142" s="69">
        <v>5</v>
      </c>
      <c r="AA142" s="69">
        <v>6</v>
      </c>
      <c r="AB142" s="69">
        <v>6</v>
      </c>
      <c r="AC142" s="69">
        <v>7</v>
      </c>
      <c r="AD142" s="69">
        <v>3</v>
      </c>
      <c r="AE142" s="69">
        <v>3</v>
      </c>
      <c r="AF142" s="69">
        <v>3</v>
      </c>
      <c r="AG142" s="69">
        <v>3</v>
      </c>
      <c r="AH142" s="69">
        <v>6</v>
      </c>
      <c r="AI142" s="70">
        <v>8</v>
      </c>
      <c r="AJ142" s="31">
        <v>7</v>
      </c>
      <c r="AK142" s="31">
        <v>6</v>
      </c>
      <c r="AL142" s="31">
        <v>6</v>
      </c>
      <c r="AM142" s="31">
        <v>5</v>
      </c>
      <c r="AN142" s="31">
        <v>5</v>
      </c>
      <c r="AO142" s="31">
        <v>5</v>
      </c>
      <c r="AP142" s="31">
        <v>6</v>
      </c>
      <c r="AQ142" s="31">
        <v>7</v>
      </c>
      <c r="AR142" s="31">
        <v>7</v>
      </c>
      <c r="AS142" s="31">
        <v>6</v>
      </c>
      <c r="AT142" s="31">
        <v>4</v>
      </c>
      <c r="AU142" s="31">
        <v>3</v>
      </c>
      <c r="AV142" s="31">
        <v>6</v>
      </c>
      <c r="AW142" s="64">
        <v>8</v>
      </c>
      <c r="AX142" s="37">
        <v>7</v>
      </c>
      <c r="AY142" s="47">
        <v>6</v>
      </c>
      <c r="AZ142" s="47">
        <v>5</v>
      </c>
      <c r="BA142" s="47">
        <v>5</v>
      </c>
      <c r="BB142" s="47">
        <v>5</v>
      </c>
      <c r="BC142" s="47">
        <v>6</v>
      </c>
      <c r="BD142" s="47" t="s">
        <v>94</v>
      </c>
      <c r="BE142" s="47">
        <v>5</v>
      </c>
      <c r="BF142" s="47">
        <v>3</v>
      </c>
      <c r="BG142" s="47">
        <v>2</v>
      </c>
      <c r="BH142" s="47">
        <v>2</v>
      </c>
      <c r="BI142" s="47">
        <v>4</v>
      </c>
      <c r="BJ142" s="47">
        <v>6</v>
      </c>
      <c r="BK142" s="48" t="s">
        <v>94</v>
      </c>
    </row>
    <row r="143" spans="7:63">
      <c r="G143" s="84">
        <v>56</v>
      </c>
      <c r="H143" s="52">
        <v>7</v>
      </c>
      <c r="I143" s="53">
        <v>6</v>
      </c>
      <c r="J143" s="53">
        <v>6</v>
      </c>
      <c r="K143" s="53">
        <v>6</v>
      </c>
      <c r="L143" s="53">
        <v>6</v>
      </c>
      <c r="M143" s="53">
        <v>7</v>
      </c>
      <c r="N143" s="53">
        <v>7</v>
      </c>
      <c r="O143" s="53">
        <v>7</v>
      </c>
      <c r="P143" s="53">
        <v>6</v>
      </c>
      <c r="Q143" s="53">
        <v>5</v>
      </c>
      <c r="R143" s="53">
        <v>4</v>
      </c>
      <c r="S143" s="53">
        <v>5</v>
      </c>
      <c r="T143" s="53">
        <v>6</v>
      </c>
      <c r="U143" s="53">
        <v>8</v>
      </c>
      <c r="V143" s="68">
        <v>6</v>
      </c>
      <c r="W143" s="69">
        <v>5</v>
      </c>
      <c r="X143" s="69">
        <v>5</v>
      </c>
      <c r="Y143" s="69">
        <v>5</v>
      </c>
      <c r="Z143" s="69">
        <v>6</v>
      </c>
      <c r="AA143" s="69">
        <v>6</v>
      </c>
      <c r="AB143" s="69">
        <v>7</v>
      </c>
      <c r="AC143" s="69">
        <v>7</v>
      </c>
      <c r="AD143" s="69">
        <v>4</v>
      </c>
      <c r="AE143" s="69">
        <v>4</v>
      </c>
      <c r="AF143" s="69">
        <v>4</v>
      </c>
      <c r="AG143" s="69">
        <v>3</v>
      </c>
      <c r="AH143" s="69">
        <v>6</v>
      </c>
      <c r="AI143" s="70">
        <v>8</v>
      </c>
      <c r="AJ143" s="31">
        <v>7</v>
      </c>
      <c r="AK143" s="31">
        <v>6</v>
      </c>
      <c r="AL143" s="31">
        <v>6</v>
      </c>
      <c r="AM143" s="31">
        <v>6</v>
      </c>
      <c r="AN143" s="31">
        <v>6</v>
      </c>
      <c r="AO143" s="31">
        <v>6</v>
      </c>
      <c r="AP143" s="31">
        <v>6</v>
      </c>
      <c r="AQ143" s="31">
        <v>7</v>
      </c>
      <c r="AR143" s="31">
        <v>7</v>
      </c>
      <c r="AS143" s="31">
        <v>6</v>
      </c>
      <c r="AT143" s="31">
        <v>4</v>
      </c>
      <c r="AU143" s="31">
        <v>3</v>
      </c>
      <c r="AV143" s="31">
        <v>6</v>
      </c>
      <c r="AW143" s="64">
        <v>8</v>
      </c>
      <c r="AX143" s="37">
        <v>8</v>
      </c>
      <c r="AY143" s="47">
        <v>7</v>
      </c>
      <c r="AZ143" s="47">
        <v>6</v>
      </c>
      <c r="BA143" s="47">
        <v>5</v>
      </c>
      <c r="BB143" s="47">
        <v>6</v>
      </c>
      <c r="BC143" s="47">
        <v>7</v>
      </c>
      <c r="BD143" s="47" t="s">
        <v>94</v>
      </c>
      <c r="BE143" s="47">
        <v>5</v>
      </c>
      <c r="BF143" s="47">
        <v>4</v>
      </c>
      <c r="BG143" s="47">
        <v>3</v>
      </c>
      <c r="BH143" s="47">
        <v>3</v>
      </c>
      <c r="BI143" s="47">
        <v>4</v>
      </c>
      <c r="BJ143" s="47">
        <v>6</v>
      </c>
      <c r="BK143" s="48" t="s">
        <v>94</v>
      </c>
    </row>
    <row r="144" spans="7:63">
      <c r="G144" s="84">
        <v>57</v>
      </c>
      <c r="H144" s="52">
        <v>7</v>
      </c>
      <c r="I144" s="53">
        <v>7</v>
      </c>
      <c r="J144" s="53">
        <v>6</v>
      </c>
      <c r="K144" s="53">
        <v>6</v>
      </c>
      <c r="L144" s="53">
        <v>7</v>
      </c>
      <c r="M144" s="53">
        <v>7</v>
      </c>
      <c r="N144" s="53">
        <v>8</v>
      </c>
      <c r="O144" s="53">
        <v>7</v>
      </c>
      <c r="P144" s="53">
        <v>6</v>
      </c>
      <c r="Q144" s="53">
        <v>5</v>
      </c>
      <c r="R144" s="53">
        <v>4</v>
      </c>
      <c r="S144" s="53">
        <v>5</v>
      </c>
      <c r="T144" s="53">
        <v>7</v>
      </c>
      <c r="U144" s="53">
        <v>8</v>
      </c>
      <c r="V144" s="68">
        <v>6</v>
      </c>
      <c r="W144" s="69">
        <v>6</v>
      </c>
      <c r="X144" s="69">
        <v>6</v>
      </c>
      <c r="Y144" s="69">
        <v>6</v>
      </c>
      <c r="Z144" s="69">
        <v>6</v>
      </c>
      <c r="AA144" s="69">
        <v>6</v>
      </c>
      <c r="AB144" s="69">
        <v>7</v>
      </c>
      <c r="AC144" s="69">
        <v>7</v>
      </c>
      <c r="AD144" s="69">
        <v>4</v>
      </c>
      <c r="AE144" s="69">
        <v>4</v>
      </c>
      <c r="AF144" s="69">
        <v>4</v>
      </c>
      <c r="AG144" s="69">
        <v>4</v>
      </c>
      <c r="AH144" s="69">
        <v>6</v>
      </c>
      <c r="AI144" s="70">
        <v>8</v>
      </c>
      <c r="AJ144" s="31">
        <v>7</v>
      </c>
      <c r="AK144" s="31">
        <v>7</v>
      </c>
      <c r="AL144" s="31">
        <v>6</v>
      </c>
      <c r="AM144" s="31">
        <v>6</v>
      </c>
      <c r="AN144" s="31">
        <v>6</v>
      </c>
      <c r="AO144" s="31">
        <v>6</v>
      </c>
      <c r="AP144" s="31">
        <v>6</v>
      </c>
      <c r="AQ144" s="31">
        <v>7</v>
      </c>
      <c r="AR144" s="31">
        <v>7</v>
      </c>
      <c r="AS144" s="31">
        <v>6</v>
      </c>
      <c r="AT144" s="31">
        <v>5</v>
      </c>
      <c r="AU144" s="31">
        <v>4</v>
      </c>
      <c r="AV144" s="31">
        <v>6</v>
      </c>
      <c r="AW144" s="64">
        <v>9</v>
      </c>
      <c r="AX144" s="37">
        <v>8</v>
      </c>
      <c r="AY144" s="47">
        <v>7</v>
      </c>
      <c r="AZ144" s="47">
        <v>6</v>
      </c>
      <c r="BA144" s="47">
        <v>5</v>
      </c>
      <c r="BB144" s="47">
        <v>6</v>
      </c>
      <c r="BC144" s="47">
        <v>7</v>
      </c>
      <c r="BD144" s="47" t="s">
        <v>94</v>
      </c>
      <c r="BE144" s="47">
        <v>6</v>
      </c>
      <c r="BF144" s="47">
        <v>4</v>
      </c>
      <c r="BG144" s="47">
        <v>3</v>
      </c>
      <c r="BH144" s="47">
        <v>3</v>
      </c>
      <c r="BI144" s="47">
        <v>5</v>
      </c>
      <c r="BJ144" s="47">
        <v>6</v>
      </c>
      <c r="BK144" s="48" t="s">
        <v>94</v>
      </c>
    </row>
    <row r="145" spans="7:63">
      <c r="G145" s="84">
        <v>58</v>
      </c>
      <c r="H145" s="52">
        <v>7</v>
      </c>
      <c r="I145" s="53">
        <v>7</v>
      </c>
      <c r="J145" s="53">
        <v>7</v>
      </c>
      <c r="K145" s="53">
        <v>7</v>
      </c>
      <c r="L145" s="53">
        <v>7</v>
      </c>
      <c r="M145" s="53">
        <v>7</v>
      </c>
      <c r="N145" s="53">
        <v>8</v>
      </c>
      <c r="O145" s="53">
        <v>8</v>
      </c>
      <c r="P145" s="53">
        <v>7</v>
      </c>
      <c r="Q145" s="53">
        <v>5</v>
      </c>
      <c r="R145" s="53">
        <v>5</v>
      </c>
      <c r="S145" s="53">
        <v>5</v>
      </c>
      <c r="T145" s="53">
        <v>7</v>
      </c>
      <c r="U145" s="53">
        <v>8</v>
      </c>
      <c r="V145" s="68">
        <v>7</v>
      </c>
      <c r="W145" s="69">
        <v>6</v>
      </c>
      <c r="X145" s="69">
        <v>6</v>
      </c>
      <c r="Y145" s="69">
        <v>6</v>
      </c>
      <c r="Z145" s="69">
        <v>6</v>
      </c>
      <c r="AA145" s="69">
        <v>7</v>
      </c>
      <c r="AB145" s="69">
        <v>7</v>
      </c>
      <c r="AC145" s="69">
        <v>8</v>
      </c>
      <c r="AD145" s="69">
        <v>5</v>
      </c>
      <c r="AE145" s="69">
        <v>5</v>
      </c>
      <c r="AF145" s="69">
        <v>5</v>
      </c>
      <c r="AG145" s="69">
        <v>4</v>
      </c>
      <c r="AH145" s="69">
        <v>6</v>
      </c>
      <c r="AI145" s="70">
        <v>8</v>
      </c>
      <c r="AJ145" s="31">
        <v>8</v>
      </c>
      <c r="AK145" s="31">
        <v>7</v>
      </c>
      <c r="AL145" s="31">
        <v>7</v>
      </c>
      <c r="AM145" s="31">
        <v>6</v>
      </c>
      <c r="AN145" s="31">
        <v>6</v>
      </c>
      <c r="AO145" s="31">
        <v>6</v>
      </c>
      <c r="AP145" s="31">
        <v>7</v>
      </c>
      <c r="AQ145" s="31">
        <v>8</v>
      </c>
      <c r="AR145" s="31">
        <v>8</v>
      </c>
      <c r="AS145" s="31">
        <v>7</v>
      </c>
      <c r="AT145" s="31">
        <v>5</v>
      </c>
      <c r="AU145" s="31">
        <v>4</v>
      </c>
      <c r="AV145" s="31">
        <v>7</v>
      </c>
      <c r="AW145" s="64">
        <v>9</v>
      </c>
      <c r="AX145" s="37">
        <v>8</v>
      </c>
      <c r="AY145" s="47">
        <v>7</v>
      </c>
      <c r="AZ145" s="47">
        <v>6</v>
      </c>
      <c r="BA145" s="47">
        <v>6</v>
      </c>
      <c r="BB145" s="47">
        <v>6</v>
      </c>
      <c r="BC145" s="47">
        <v>7</v>
      </c>
      <c r="BD145" s="47" t="s">
        <v>94</v>
      </c>
      <c r="BE145" s="47">
        <v>6</v>
      </c>
      <c r="BF145" s="47">
        <v>5</v>
      </c>
      <c r="BG145" s="47">
        <v>4</v>
      </c>
      <c r="BH145" s="47">
        <v>4</v>
      </c>
      <c r="BI145" s="47">
        <v>5</v>
      </c>
      <c r="BJ145" s="47">
        <v>7</v>
      </c>
      <c r="BK145" s="48" t="s">
        <v>94</v>
      </c>
    </row>
    <row r="146" spans="7:63">
      <c r="G146" s="84">
        <v>59</v>
      </c>
      <c r="H146" s="52">
        <v>8</v>
      </c>
      <c r="I146" s="53">
        <v>7</v>
      </c>
      <c r="J146" s="53">
        <v>7</v>
      </c>
      <c r="K146" s="53">
        <v>7</v>
      </c>
      <c r="L146" s="53">
        <v>7</v>
      </c>
      <c r="M146" s="53">
        <v>8</v>
      </c>
      <c r="N146" s="53">
        <v>8</v>
      </c>
      <c r="O146" s="53">
        <v>8</v>
      </c>
      <c r="P146" s="53">
        <v>7</v>
      </c>
      <c r="Q146" s="53">
        <v>6</v>
      </c>
      <c r="R146" s="53">
        <v>5</v>
      </c>
      <c r="S146" s="53">
        <v>6</v>
      </c>
      <c r="T146" s="53">
        <v>7</v>
      </c>
      <c r="U146" s="53">
        <v>9</v>
      </c>
      <c r="V146" s="68">
        <v>7</v>
      </c>
      <c r="W146" s="69">
        <v>6</v>
      </c>
      <c r="X146" s="69">
        <v>6</v>
      </c>
      <c r="Y146" s="69">
        <v>6</v>
      </c>
      <c r="Z146" s="69">
        <v>6</v>
      </c>
      <c r="AA146" s="69">
        <v>7</v>
      </c>
      <c r="AB146" s="69">
        <v>7</v>
      </c>
      <c r="AC146" s="69">
        <v>8</v>
      </c>
      <c r="AD146" s="69">
        <v>5</v>
      </c>
      <c r="AE146" s="69">
        <v>5</v>
      </c>
      <c r="AF146" s="69">
        <v>5</v>
      </c>
      <c r="AG146" s="69">
        <v>5</v>
      </c>
      <c r="AH146" s="69">
        <v>7</v>
      </c>
      <c r="AI146" s="70">
        <v>9</v>
      </c>
      <c r="AJ146" s="31">
        <v>8</v>
      </c>
      <c r="AK146" s="31">
        <v>7</v>
      </c>
      <c r="AL146" s="31">
        <v>7</v>
      </c>
      <c r="AM146" s="31">
        <v>7</v>
      </c>
      <c r="AN146" s="31">
        <v>6</v>
      </c>
      <c r="AO146" s="31">
        <v>7</v>
      </c>
      <c r="AP146" s="31">
        <v>7</v>
      </c>
      <c r="AQ146" s="31">
        <v>8</v>
      </c>
      <c r="AR146" s="31">
        <v>8</v>
      </c>
      <c r="AS146" s="31">
        <v>7</v>
      </c>
      <c r="AT146" s="31">
        <v>5</v>
      </c>
      <c r="AU146" s="31">
        <v>4</v>
      </c>
      <c r="AV146" s="31">
        <v>7</v>
      </c>
      <c r="AW146" s="64">
        <v>9</v>
      </c>
      <c r="AX146" s="37">
        <v>8</v>
      </c>
      <c r="AY146" s="47">
        <v>7</v>
      </c>
      <c r="AZ146" s="47">
        <v>6</v>
      </c>
      <c r="BA146" s="47">
        <v>6</v>
      </c>
      <c r="BB146" s="47">
        <v>6</v>
      </c>
      <c r="BC146" s="47">
        <v>7</v>
      </c>
      <c r="BD146" s="47" t="s">
        <v>94</v>
      </c>
      <c r="BE146" s="47">
        <v>6</v>
      </c>
      <c r="BF146" s="47">
        <v>5</v>
      </c>
      <c r="BG146" s="47">
        <v>4</v>
      </c>
      <c r="BH146" s="47">
        <v>4</v>
      </c>
      <c r="BI146" s="47">
        <v>5</v>
      </c>
      <c r="BJ146" s="47">
        <v>7</v>
      </c>
      <c r="BK146" s="48" t="s">
        <v>94</v>
      </c>
    </row>
    <row r="147" spans="7:63">
      <c r="G147" s="84">
        <v>60</v>
      </c>
      <c r="H147" s="52">
        <v>8</v>
      </c>
      <c r="I147" s="53">
        <v>7</v>
      </c>
      <c r="J147" s="53">
        <v>7</v>
      </c>
      <c r="K147" s="53">
        <v>7</v>
      </c>
      <c r="L147" s="53">
        <v>7</v>
      </c>
      <c r="M147" s="53">
        <v>8</v>
      </c>
      <c r="N147" s="53">
        <v>8</v>
      </c>
      <c r="O147" s="53">
        <v>8</v>
      </c>
      <c r="P147" s="53">
        <v>7</v>
      </c>
      <c r="Q147" s="53">
        <v>6</v>
      </c>
      <c r="R147" s="53">
        <v>5</v>
      </c>
      <c r="S147" s="53">
        <v>6</v>
      </c>
      <c r="T147" s="53">
        <v>8</v>
      </c>
      <c r="U147" s="53">
        <v>9</v>
      </c>
      <c r="V147" s="68">
        <v>7</v>
      </c>
      <c r="W147" s="69">
        <v>7</v>
      </c>
      <c r="X147" s="69">
        <v>7</v>
      </c>
      <c r="Y147" s="69">
        <v>7</v>
      </c>
      <c r="Z147" s="69">
        <v>7</v>
      </c>
      <c r="AA147" s="69">
        <v>7</v>
      </c>
      <c r="AB147" s="69">
        <v>8</v>
      </c>
      <c r="AC147" s="69">
        <v>8</v>
      </c>
      <c r="AD147" s="69">
        <v>5</v>
      </c>
      <c r="AE147" s="69">
        <v>5</v>
      </c>
      <c r="AF147" s="69">
        <v>5</v>
      </c>
      <c r="AG147" s="69">
        <v>5</v>
      </c>
      <c r="AH147" s="69">
        <v>7</v>
      </c>
      <c r="AI147" s="70">
        <v>9</v>
      </c>
      <c r="AJ147" s="31">
        <v>8</v>
      </c>
      <c r="AK147" s="31">
        <v>8</v>
      </c>
      <c r="AL147" s="31">
        <v>7</v>
      </c>
      <c r="AM147" s="31">
        <v>7</v>
      </c>
      <c r="AN147" s="31">
        <v>7</v>
      </c>
      <c r="AO147" s="31">
        <v>7</v>
      </c>
      <c r="AP147" s="31">
        <v>7</v>
      </c>
      <c r="AQ147" s="31">
        <v>8</v>
      </c>
      <c r="AR147" s="31">
        <v>8</v>
      </c>
      <c r="AS147" s="31">
        <v>7</v>
      </c>
      <c r="AT147" s="31">
        <v>6</v>
      </c>
      <c r="AU147" s="31">
        <v>5</v>
      </c>
      <c r="AV147" s="31">
        <v>7</v>
      </c>
      <c r="AW147" s="64">
        <v>9</v>
      </c>
      <c r="AX147" s="37">
        <v>8</v>
      </c>
      <c r="AY147" s="47">
        <v>8</v>
      </c>
      <c r="AZ147" s="47">
        <v>7</v>
      </c>
      <c r="BA147" s="47">
        <v>6</v>
      </c>
      <c r="BB147" s="47">
        <v>7</v>
      </c>
      <c r="BC147" s="47">
        <v>8</v>
      </c>
      <c r="BD147" s="47" t="s">
        <v>94</v>
      </c>
      <c r="BE147" s="47">
        <v>7</v>
      </c>
      <c r="BF147" s="47">
        <v>6</v>
      </c>
      <c r="BG147" s="47">
        <v>5</v>
      </c>
      <c r="BH147" s="47">
        <v>5</v>
      </c>
      <c r="BI147" s="47">
        <v>6</v>
      </c>
      <c r="BJ147" s="47">
        <v>7</v>
      </c>
      <c r="BK147" s="48" t="s">
        <v>94</v>
      </c>
    </row>
    <row r="148" spans="7:63">
      <c r="G148" s="84">
        <v>61</v>
      </c>
      <c r="H148" s="52">
        <v>8</v>
      </c>
      <c r="I148" s="53">
        <v>8</v>
      </c>
      <c r="J148" s="53">
        <v>8</v>
      </c>
      <c r="K148" s="53">
        <v>8</v>
      </c>
      <c r="L148" s="53">
        <v>8</v>
      </c>
      <c r="M148" s="53">
        <v>8</v>
      </c>
      <c r="N148" s="53">
        <v>9</v>
      </c>
      <c r="O148" s="53">
        <v>8</v>
      </c>
      <c r="P148" s="53">
        <v>8</v>
      </c>
      <c r="Q148" s="53">
        <v>7</v>
      </c>
      <c r="R148" s="53">
        <v>6</v>
      </c>
      <c r="S148" s="53">
        <v>6</v>
      </c>
      <c r="T148" s="53">
        <v>8</v>
      </c>
      <c r="U148" s="53">
        <v>9</v>
      </c>
      <c r="V148" s="68">
        <v>8</v>
      </c>
      <c r="W148" s="69">
        <v>7</v>
      </c>
      <c r="X148" s="69">
        <v>7</v>
      </c>
      <c r="Y148" s="69">
        <v>7</v>
      </c>
      <c r="Z148" s="69">
        <v>7</v>
      </c>
      <c r="AA148" s="69">
        <v>7</v>
      </c>
      <c r="AB148" s="69">
        <v>8</v>
      </c>
      <c r="AC148" s="69">
        <v>8</v>
      </c>
      <c r="AD148" s="69">
        <v>6</v>
      </c>
      <c r="AE148" s="69">
        <v>6</v>
      </c>
      <c r="AF148" s="69">
        <v>6</v>
      </c>
      <c r="AG148" s="69">
        <v>6</v>
      </c>
      <c r="AH148" s="69">
        <v>7</v>
      </c>
      <c r="AI148" s="70">
        <v>9</v>
      </c>
      <c r="AJ148" s="31">
        <v>9</v>
      </c>
      <c r="AK148" s="31">
        <v>8</v>
      </c>
      <c r="AL148" s="31">
        <v>7</v>
      </c>
      <c r="AM148" s="31">
        <v>7</v>
      </c>
      <c r="AN148" s="31">
        <v>7</v>
      </c>
      <c r="AO148" s="31">
        <v>7</v>
      </c>
      <c r="AP148" s="31">
        <v>7</v>
      </c>
      <c r="AQ148" s="31">
        <v>9</v>
      </c>
      <c r="AR148" s="31">
        <v>8</v>
      </c>
      <c r="AS148" s="31">
        <v>7</v>
      </c>
      <c r="AT148" s="31">
        <v>6</v>
      </c>
      <c r="AU148" s="31">
        <v>5</v>
      </c>
      <c r="AV148" s="31">
        <v>8</v>
      </c>
      <c r="AW148" s="64">
        <v>9</v>
      </c>
      <c r="AX148" s="37">
        <v>9</v>
      </c>
      <c r="AY148" s="47">
        <v>8</v>
      </c>
      <c r="AZ148" s="47">
        <v>7</v>
      </c>
      <c r="BA148" s="47">
        <v>7</v>
      </c>
      <c r="BB148" s="47">
        <v>7</v>
      </c>
      <c r="BC148" s="47">
        <v>8</v>
      </c>
      <c r="BD148" s="47" t="s">
        <v>94</v>
      </c>
      <c r="BE148" s="47">
        <v>7</v>
      </c>
      <c r="BF148" s="47">
        <v>6</v>
      </c>
      <c r="BG148" s="47">
        <v>5</v>
      </c>
      <c r="BH148" s="47">
        <v>5</v>
      </c>
      <c r="BI148" s="47">
        <v>6</v>
      </c>
      <c r="BJ148" s="47">
        <v>8</v>
      </c>
      <c r="BK148" s="48" t="s">
        <v>94</v>
      </c>
    </row>
    <row r="149" spans="7:63">
      <c r="G149" s="84">
        <v>62</v>
      </c>
      <c r="H149" s="52">
        <v>9</v>
      </c>
      <c r="I149" s="53">
        <v>8</v>
      </c>
      <c r="J149" s="53">
        <v>8</v>
      </c>
      <c r="K149" s="53">
        <v>8</v>
      </c>
      <c r="L149" s="53">
        <v>8</v>
      </c>
      <c r="M149" s="53">
        <v>8</v>
      </c>
      <c r="N149" s="53">
        <v>9</v>
      </c>
      <c r="O149" s="53">
        <v>9</v>
      </c>
      <c r="P149" s="53">
        <v>8</v>
      </c>
      <c r="Q149" s="53">
        <v>7</v>
      </c>
      <c r="R149" s="53">
        <v>6</v>
      </c>
      <c r="S149" s="53">
        <v>7</v>
      </c>
      <c r="T149" s="53">
        <v>8</v>
      </c>
      <c r="U149" s="53">
        <v>9</v>
      </c>
      <c r="V149" s="68">
        <v>8</v>
      </c>
      <c r="W149" s="69">
        <v>8</v>
      </c>
      <c r="X149" s="69">
        <v>7</v>
      </c>
      <c r="Y149" s="69">
        <v>7</v>
      </c>
      <c r="Z149" s="69">
        <v>7</v>
      </c>
      <c r="AA149" s="69">
        <v>8</v>
      </c>
      <c r="AB149" s="69">
        <v>8</v>
      </c>
      <c r="AC149" s="69">
        <v>9</v>
      </c>
      <c r="AD149" s="69">
        <v>6</v>
      </c>
      <c r="AE149" s="69">
        <v>6</v>
      </c>
      <c r="AF149" s="69">
        <v>6</v>
      </c>
      <c r="AG149" s="69">
        <v>6</v>
      </c>
      <c r="AH149" s="69">
        <v>8</v>
      </c>
      <c r="AI149" s="70">
        <v>9</v>
      </c>
      <c r="AJ149" s="31">
        <v>9</v>
      </c>
      <c r="AK149" s="31">
        <v>8</v>
      </c>
      <c r="AL149" s="31">
        <v>8</v>
      </c>
      <c r="AM149" s="31">
        <v>7</v>
      </c>
      <c r="AN149" s="31">
        <v>7</v>
      </c>
      <c r="AO149" s="31">
        <v>7</v>
      </c>
      <c r="AP149" s="31">
        <v>8</v>
      </c>
      <c r="AQ149" s="31">
        <v>9</v>
      </c>
      <c r="AR149" s="31">
        <v>8</v>
      </c>
      <c r="AS149" s="31">
        <v>8</v>
      </c>
      <c r="AT149" s="31">
        <v>6</v>
      </c>
      <c r="AU149" s="31">
        <v>6</v>
      </c>
      <c r="AV149" s="31">
        <v>8</v>
      </c>
      <c r="AW149" s="64">
        <v>9</v>
      </c>
      <c r="AX149" s="37">
        <v>9</v>
      </c>
      <c r="AY149" s="47">
        <v>8</v>
      </c>
      <c r="AZ149" s="47">
        <v>7</v>
      </c>
      <c r="BA149" s="47">
        <v>7</v>
      </c>
      <c r="BB149" s="47">
        <v>7</v>
      </c>
      <c r="BC149" s="47">
        <v>8</v>
      </c>
      <c r="BD149" s="47" t="s">
        <v>94</v>
      </c>
      <c r="BE149" s="47">
        <v>7</v>
      </c>
      <c r="BF149" s="47">
        <v>6</v>
      </c>
      <c r="BG149" s="47">
        <v>6</v>
      </c>
      <c r="BH149" s="47">
        <v>6</v>
      </c>
      <c r="BI149" s="47">
        <v>7</v>
      </c>
      <c r="BJ149" s="47">
        <v>8</v>
      </c>
      <c r="BK149" s="48" t="s">
        <v>94</v>
      </c>
    </row>
    <row r="150" spans="7:63">
      <c r="G150" s="84">
        <v>63</v>
      </c>
      <c r="H150" s="52">
        <v>9</v>
      </c>
      <c r="I150" s="53">
        <v>8</v>
      </c>
      <c r="J150" s="53">
        <v>8</v>
      </c>
      <c r="K150" s="53">
        <v>8</v>
      </c>
      <c r="L150" s="53">
        <v>8</v>
      </c>
      <c r="M150" s="53">
        <v>9</v>
      </c>
      <c r="N150" s="53">
        <v>9</v>
      </c>
      <c r="O150" s="53">
        <v>9</v>
      </c>
      <c r="P150" s="53">
        <v>8</v>
      </c>
      <c r="Q150" s="53">
        <v>7</v>
      </c>
      <c r="R150" s="53">
        <v>7</v>
      </c>
      <c r="S150" s="53">
        <v>7</v>
      </c>
      <c r="T150" s="53">
        <v>8</v>
      </c>
      <c r="U150" s="53">
        <v>9</v>
      </c>
      <c r="V150" s="68">
        <v>8</v>
      </c>
      <c r="W150" s="69">
        <v>8</v>
      </c>
      <c r="X150" s="69">
        <v>8</v>
      </c>
      <c r="Y150" s="69">
        <v>8</v>
      </c>
      <c r="Z150" s="69">
        <v>8</v>
      </c>
      <c r="AA150" s="69">
        <v>8</v>
      </c>
      <c r="AB150" s="69">
        <v>8</v>
      </c>
      <c r="AC150" s="69">
        <v>9</v>
      </c>
      <c r="AD150" s="69">
        <v>7</v>
      </c>
      <c r="AE150" s="69">
        <v>7</v>
      </c>
      <c r="AF150" s="69">
        <v>7</v>
      </c>
      <c r="AG150" s="69">
        <v>6</v>
      </c>
      <c r="AH150" s="69">
        <v>8</v>
      </c>
      <c r="AI150" s="70">
        <v>9</v>
      </c>
      <c r="AJ150" s="31">
        <v>9</v>
      </c>
      <c r="AK150" s="31">
        <v>9</v>
      </c>
      <c r="AL150" s="31">
        <v>8</v>
      </c>
      <c r="AM150" s="31">
        <v>8</v>
      </c>
      <c r="AN150" s="31">
        <v>8</v>
      </c>
      <c r="AO150" s="31">
        <v>8</v>
      </c>
      <c r="AP150" s="31">
        <v>8</v>
      </c>
      <c r="AQ150" s="31">
        <v>9</v>
      </c>
      <c r="AR150" s="31">
        <v>9</v>
      </c>
      <c r="AS150" s="31">
        <v>8</v>
      </c>
      <c r="AT150" s="31">
        <v>7</v>
      </c>
      <c r="AU150" s="31">
        <v>6</v>
      </c>
      <c r="AV150" s="31">
        <v>8</v>
      </c>
      <c r="AW150" s="64">
        <v>9</v>
      </c>
      <c r="AX150" s="37">
        <v>9</v>
      </c>
      <c r="AY150" s="47">
        <v>8</v>
      </c>
      <c r="AZ150" s="47">
        <v>8</v>
      </c>
      <c r="BA150" s="47">
        <v>7</v>
      </c>
      <c r="BB150" s="47">
        <v>8</v>
      </c>
      <c r="BC150" s="47">
        <v>8</v>
      </c>
      <c r="BD150" s="47" t="s">
        <v>94</v>
      </c>
      <c r="BE150" s="47">
        <v>8</v>
      </c>
      <c r="BF150" s="47">
        <v>7</v>
      </c>
      <c r="BG150" s="47">
        <v>6</v>
      </c>
      <c r="BH150" s="47">
        <v>6</v>
      </c>
      <c r="BI150" s="47">
        <v>7</v>
      </c>
      <c r="BJ150" s="47">
        <v>8</v>
      </c>
      <c r="BK150" s="48" t="s">
        <v>94</v>
      </c>
    </row>
    <row r="151" spans="7:63">
      <c r="G151" s="84">
        <v>64</v>
      </c>
      <c r="H151" s="52">
        <v>9</v>
      </c>
      <c r="I151" s="53">
        <v>9</v>
      </c>
      <c r="J151" s="53">
        <v>8</v>
      </c>
      <c r="K151" s="53">
        <v>8</v>
      </c>
      <c r="L151" s="53">
        <v>8</v>
      </c>
      <c r="M151" s="53">
        <v>9</v>
      </c>
      <c r="N151" s="53">
        <v>9</v>
      </c>
      <c r="O151" s="53">
        <v>9</v>
      </c>
      <c r="P151" s="53">
        <v>8</v>
      </c>
      <c r="Q151" s="53">
        <v>8</v>
      </c>
      <c r="R151" s="53">
        <v>7</v>
      </c>
      <c r="S151" s="53">
        <v>8</v>
      </c>
      <c r="T151" s="53">
        <v>9</v>
      </c>
      <c r="U151" s="53">
        <v>9</v>
      </c>
      <c r="V151" s="68">
        <v>9</v>
      </c>
      <c r="W151" s="69">
        <v>8</v>
      </c>
      <c r="X151" s="69">
        <v>8</v>
      </c>
      <c r="Y151" s="69">
        <v>8</v>
      </c>
      <c r="Z151" s="69">
        <v>8</v>
      </c>
      <c r="AA151" s="69">
        <v>8</v>
      </c>
      <c r="AB151" s="69">
        <v>9</v>
      </c>
      <c r="AC151" s="69">
        <v>9</v>
      </c>
      <c r="AD151" s="69">
        <v>7</v>
      </c>
      <c r="AE151" s="69">
        <v>7</v>
      </c>
      <c r="AF151" s="69">
        <v>7</v>
      </c>
      <c r="AG151" s="69">
        <v>7</v>
      </c>
      <c r="AH151" s="69">
        <v>8</v>
      </c>
      <c r="AI151" s="70">
        <v>9</v>
      </c>
      <c r="AJ151" s="31">
        <v>9</v>
      </c>
      <c r="AK151" s="31">
        <v>9</v>
      </c>
      <c r="AL151" s="31">
        <v>8</v>
      </c>
      <c r="AM151" s="31">
        <v>8</v>
      </c>
      <c r="AN151" s="31">
        <v>8</v>
      </c>
      <c r="AO151" s="31">
        <v>8</v>
      </c>
      <c r="AP151" s="31">
        <v>8</v>
      </c>
      <c r="AQ151" s="31">
        <v>9</v>
      </c>
      <c r="AR151" s="31">
        <v>9</v>
      </c>
      <c r="AS151" s="31">
        <v>8</v>
      </c>
      <c r="AT151" s="31">
        <v>7</v>
      </c>
      <c r="AU151" s="31">
        <v>7</v>
      </c>
      <c r="AV151" s="31">
        <v>8</v>
      </c>
      <c r="AW151" s="64">
        <v>9</v>
      </c>
      <c r="AX151" s="37">
        <v>9</v>
      </c>
      <c r="AY151" s="47">
        <v>9</v>
      </c>
      <c r="AZ151" s="47">
        <v>8</v>
      </c>
      <c r="BA151" s="47">
        <v>8</v>
      </c>
      <c r="BB151" s="47">
        <v>8</v>
      </c>
      <c r="BC151" s="47">
        <v>8</v>
      </c>
      <c r="BD151" s="47" t="s">
        <v>94</v>
      </c>
      <c r="BE151" s="47">
        <v>8</v>
      </c>
      <c r="BF151" s="47">
        <v>7</v>
      </c>
      <c r="BG151" s="47">
        <v>7</v>
      </c>
      <c r="BH151" s="47">
        <v>6</v>
      </c>
      <c r="BI151" s="47">
        <v>7</v>
      </c>
      <c r="BJ151" s="47">
        <v>8</v>
      </c>
      <c r="BK151" s="48" t="s">
        <v>94</v>
      </c>
    </row>
    <row r="152" spans="7:63">
      <c r="G152" s="84">
        <v>65</v>
      </c>
      <c r="H152" s="52">
        <v>9</v>
      </c>
      <c r="I152" s="53">
        <v>9</v>
      </c>
      <c r="J152" s="53">
        <v>9</v>
      </c>
      <c r="K152" s="53">
        <v>9</v>
      </c>
      <c r="L152" s="53">
        <v>9</v>
      </c>
      <c r="M152" s="53">
        <v>9</v>
      </c>
      <c r="N152" s="53">
        <v>10</v>
      </c>
      <c r="O152" s="53">
        <v>9</v>
      </c>
      <c r="P152" s="53">
        <v>9</v>
      </c>
      <c r="Q152" s="53">
        <v>8</v>
      </c>
      <c r="R152" s="53">
        <v>7</v>
      </c>
      <c r="S152" s="53">
        <v>8</v>
      </c>
      <c r="T152" s="53">
        <v>9</v>
      </c>
      <c r="U152" s="53">
        <v>10</v>
      </c>
      <c r="V152" s="68">
        <v>9</v>
      </c>
      <c r="W152" s="69">
        <v>9</v>
      </c>
      <c r="X152" s="69">
        <v>8</v>
      </c>
      <c r="Y152" s="69">
        <v>8</v>
      </c>
      <c r="Z152" s="69">
        <v>8</v>
      </c>
      <c r="AA152" s="69">
        <v>8</v>
      </c>
      <c r="AB152" s="69">
        <v>9</v>
      </c>
      <c r="AC152" s="69">
        <v>9</v>
      </c>
      <c r="AD152" s="69">
        <v>8</v>
      </c>
      <c r="AE152" s="69">
        <v>7</v>
      </c>
      <c r="AF152" s="69">
        <v>7</v>
      </c>
      <c r="AG152" s="69">
        <v>7</v>
      </c>
      <c r="AH152" s="69">
        <v>8</v>
      </c>
      <c r="AI152" s="70">
        <v>9</v>
      </c>
      <c r="AJ152" s="31">
        <v>10</v>
      </c>
      <c r="AK152" s="31">
        <v>9</v>
      </c>
      <c r="AL152" s="31">
        <v>9</v>
      </c>
      <c r="AM152" s="31">
        <v>8</v>
      </c>
      <c r="AN152" s="31">
        <v>8</v>
      </c>
      <c r="AO152" s="31">
        <v>8</v>
      </c>
      <c r="AP152" s="31">
        <v>9</v>
      </c>
      <c r="AQ152" s="31">
        <v>10</v>
      </c>
      <c r="AR152" s="31">
        <v>9</v>
      </c>
      <c r="AS152" s="31">
        <v>9</v>
      </c>
      <c r="AT152" s="31">
        <v>8</v>
      </c>
      <c r="AU152" s="31">
        <v>7</v>
      </c>
      <c r="AV152" s="31">
        <v>9</v>
      </c>
      <c r="AW152" s="64">
        <v>9</v>
      </c>
      <c r="AX152" s="37">
        <v>9</v>
      </c>
      <c r="AY152" s="47">
        <v>9</v>
      </c>
      <c r="AZ152" s="47">
        <v>8</v>
      </c>
      <c r="BA152" s="47">
        <v>8</v>
      </c>
      <c r="BB152" s="47">
        <v>8</v>
      </c>
      <c r="BC152" s="47">
        <v>9</v>
      </c>
      <c r="BD152" s="47" t="s">
        <v>94</v>
      </c>
      <c r="BE152" s="47">
        <v>8</v>
      </c>
      <c r="BF152" s="47">
        <v>8</v>
      </c>
      <c r="BG152" s="47">
        <v>7</v>
      </c>
      <c r="BH152" s="47">
        <v>7</v>
      </c>
      <c r="BI152" s="47">
        <v>8</v>
      </c>
      <c r="BJ152" s="47">
        <v>9</v>
      </c>
      <c r="BK152" s="48" t="s">
        <v>94</v>
      </c>
    </row>
    <row r="153" spans="7:63">
      <c r="G153" s="84">
        <v>66</v>
      </c>
      <c r="H153" s="52">
        <v>10</v>
      </c>
      <c r="I153" s="53">
        <v>9</v>
      </c>
      <c r="J153" s="53">
        <v>9</v>
      </c>
      <c r="K153" s="53">
        <v>9</v>
      </c>
      <c r="L153" s="53">
        <v>9</v>
      </c>
      <c r="M153" s="53">
        <v>9</v>
      </c>
      <c r="N153" s="53">
        <v>10</v>
      </c>
      <c r="O153" s="53">
        <v>10</v>
      </c>
      <c r="P153" s="53">
        <v>9</v>
      </c>
      <c r="Q153" s="53">
        <v>8</v>
      </c>
      <c r="R153" s="53">
        <v>8</v>
      </c>
      <c r="S153" s="53">
        <v>8</v>
      </c>
      <c r="T153" s="53">
        <v>9</v>
      </c>
      <c r="U153" s="53">
        <v>10</v>
      </c>
      <c r="V153" s="68">
        <v>9</v>
      </c>
      <c r="W153" s="69">
        <v>9</v>
      </c>
      <c r="X153" s="69">
        <v>9</v>
      </c>
      <c r="Y153" s="69">
        <v>9</v>
      </c>
      <c r="Z153" s="69">
        <v>9</v>
      </c>
      <c r="AA153" s="69">
        <v>9</v>
      </c>
      <c r="AB153" s="69">
        <v>9</v>
      </c>
      <c r="AC153" s="69">
        <v>10</v>
      </c>
      <c r="AD153" s="69">
        <v>8</v>
      </c>
      <c r="AE153" s="69">
        <v>8</v>
      </c>
      <c r="AF153" s="69">
        <v>8</v>
      </c>
      <c r="AG153" s="69">
        <v>8</v>
      </c>
      <c r="AH153" s="69">
        <v>9</v>
      </c>
      <c r="AI153" s="70">
        <v>10</v>
      </c>
      <c r="AJ153" s="31">
        <v>10</v>
      </c>
      <c r="AK153" s="31">
        <v>9</v>
      </c>
      <c r="AL153" s="31">
        <v>9</v>
      </c>
      <c r="AM153" s="31">
        <v>9</v>
      </c>
      <c r="AN153" s="31">
        <v>9</v>
      </c>
      <c r="AO153" s="31">
        <v>9</v>
      </c>
      <c r="AP153" s="31">
        <v>9</v>
      </c>
      <c r="AQ153" s="31">
        <v>10</v>
      </c>
      <c r="AR153" s="31">
        <v>9</v>
      </c>
      <c r="AS153" s="31">
        <v>9</v>
      </c>
      <c r="AT153" s="31">
        <v>8</v>
      </c>
      <c r="AU153" s="31">
        <v>8</v>
      </c>
      <c r="AV153" s="31">
        <v>9</v>
      </c>
      <c r="AW153" s="64">
        <v>10</v>
      </c>
      <c r="AX153" s="37">
        <v>9</v>
      </c>
      <c r="AY153" s="47">
        <v>9</v>
      </c>
      <c r="AZ153" s="47">
        <v>9</v>
      </c>
      <c r="BA153" s="47">
        <v>8</v>
      </c>
      <c r="BB153" s="47">
        <v>9</v>
      </c>
      <c r="BC153" s="47">
        <v>9</v>
      </c>
      <c r="BD153" s="47" t="s">
        <v>94</v>
      </c>
      <c r="BE153" s="47">
        <v>9</v>
      </c>
      <c r="BF153" s="47">
        <v>8</v>
      </c>
      <c r="BG153" s="47">
        <v>8</v>
      </c>
      <c r="BH153" s="47">
        <v>7</v>
      </c>
      <c r="BI153" s="47">
        <v>8</v>
      </c>
      <c r="BJ153" s="47">
        <v>9</v>
      </c>
      <c r="BK153" s="48" t="s">
        <v>94</v>
      </c>
    </row>
    <row r="154" spans="7:63">
      <c r="G154" s="84">
        <v>67</v>
      </c>
      <c r="H154" s="52">
        <v>10</v>
      </c>
      <c r="I154" s="53">
        <v>9</v>
      </c>
      <c r="J154" s="53">
        <v>9</v>
      </c>
      <c r="K154" s="53">
        <v>9</v>
      </c>
      <c r="L154" s="53">
        <v>9</v>
      </c>
      <c r="M154" s="53">
        <v>10</v>
      </c>
      <c r="N154" s="53">
        <v>10</v>
      </c>
      <c r="O154" s="53">
        <v>10</v>
      </c>
      <c r="P154" s="53">
        <v>9</v>
      </c>
      <c r="Q154" s="53">
        <v>9</v>
      </c>
      <c r="R154" s="53">
        <v>8</v>
      </c>
      <c r="S154" s="53">
        <v>9</v>
      </c>
      <c r="T154" s="53">
        <v>9</v>
      </c>
      <c r="U154" s="53">
        <v>10</v>
      </c>
      <c r="V154" s="68">
        <v>10</v>
      </c>
      <c r="W154" s="69">
        <v>9</v>
      </c>
      <c r="X154" s="69">
        <v>9</v>
      </c>
      <c r="Y154" s="69">
        <v>9</v>
      </c>
      <c r="Z154" s="69">
        <v>9</v>
      </c>
      <c r="AA154" s="69">
        <v>9</v>
      </c>
      <c r="AB154" s="69">
        <v>9</v>
      </c>
      <c r="AC154" s="69">
        <v>10</v>
      </c>
      <c r="AD154" s="69">
        <v>9</v>
      </c>
      <c r="AE154" s="69">
        <v>8</v>
      </c>
      <c r="AF154" s="69">
        <v>8</v>
      </c>
      <c r="AG154" s="69">
        <v>8</v>
      </c>
      <c r="AH154" s="69">
        <v>9</v>
      </c>
      <c r="AI154" s="70">
        <v>10</v>
      </c>
      <c r="AJ154" s="31">
        <v>11</v>
      </c>
      <c r="AK154" s="31">
        <v>10</v>
      </c>
      <c r="AL154" s="31">
        <v>9</v>
      </c>
      <c r="AM154" s="31">
        <v>9</v>
      </c>
      <c r="AN154" s="31">
        <v>9</v>
      </c>
      <c r="AO154" s="31">
        <v>9</v>
      </c>
      <c r="AP154" s="31">
        <v>9</v>
      </c>
      <c r="AQ154" s="31">
        <v>11</v>
      </c>
      <c r="AR154" s="31">
        <v>10</v>
      </c>
      <c r="AS154" s="31">
        <v>9</v>
      </c>
      <c r="AT154" s="31">
        <v>8</v>
      </c>
      <c r="AU154" s="31">
        <v>8</v>
      </c>
      <c r="AV154" s="31">
        <v>9</v>
      </c>
      <c r="AW154" s="64">
        <v>10</v>
      </c>
      <c r="AX154" s="37">
        <v>10</v>
      </c>
      <c r="AY154" s="47">
        <v>9</v>
      </c>
      <c r="AZ154" s="47">
        <v>9</v>
      </c>
      <c r="BA154" s="47">
        <v>9</v>
      </c>
      <c r="BB154" s="47">
        <v>9</v>
      </c>
      <c r="BC154" s="47">
        <v>9</v>
      </c>
      <c r="BD154" s="47" t="s">
        <v>94</v>
      </c>
      <c r="BE154" s="47">
        <v>9</v>
      </c>
      <c r="BF154" s="47">
        <v>9</v>
      </c>
      <c r="BG154" s="47">
        <v>8</v>
      </c>
      <c r="BH154" s="47">
        <v>8</v>
      </c>
      <c r="BI154" s="47">
        <v>8</v>
      </c>
      <c r="BJ154" s="47">
        <v>9</v>
      </c>
      <c r="BK154" s="48" t="s">
        <v>94</v>
      </c>
    </row>
    <row r="155" spans="7:63">
      <c r="G155" s="84">
        <v>68</v>
      </c>
      <c r="H155" s="52">
        <v>11</v>
      </c>
      <c r="I155" s="53">
        <v>10</v>
      </c>
      <c r="J155" s="53">
        <v>9</v>
      </c>
      <c r="K155" s="53">
        <v>9</v>
      </c>
      <c r="L155" s="53">
        <v>9</v>
      </c>
      <c r="M155" s="53">
        <v>10</v>
      </c>
      <c r="N155" s="53">
        <v>11</v>
      </c>
      <c r="O155" s="53">
        <v>10</v>
      </c>
      <c r="P155" s="53">
        <v>10</v>
      </c>
      <c r="Q155" s="53">
        <v>9</v>
      </c>
      <c r="R155" s="53">
        <v>9</v>
      </c>
      <c r="S155" s="53">
        <v>9</v>
      </c>
      <c r="T155" s="53">
        <v>10</v>
      </c>
      <c r="U155" s="53">
        <v>10</v>
      </c>
      <c r="V155" s="68">
        <v>10</v>
      </c>
      <c r="W155" s="69">
        <v>10</v>
      </c>
      <c r="X155" s="69">
        <v>9</v>
      </c>
      <c r="Y155" s="69">
        <v>9</v>
      </c>
      <c r="Z155" s="69">
        <v>9</v>
      </c>
      <c r="AA155" s="69">
        <v>9</v>
      </c>
      <c r="AB155" s="69">
        <v>9</v>
      </c>
      <c r="AC155" s="69">
        <v>10</v>
      </c>
      <c r="AD155" s="69">
        <v>9</v>
      </c>
      <c r="AE155" s="69">
        <v>9</v>
      </c>
      <c r="AF155" s="69">
        <v>9</v>
      </c>
      <c r="AG155" s="69">
        <v>9</v>
      </c>
      <c r="AH155" s="69">
        <v>9</v>
      </c>
      <c r="AI155" s="70">
        <v>10</v>
      </c>
      <c r="AJ155" s="31">
        <v>11</v>
      </c>
      <c r="AK155" s="31">
        <v>10</v>
      </c>
      <c r="AL155" s="31">
        <v>10</v>
      </c>
      <c r="AM155" s="31">
        <v>9</v>
      </c>
      <c r="AN155" s="31">
        <v>9</v>
      </c>
      <c r="AO155" s="31">
        <v>9</v>
      </c>
      <c r="AP155" s="31">
        <v>9</v>
      </c>
      <c r="AQ155" s="31">
        <v>11</v>
      </c>
      <c r="AR155" s="31">
        <v>10</v>
      </c>
      <c r="AS155" s="31">
        <v>9</v>
      </c>
      <c r="AT155" s="31">
        <v>9</v>
      </c>
      <c r="AU155" s="31">
        <v>9</v>
      </c>
      <c r="AV155" s="31">
        <v>9</v>
      </c>
      <c r="AW155" s="64">
        <v>10</v>
      </c>
      <c r="AX155" s="37">
        <v>10</v>
      </c>
      <c r="AY155" s="47">
        <v>10</v>
      </c>
      <c r="AZ155" s="47">
        <v>9</v>
      </c>
      <c r="BA155" s="47">
        <v>9</v>
      </c>
      <c r="BB155" s="47">
        <v>9</v>
      </c>
      <c r="BC155" s="47">
        <v>9</v>
      </c>
      <c r="BD155" s="47" t="s">
        <v>94</v>
      </c>
      <c r="BE155" s="47">
        <v>9</v>
      </c>
      <c r="BF155" s="47">
        <v>9</v>
      </c>
      <c r="BG155" s="47">
        <v>9</v>
      </c>
      <c r="BH155" s="47">
        <v>8</v>
      </c>
      <c r="BI155" s="47">
        <v>9</v>
      </c>
      <c r="BJ155" s="47">
        <v>9</v>
      </c>
      <c r="BK155" s="48" t="s">
        <v>94</v>
      </c>
    </row>
    <row r="156" spans="7:63">
      <c r="G156" s="84">
        <v>69</v>
      </c>
      <c r="H156" s="52">
        <v>11</v>
      </c>
      <c r="I156" s="53">
        <v>10</v>
      </c>
      <c r="J156" s="53">
        <v>10</v>
      </c>
      <c r="K156" s="53">
        <v>10</v>
      </c>
      <c r="L156" s="53">
        <v>10</v>
      </c>
      <c r="M156" s="53">
        <v>10</v>
      </c>
      <c r="N156" s="53">
        <v>11</v>
      </c>
      <c r="O156" s="53">
        <v>11</v>
      </c>
      <c r="P156" s="53">
        <v>10</v>
      </c>
      <c r="Q156" s="53">
        <v>9</v>
      </c>
      <c r="R156" s="53">
        <v>9</v>
      </c>
      <c r="S156" s="53">
        <v>9</v>
      </c>
      <c r="T156" s="53">
        <v>10</v>
      </c>
      <c r="U156" s="53">
        <v>11</v>
      </c>
      <c r="V156" s="68">
        <v>11</v>
      </c>
      <c r="W156" s="69">
        <v>10</v>
      </c>
      <c r="X156" s="69">
        <v>10</v>
      </c>
      <c r="Y156" s="69">
        <v>10</v>
      </c>
      <c r="Z156" s="69">
        <v>10</v>
      </c>
      <c r="AA156" s="69">
        <v>10</v>
      </c>
      <c r="AB156" s="69">
        <v>10</v>
      </c>
      <c r="AC156" s="69">
        <v>11</v>
      </c>
      <c r="AD156" s="69">
        <v>10</v>
      </c>
      <c r="AE156" s="69">
        <v>9</v>
      </c>
      <c r="AF156" s="69">
        <v>9</v>
      </c>
      <c r="AG156" s="69">
        <v>9</v>
      </c>
      <c r="AH156" s="69">
        <v>10</v>
      </c>
      <c r="AI156" s="70">
        <v>10</v>
      </c>
      <c r="AJ156" s="31">
        <v>12</v>
      </c>
      <c r="AK156" s="31">
        <v>11</v>
      </c>
      <c r="AL156" s="31">
        <v>10</v>
      </c>
      <c r="AM156" s="31">
        <v>10</v>
      </c>
      <c r="AN156" s="31">
        <v>10</v>
      </c>
      <c r="AO156" s="31">
        <v>10</v>
      </c>
      <c r="AP156" s="31">
        <v>10</v>
      </c>
      <c r="AQ156" s="31">
        <v>12</v>
      </c>
      <c r="AR156" s="31">
        <v>10</v>
      </c>
      <c r="AS156" s="31">
        <v>10</v>
      </c>
      <c r="AT156" s="31">
        <v>9</v>
      </c>
      <c r="AU156" s="31">
        <v>9</v>
      </c>
      <c r="AV156" s="31">
        <v>10</v>
      </c>
      <c r="AW156" s="64">
        <v>10</v>
      </c>
      <c r="AX156" s="37">
        <v>10</v>
      </c>
      <c r="AY156" s="47">
        <v>10</v>
      </c>
      <c r="AZ156" s="47">
        <v>10</v>
      </c>
      <c r="BA156" s="47">
        <v>9</v>
      </c>
      <c r="BB156" s="47">
        <v>9</v>
      </c>
      <c r="BC156" s="47">
        <v>10</v>
      </c>
      <c r="BD156" s="47" t="s">
        <v>94</v>
      </c>
      <c r="BE156" s="47">
        <v>10</v>
      </c>
      <c r="BF156" s="47">
        <v>9</v>
      </c>
      <c r="BG156" s="47">
        <v>9</v>
      </c>
      <c r="BH156" s="47">
        <v>9</v>
      </c>
      <c r="BI156" s="47">
        <v>9</v>
      </c>
      <c r="BJ156" s="47">
        <v>10</v>
      </c>
      <c r="BK156" s="48" t="s">
        <v>94</v>
      </c>
    </row>
    <row r="157" spans="7:63">
      <c r="G157" s="84">
        <v>70</v>
      </c>
      <c r="H157" s="52">
        <v>12</v>
      </c>
      <c r="I157" s="53">
        <v>11</v>
      </c>
      <c r="J157" s="53">
        <v>10</v>
      </c>
      <c r="K157" s="53">
        <v>10</v>
      </c>
      <c r="L157" s="53">
        <v>10</v>
      </c>
      <c r="M157" s="53">
        <v>11</v>
      </c>
      <c r="N157" s="53">
        <v>12</v>
      </c>
      <c r="O157" s="53">
        <v>12</v>
      </c>
      <c r="P157" s="53">
        <v>10</v>
      </c>
      <c r="Q157" s="53">
        <v>10</v>
      </c>
      <c r="R157" s="53">
        <v>10</v>
      </c>
      <c r="S157" s="53">
        <v>10</v>
      </c>
      <c r="T157" s="53">
        <v>10</v>
      </c>
      <c r="U157" s="53">
        <v>11</v>
      </c>
      <c r="V157" s="68">
        <v>12</v>
      </c>
      <c r="W157" s="69">
        <v>11</v>
      </c>
      <c r="X157" s="69">
        <v>10</v>
      </c>
      <c r="Y157" s="69">
        <v>10</v>
      </c>
      <c r="Z157" s="69">
        <v>10</v>
      </c>
      <c r="AA157" s="69">
        <v>10</v>
      </c>
      <c r="AB157" s="69">
        <v>10</v>
      </c>
      <c r="AC157" s="69">
        <v>11</v>
      </c>
      <c r="AD157" s="69">
        <v>10</v>
      </c>
      <c r="AE157" s="69">
        <v>10</v>
      </c>
      <c r="AF157" s="69">
        <v>9</v>
      </c>
      <c r="AG157" s="69">
        <v>9</v>
      </c>
      <c r="AH157" s="69">
        <v>10</v>
      </c>
      <c r="AI157" s="70">
        <v>11</v>
      </c>
      <c r="AJ157" s="31">
        <v>12</v>
      </c>
      <c r="AK157" s="31">
        <v>12</v>
      </c>
      <c r="AL157" s="31">
        <v>11</v>
      </c>
      <c r="AM157" s="31">
        <v>10</v>
      </c>
      <c r="AN157" s="31">
        <v>10</v>
      </c>
      <c r="AO157" s="31">
        <v>10</v>
      </c>
      <c r="AP157" s="31">
        <v>10</v>
      </c>
      <c r="AQ157" s="31">
        <v>13</v>
      </c>
      <c r="AR157" s="31">
        <v>11</v>
      </c>
      <c r="AS157" s="31">
        <v>10</v>
      </c>
      <c r="AT157" s="31">
        <v>10</v>
      </c>
      <c r="AU157" s="31">
        <v>10</v>
      </c>
      <c r="AV157" s="31">
        <v>10</v>
      </c>
      <c r="AW157" s="64">
        <v>12</v>
      </c>
      <c r="AX157" s="37">
        <v>11</v>
      </c>
      <c r="AY157" s="47">
        <v>10</v>
      </c>
      <c r="AZ157" s="47">
        <v>10</v>
      </c>
      <c r="BA157" s="47">
        <v>10</v>
      </c>
      <c r="BB157" s="47">
        <v>10</v>
      </c>
      <c r="BC157" s="47">
        <v>10</v>
      </c>
      <c r="BD157" s="47" t="s">
        <v>94</v>
      </c>
      <c r="BE157" s="47">
        <v>10</v>
      </c>
      <c r="BF157" s="47">
        <v>10</v>
      </c>
      <c r="BG157" s="47">
        <v>9</v>
      </c>
      <c r="BH157" s="47">
        <v>9</v>
      </c>
      <c r="BI157" s="47">
        <v>10</v>
      </c>
      <c r="BJ157" s="47">
        <v>10</v>
      </c>
      <c r="BK157" s="48" t="s">
        <v>94</v>
      </c>
    </row>
    <row r="158" spans="7:63">
      <c r="G158" s="84">
        <v>71</v>
      </c>
      <c r="H158" s="52">
        <v>13</v>
      </c>
      <c r="I158" s="53">
        <v>12</v>
      </c>
      <c r="J158" s="53">
        <v>12</v>
      </c>
      <c r="K158" s="53">
        <v>11</v>
      </c>
      <c r="L158" s="53">
        <v>11</v>
      </c>
      <c r="M158" s="53">
        <v>12</v>
      </c>
      <c r="N158" s="53">
        <v>12</v>
      </c>
      <c r="O158" s="53">
        <v>12</v>
      </c>
      <c r="P158" s="53">
        <v>12</v>
      </c>
      <c r="Q158" s="53">
        <v>11</v>
      </c>
      <c r="R158" s="53">
        <v>10</v>
      </c>
      <c r="S158" s="53">
        <v>11</v>
      </c>
      <c r="T158" s="53">
        <v>12</v>
      </c>
      <c r="U158" s="53">
        <v>12</v>
      </c>
      <c r="V158" s="68">
        <v>13</v>
      </c>
      <c r="W158" s="69">
        <v>12</v>
      </c>
      <c r="X158" s="69">
        <v>12</v>
      </c>
      <c r="Y158" s="69">
        <v>11</v>
      </c>
      <c r="Z158" s="69">
        <v>11</v>
      </c>
      <c r="AA158" s="69">
        <v>11</v>
      </c>
      <c r="AB158" s="69">
        <v>12</v>
      </c>
      <c r="AC158" s="69">
        <v>12</v>
      </c>
      <c r="AD158" s="69">
        <v>12</v>
      </c>
      <c r="AE158" s="69">
        <v>10</v>
      </c>
      <c r="AF158" s="69">
        <v>10</v>
      </c>
      <c r="AG158" s="69">
        <v>10</v>
      </c>
      <c r="AH158" s="69">
        <v>13</v>
      </c>
      <c r="AI158" s="70">
        <v>12</v>
      </c>
      <c r="AJ158" s="31">
        <v>13</v>
      </c>
      <c r="AK158" s="31">
        <v>13</v>
      </c>
      <c r="AL158" s="31">
        <v>12</v>
      </c>
      <c r="AM158" s="31">
        <v>12</v>
      </c>
      <c r="AN158" s="31">
        <v>11</v>
      </c>
      <c r="AO158" s="31">
        <v>11</v>
      </c>
      <c r="AP158" s="31">
        <v>12</v>
      </c>
      <c r="AQ158" s="31">
        <v>13</v>
      </c>
      <c r="AR158" s="31">
        <v>12</v>
      </c>
      <c r="AS158" s="31">
        <v>11</v>
      </c>
      <c r="AT158" s="31">
        <v>10</v>
      </c>
      <c r="AU158" s="31">
        <v>11</v>
      </c>
      <c r="AV158" s="31">
        <v>12</v>
      </c>
      <c r="AW158" s="64">
        <v>12</v>
      </c>
      <c r="AX158" s="37">
        <v>12</v>
      </c>
      <c r="AY158" s="47">
        <v>12</v>
      </c>
      <c r="AZ158" s="47">
        <v>11</v>
      </c>
      <c r="BA158" s="47">
        <v>10</v>
      </c>
      <c r="BB158" s="47">
        <v>10</v>
      </c>
      <c r="BC158" s="47">
        <v>11</v>
      </c>
      <c r="BD158" s="47" t="s">
        <v>94</v>
      </c>
      <c r="BE158" s="47">
        <v>12</v>
      </c>
      <c r="BF158" s="47">
        <v>11</v>
      </c>
      <c r="BG158" s="47">
        <v>10</v>
      </c>
      <c r="BH158" s="47">
        <v>10</v>
      </c>
      <c r="BI158" s="47">
        <v>10</v>
      </c>
      <c r="BJ158" s="47">
        <v>11</v>
      </c>
      <c r="BK158" s="48" t="s">
        <v>94</v>
      </c>
    </row>
    <row r="159" spans="7:63" ht="15.75" thickBot="1">
      <c r="G159" s="84">
        <v>72</v>
      </c>
      <c r="H159" s="54">
        <v>13</v>
      </c>
      <c r="I159" s="55">
        <v>13</v>
      </c>
      <c r="J159" s="55">
        <v>13</v>
      </c>
      <c r="K159" s="55">
        <v>13</v>
      </c>
      <c r="L159" s="55">
        <v>13</v>
      </c>
      <c r="M159" s="55">
        <v>13</v>
      </c>
      <c r="N159" s="55">
        <v>13</v>
      </c>
      <c r="O159" s="55">
        <v>13</v>
      </c>
      <c r="P159" s="55">
        <v>13</v>
      </c>
      <c r="Q159" s="55">
        <v>14</v>
      </c>
      <c r="R159" s="55">
        <v>14</v>
      </c>
      <c r="S159" s="55">
        <v>13</v>
      </c>
      <c r="T159" s="55">
        <v>13</v>
      </c>
      <c r="U159" s="55">
        <v>13</v>
      </c>
      <c r="V159" s="71">
        <v>14</v>
      </c>
      <c r="W159" s="72">
        <v>13</v>
      </c>
      <c r="X159" s="72">
        <v>13</v>
      </c>
      <c r="Y159" s="72">
        <v>13</v>
      </c>
      <c r="Z159" s="72">
        <v>13</v>
      </c>
      <c r="AA159" s="72">
        <v>13</v>
      </c>
      <c r="AB159" s="72">
        <v>13</v>
      </c>
      <c r="AC159" s="72">
        <v>13</v>
      </c>
      <c r="AD159" s="72">
        <v>14</v>
      </c>
      <c r="AE159" s="72">
        <v>14</v>
      </c>
      <c r="AF159" s="72">
        <v>12</v>
      </c>
      <c r="AG159" s="72">
        <v>13</v>
      </c>
      <c r="AH159" s="72">
        <v>15</v>
      </c>
      <c r="AI159" s="73">
        <v>12</v>
      </c>
      <c r="AJ159" s="65">
        <v>14</v>
      </c>
      <c r="AK159" s="65">
        <v>14</v>
      </c>
      <c r="AL159" s="65">
        <v>14</v>
      </c>
      <c r="AM159" s="65">
        <v>14</v>
      </c>
      <c r="AN159" s="65">
        <v>14</v>
      </c>
      <c r="AO159" s="65">
        <v>14</v>
      </c>
      <c r="AP159" s="65">
        <v>14</v>
      </c>
      <c r="AQ159" s="65">
        <v>14</v>
      </c>
      <c r="AR159" s="65">
        <v>13</v>
      </c>
      <c r="AS159" s="65">
        <v>13</v>
      </c>
      <c r="AT159" s="65">
        <v>13</v>
      </c>
      <c r="AU159" s="65">
        <v>14</v>
      </c>
      <c r="AV159" s="65">
        <v>14</v>
      </c>
      <c r="AW159" s="66">
        <v>12</v>
      </c>
      <c r="AX159" s="38">
        <v>13</v>
      </c>
      <c r="AY159" s="49">
        <v>13</v>
      </c>
      <c r="AZ159" s="49">
        <v>13</v>
      </c>
      <c r="BA159" s="49">
        <v>14</v>
      </c>
      <c r="BB159" s="49">
        <v>14</v>
      </c>
      <c r="BC159" s="49">
        <v>14</v>
      </c>
      <c r="BD159" s="49" t="s">
        <v>94</v>
      </c>
      <c r="BE159" s="49">
        <v>14</v>
      </c>
      <c r="BF159" s="49">
        <v>14</v>
      </c>
      <c r="BG159" s="49">
        <v>14</v>
      </c>
      <c r="BH159" s="49">
        <v>14</v>
      </c>
      <c r="BI159" s="49">
        <v>14</v>
      </c>
      <c r="BJ159" s="49">
        <v>13</v>
      </c>
      <c r="BK159" s="50" t="s">
        <v>94</v>
      </c>
    </row>
    <row r="160" spans="7:63" ht="16.5" thickTop="1" thickBot="1"/>
    <row r="161" spans="7:35" ht="22.5" thickTop="1" thickBot="1">
      <c r="H161" s="284" t="s">
        <v>95</v>
      </c>
      <c r="I161" s="285"/>
      <c r="J161" s="285"/>
      <c r="K161" s="285"/>
      <c r="L161" s="285"/>
      <c r="M161" s="285"/>
      <c r="N161" s="285"/>
      <c r="O161" s="285"/>
      <c r="P161" s="285"/>
      <c r="Q161" s="285"/>
      <c r="R161" s="285"/>
      <c r="S161" s="285"/>
      <c r="T161" s="285"/>
      <c r="U161" s="285"/>
      <c r="V161" s="308" t="s">
        <v>96</v>
      </c>
      <c r="W161" s="309"/>
      <c r="X161" s="309"/>
      <c r="Y161" s="309"/>
      <c r="Z161" s="309"/>
      <c r="AA161" s="309"/>
      <c r="AB161" s="309"/>
      <c r="AC161" s="309"/>
      <c r="AD161" s="309"/>
      <c r="AE161" s="309"/>
      <c r="AF161" s="309"/>
      <c r="AG161" s="309"/>
      <c r="AH161" s="309"/>
      <c r="AI161" s="310"/>
    </row>
    <row r="162" spans="7:35" ht="15.75" thickTop="1">
      <c r="H162" s="281" t="s">
        <v>73</v>
      </c>
      <c r="I162" s="282"/>
      <c r="J162" s="282"/>
      <c r="K162" s="282"/>
      <c r="L162" s="282"/>
      <c r="M162" s="282"/>
      <c r="N162" s="283"/>
      <c r="O162" s="281" t="s">
        <v>74</v>
      </c>
      <c r="P162" s="282"/>
      <c r="Q162" s="282"/>
      <c r="R162" s="282"/>
      <c r="S162" s="282"/>
      <c r="T162" s="282"/>
      <c r="U162" s="282"/>
      <c r="V162" s="307" t="s">
        <v>73</v>
      </c>
      <c r="W162" s="307"/>
      <c r="X162" s="307"/>
      <c r="Y162" s="307"/>
      <c r="Z162" s="307"/>
      <c r="AA162" s="307"/>
      <c r="AB162" s="307"/>
      <c r="AC162" s="302" t="s">
        <v>74</v>
      </c>
      <c r="AD162" s="307"/>
      <c r="AE162" s="307"/>
      <c r="AF162" s="307"/>
      <c r="AG162" s="307"/>
      <c r="AH162" s="307"/>
      <c r="AI162" s="307"/>
    </row>
    <row r="163" spans="7:35" ht="15.75" thickBot="1">
      <c r="G163" s="83" t="s">
        <v>9</v>
      </c>
      <c r="H163" s="24" t="s">
        <v>2</v>
      </c>
      <c r="I163" s="25" t="s">
        <v>77</v>
      </c>
      <c r="J163" s="25" t="s">
        <v>78</v>
      </c>
      <c r="K163" s="25" t="s">
        <v>79</v>
      </c>
      <c r="L163" s="25" t="s">
        <v>80</v>
      </c>
      <c r="M163" s="25" t="s">
        <v>81</v>
      </c>
      <c r="N163" s="26" t="s">
        <v>82</v>
      </c>
      <c r="O163" s="24" t="s">
        <v>2</v>
      </c>
      <c r="P163" s="25" t="s">
        <v>77</v>
      </c>
      <c r="Q163" s="25" t="s">
        <v>78</v>
      </c>
      <c r="R163" s="25" t="s">
        <v>79</v>
      </c>
      <c r="S163" s="25" t="s">
        <v>80</v>
      </c>
      <c r="T163" s="25" t="s">
        <v>81</v>
      </c>
      <c r="U163" s="25" t="s">
        <v>82</v>
      </c>
      <c r="V163" s="39" t="s">
        <v>2</v>
      </c>
      <c r="W163" s="40" t="s">
        <v>77</v>
      </c>
      <c r="X163" s="40" t="s">
        <v>78</v>
      </c>
      <c r="Y163" s="40" t="s">
        <v>79</v>
      </c>
      <c r="Z163" s="40" t="s">
        <v>80</v>
      </c>
      <c r="AA163" s="40" t="s">
        <v>81</v>
      </c>
      <c r="AB163" s="41" t="s">
        <v>82</v>
      </c>
      <c r="AC163" s="40" t="s">
        <v>2</v>
      </c>
      <c r="AD163" s="40" t="s">
        <v>77</v>
      </c>
      <c r="AE163" s="40" t="s">
        <v>78</v>
      </c>
      <c r="AF163" s="40" t="s">
        <v>79</v>
      </c>
      <c r="AG163" s="40" t="s">
        <v>80</v>
      </c>
      <c r="AH163" s="40" t="s">
        <v>81</v>
      </c>
      <c r="AI163" s="41" t="s">
        <v>82</v>
      </c>
    </row>
    <row r="164" spans="7:35" ht="15.75" thickTop="1">
      <c r="G164" s="84">
        <v>0</v>
      </c>
      <c r="H164" s="27">
        <v>1</v>
      </c>
      <c r="I164" s="28">
        <v>1</v>
      </c>
      <c r="J164" s="28">
        <v>1</v>
      </c>
      <c r="K164" s="28">
        <v>1</v>
      </c>
      <c r="L164" s="28">
        <v>1</v>
      </c>
      <c r="M164" s="28">
        <v>1</v>
      </c>
      <c r="N164" s="28">
        <v>1</v>
      </c>
      <c r="O164" s="28">
        <v>1</v>
      </c>
      <c r="P164" s="28">
        <v>1</v>
      </c>
      <c r="Q164" s="31">
        <v>1</v>
      </c>
      <c r="R164" s="31">
        <v>1</v>
      </c>
      <c r="S164" s="31">
        <v>1</v>
      </c>
      <c r="T164" s="31">
        <v>1</v>
      </c>
      <c r="U164" s="31">
        <v>1</v>
      </c>
      <c r="V164" s="37">
        <v>1</v>
      </c>
      <c r="W164" s="47">
        <v>1</v>
      </c>
      <c r="X164" s="47">
        <v>1</v>
      </c>
      <c r="Y164" s="47">
        <v>1</v>
      </c>
      <c r="Z164" s="47">
        <v>1</v>
      </c>
      <c r="AA164" s="47">
        <v>1</v>
      </c>
      <c r="AB164" s="47">
        <v>1</v>
      </c>
      <c r="AC164" s="47">
        <v>1</v>
      </c>
      <c r="AD164" s="47">
        <v>1</v>
      </c>
      <c r="AE164" s="47">
        <v>1</v>
      </c>
      <c r="AF164" s="47">
        <v>1</v>
      </c>
      <c r="AG164" s="47">
        <v>1</v>
      </c>
      <c r="AH164" s="47">
        <v>1</v>
      </c>
      <c r="AI164" s="48">
        <v>1</v>
      </c>
    </row>
    <row r="165" spans="7:35">
      <c r="G165" s="84">
        <v>1</v>
      </c>
      <c r="H165" s="30">
        <v>1</v>
      </c>
      <c r="I165" s="31">
        <v>1</v>
      </c>
      <c r="J165" s="31">
        <v>1</v>
      </c>
      <c r="K165" s="31">
        <v>1</v>
      </c>
      <c r="L165" s="31">
        <v>1</v>
      </c>
      <c r="M165" s="31">
        <v>1</v>
      </c>
      <c r="N165" s="31">
        <v>1</v>
      </c>
      <c r="O165" s="31">
        <v>1</v>
      </c>
      <c r="P165" s="31">
        <v>1</v>
      </c>
      <c r="Q165" s="31">
        <v>1</v>
      </c>
      <c r="R165" s="31">
        <v>1</v>
      </c>
      <c r="S165" s="31">
        <v>1</v>
      </c>
      <c r="T165" s="31">
        <v>1</v>
      </c>
      <c r="U165" s="31">
        <v>1</v>
      </c>
      <c r="V165" s="37">
        <v>1</v>
      </c>
      <c r="W165" s="47">
        <v>1</v>
      </c>
      <c r="X165" s="47">
        <v>1</v>
      </c>
      <c r="Y165" s="47">
        <v>1</v>
      </c>
      <c r="Z165" s="47">
        <v>1</v>
      </c>
      <c r="AA165" s="47">
        <v>1</v>
      </c>
      <c r="AB165" s="47">
        <v>1</v>
      </c>
      <c r="AC165" s="47">
        <v>1</v>
      </c>
      <c r="AD165" s="47">
        <v>1</v>
      </c>
      <c r="AE165" s="47">
        <v>1</v>
      </c>
      <c r="AF165" s="47">
        <v>1</v>
      </c>
      <c r="AG165" s="47">
        <v>1</v>
      </c>
      <c r="AH165" s="47">
        <v>1</v>
      </c>
      <c r="AI165" s="48">
        <v>1</v>
      </c>
    </row>
    <row r="166" spans="7:35">
      <c r="G166" s="84">
        <v>2</v>
      </c>
      <c r="H166" s="30">
        <v>1</v>
      </c>
      <c r="I166" s="31">
        <v>1</v>
      </c>
      <c r="J166" s="31">
        <v>1</v>
      </c>
      <c r="K166" s="31">
        <v>1</v>
      </c>
      <c r="L166" s="31">
        <v>1</v>
      </c>
      <c r="M166" s="31">
        <v>1</v>
      </c>
      <c r="N166" s="31">
        <v>1</v>
      </c>
      <c r="O166" s="31">
        <v>1</v>
      </c>
      <c r="P166" s="31">
        <v>1</v>
      </c>
      <c r="Q166" s="31">
        <v>1</v>
      </c>
      <c r="R166" s="31">
        <v>1</v>
      </c>
      <c r="S166" s="31">
        <v>1</v>
      </c>
      <c r="T166" s="31">
        <v>1</v>
      </c>
      <c r="U166" s="31">
        <v>1</v>
      </c>
      <c r="V166" s="37">
        <v>1</v>
      </c>
      <c r="W166" s="47">
        <v>1</v>
      </c>
      <c r="X166" s="47">
        <v>1</v>
      </c>
      <c r="Y166" s="47">
        <v>1</v>
      </c>
      <c r="Z166" s="47">
        <v>1</v>
      </c>
      <c r="AA166" s="47">
        <v>1</v>
      </c>
      <c r="AB166" s="47">
        <v>1</v>
      </c>
      <c r="AC166" s="47">
        <v>1</v>
      </c>
      <c r="AD166" s="47">
        <v>1</v>
      </c>
      <c r="AE166" s="47">
        <v>1</v>
      </c>
      <c r="AF166" s="47">
        <v>1</v>
      </c>
      <c r="AG166" s="47">
        <v>1</v>
      </c>
      <c r="AH166" s="47">
        <v>1</v>
      </c>
      <c r="AI166" s="48">
        <v>1</v>
      </c>
    </row>
    <row r="167" spans="7:35">
      <c r="G167" s="84">
        <v>3</v>
      </c>
      <c r="H167" s="30">
        <v>1</v>
      </c>
      <c r="I167" s="31">
        <v>1</v>
      </c>
      <c r="J167" s="31">
        <v>1</v>
      </c>
      <c r="K167" s="31">
        <v>1</v>
      </c>
      <c r="L167" s="31">
        <v>1</v>
      </c>
      <c r="M167" s="31">
        <v>1</v>
      </c>
      <c r="N167" s="31">
        <v>1</v>
      </c>
      <c r="O167" s="31">
        <v>1</v>
      </c>
      <c r="P167" s="31">
        <v>1</v>
      </c>
      <c r="Q167" s="31">
        <v>1</v>
      </c>
      <c r="R167" s="31">
        <v>1</v>
      </c>
      <c r="S167" s="31">
        <v>1</v>
      </c>
      <c r="T167" s="31">
        <v>1</v>
      </c>
      <c r="U167" s="31">
        <v>1</v>
      </c>
      <c r="V167" s="37">
        <v>1</v>
      </c>
      <c r="W167" s="47">
        <v>1</v>
      </c>
      <c r="X167" s="47">
        <v>1</v>
      </c>
      <c r="Y167" s="47">
        <v>1</v>
      </c>
      <c r="Z167" s="47">
        <v>1</v>
      </c>
      <c r="AA167" s="47">
        <v>1</v>
      </c>
      <c r="AB167" s="47">
        <v>1</v>
      </c>
      <c r="AC167" s="47">
        <v>1</v>
      </c>
      <c r="AD167" s="47">
        <v>1</v>
      </c>
      <c r="AE167" s="47">
        <v>1</v>
      </c>
      <c r="AF167" s="47">
        <v>1</v>
      </c>
      <c r="AG167" s="47">
        <v>1</v>
      </c>
      <c r="AH167" s="47">
        <v>1</v>
      </c>
      <c r="AI167" s="48">
        <v>1</v>
      </c>
    </row>
    <row r="168" spans="7:35">
      <c r="G168" s="84">
        <v>4</v>
      </c>
      <c r="H168" s="30">
        <v>1</v>
      </c>
      <c r="I168" s="31">
        <v>1</v>
      </c>
      <c r="J168" s="31">
        <v>1</v>
      </c>
      <c r="K168" s="31">
        <v>1</v>
      </c>
      <c r="L168" s="31">
        <v>1</v>
      </c>
      <c r="M168" s="31">
        <v>1</v>
      </c>
      <c r="N168" s="31">
        <v>1</v>
      </c>
      <c r="O168" s="31">
        <v>1</v>
      </c>
      <c r="P168" s="31">
        <v>1</v>
      </c>
      <c r="Q168" s="31">
        <v>1</v>
      </c>
      <c r="R168" s="31">
        <v>1</v>
      </c>
      <c r="S168" s="31">
        <v>1</v>
      </c>
      <c r="T168" s="31">
        <v>1</v>
      </c>
      <c r="U168" s="31">
        <v>1</v>
      </c>
      <c r="V168" s="37">
        <v>1</v>
      </c>
      <c r="W168" s="47">
        <v>1</v>
      </c>
      <c r="X168" s="47">
        <v>1</v>
      </c>
      <c r="Y168" s="47">
        <v>1</v>
      </c>
      <c r="Z168" s="47">
        <v>1</v>
      </c>
      <c r="AA168" s="47">
        <v>1</v>
      </c>
      <c r="AB168" s="47">
        <v>1</v>
      </c>
      <c r="AC168" s="47">
        <v>1</v>
      </c>
      <c r="AD168" s="47">
        <v>1</v>
      </c>
      <c r="AE168" s="47">
        <v>1</v>
      </c>
      <c r="AF168" s="47">
        <v>1</v>
      </c>
      <c r="AG168" s="47">
        <v>1</v>
      </c>
      <c r="AH168" s="47">
        <v>1</v>
      </c>
      <c r="AI168" s="48">
        <v>1</v>
      </c>
    </row>
    <row r="169" spans="7:35">
      <c r="G169" s="84">
        <v>5</v>
      </c>
      <c r="H169" s="30">
        <v>1</v>
      </c>
      <c r="I169" s="31">
        <v>1</v>
      </c>
      <c r="J169" s="31">
        <v>1</v>
      </c>
      <c r="K169" s="31">
        <v>1</v>
      </c>
      <c r="L169" s="31">
        <v>1</v>
      </c>
      <c r="M169" s="31">
        <v>1</v>
      </c>
      <c r="N169" s="31">
        <v>1</v>
      </c>
      <c r="O169" s="31">
        <v>1</v>
      </c>
      <c r="P169" s="31">
        <v>1</v>
      </c>
      <c r="Q169" s="31">
        <v>1</v>
      </c>
      <c r="R169" s="31">
        <v>1</v>
      </c>
      <c r="S169" s="31">
        <v>1</v>
      </c>
      <c r="T169" s="31">
        <v>1</v>
      </c>
      <c r="U169" s="31">
        <v>1</v>
      </c>
      <c r="V169" s="37">
        <v>1</v>
      </c>
      <c r="W169" s="47">
        <v>1</v>
      </c>
      <c r="X169" s="47">
        <v>1</v>
      </c>
      <c r="Y169" s="47">
        <v>1</v>
      </c>
      <c r="Z169" s="47">
        <v>1</v>
      </c>
      <c r="AA169" s="47">
        <v>1</v>
      </c>
      <c r="AB169" s="47">
        <v>1</v>
      </c>
      <c r="AC169" s="47">
        <v>1</v>
      </c>
      <c r="AD169" s="47">
        <v>1</v>
      </c>
      <c r="AE169" s="47">
        <v>1</v>
      </c>
      <c r="AF169" s="47">
        <v>1</v>
      </c>
      <c r="AG169" s="47">
        <v>1</v>
      </c>
      <c r="AH169" s="47">
        <v>1</v>
      </c>
      <c r="AI169" s="48">
        <v>1</v>
      </c>
    </row>
    <row r="170" spans="7:35">
      <c r="G170" s="84">
        <v>6</v>
      </c>
      <c r="H170" s="30">
        <v>1</v>
      </c>
      <c r="I170" s="31">
        <v>1</v>
      </c>
      <c r="J170" s="31">
        <v>1</v>
      </c>
      <c r="K170" s="31">
        <v>1</v>
      </c>
      <c r="L170" s="31">
        <v>1</v>
      </c>
      <c r="M170" s="31">
        <v>1</v>
      </c>
      <c r="N170" s="31">
        <v>1</v>
      </c>
      <c r="O170" s="31">
        <v>1</v>
      </c>
      <c r="P170" s="31">
        <v>1</v>
      </c>
      <c r="Q170" s="31">
        <v>1</v>
      </c>
      <c r="R170" s="31">
        <v>1</v>
      </c>
      <c r="S170" s="31">
        <v>1</v>
      </c>
      <c r="T170" s="31">
        <v>1</v>
      </c>
      <c r="U170" s="31">
        <v>1</v>
      </c>
      <c r="V170" s="37">
        <v>1</v>
      </c>
      <c r="W170" s="47">
        <v>1</v>
      </c>
      <c r="X170" s="47">
        <v>1</v>
      </c>
      <c r="Y170" s="47">
        <v>1</v>
      </c>
      <c r="Z170" s="47">
        <v>1</v>
      </c>
      <c r="AA170" s="47">
        <v>1</v>
      </c>
      <c r="AB170" s="47">
        <v>1</v>
      </c>
      <c r="AC170" s="47">
        <v>1</v>
      </c>
      <c r="AD170" s="47">
        <v>1</v>
      </c>
      <c r="AE170" s="47">
        <v>1</v>
      </c>
      <c r="AF170" s="47">
        <v>1</v>
      </c>
      <c r="AG170" s="47">
        <v>1</v>
      </c>
      <c r="AH170" s="47">
        <v>1</v>
      </c>
      <c r="AI170" s="48">
        <v>1</v>
      </c>
    </row>
    <row r="171" spans="7:35">
      <c r="G171" s="84">
        <v>7</v>
      </c>
      <c r="H171" s="30">
        <v>1</v>
      </c>
      <c r="I171" s="31">
        <v>1</v>
      </c>
      <c r="J171" s="31">
        <v>1</v>
      </c>
      <c r="K171" s="31">
        <v>1</v>
      </c>
      <c r="L171" s="31">
        <v>1</v>
      </c>
      <c r="M171" s="31">
        <v>1</v>
      </c>
      <c r="N171" s="31">
        <v>1</v>
      </c>
      <c r="O171" s="31">
        <v>1</v>
      </c>
      <c r="P171" s="31">
        <v>1</v>
      </c>
      <c r="Q171" s="31">
        <v>1</v>
      </c>
      <c r="R171" s="31">
        <v>1</v>
      </c>
      <c r="S171" s="31">
        <v>1</v>
      </c>
      <c r="T171" s="31">
        <v>1</v>
      </c>
      <c r="U171" s="31">
        <v>1</v>
      </c>
      <c r="V171" s="37">
        <v>1</v>
      </c>
      <c r="W171" s="47">
        <v>1</v>
      </c>
      <c r="X171" s="47">
        <v>1</v>
      </c>
      <c r="Y171" s="47">
        <v>1</v>
      </c>
      <c r="Z171" s="47">
        <v>1</v>
      </c>
      <c r="AA171" s="47">
        <v>1</v>
      </c>
      <c r="AB171" s="47">
        <v>1</v>
      </c>
      <c r="AC171" s="47">
        <v>1</v>
      </c>
      <c r="AD171" s="47">
        <v>1</v>
      </c>
      <c r="AE171" s="47">
        <v>1</v>
      </c>
      <c r="AF171" s="47">
        <v>1</v>
      </c>
      <c r="AG171" s="47">
        <v>1</v>
      </c>
      <c r="AH171" s="47">
        <v>1</v>
      </c>
      <c r="AI171" s="48">
        <v>1</v>
      </c>
    </row>
    <row r="172" spans="7:35">
      <c r="G172" s="84">
        <v>8</v>
      </c>
      <c r="H172" s="30">
        <v>1</v>
      </c>
      <c r="I172" s="31">
        <v>1</v>
      </c>
      <c r="J172" s="31">
        <v>1</v>
      </c>
      <c r="K172" s="31">
        <v>1</v>
      </c>
      <c r="L172" s="31">
        <v>1</v>
      </c>
      <c r="M172" s="31">
        <v>1</v>
      </c>
      <c r="N172" s="31">
        <v>1</v>
      </c>
      <c r="O172" s="31">
        <v>1</v>
      </c>
      <c r="P172" s="31">
        <v>1</v>
      </c>
      <c r="Q172" s="31">
        <v>1</v>
      </c>
      <c r="R172" s="31">
        <v>1</v>
      </c>
      <c r="S172" s="31">
        <v>1</v>
      </c>
      <c r="T172" s="31">
        <v>1</v>
      </c>
      <c r="U172" s="31">
        <v>1</v>
      </c>
      <c r="V172" s="37">
        <v>1</v>
      </c>
      <c r="W172" s="47">
        <v>1</v>
      </c>
      <c r="X172" s="47">
        <v>1</v>
      </c>
      <c r="Y172" s="47">
        <v>1</v>
      </c>
      <c r="Z172" s="47">
        <v>1</v>
      </c>
      <c r="AA172" s="47">
        <v>1</v>
      </c>
      <c r="AB172" s="47">
        <v>1</v>
      </c>
      <c r="AC172" s="47">
        <v>1</v>
      </c>
      <c r="AD172" s="47">
        <v>1</v>
      </c>
      <c r="AE172" s="47">
        <v>1</v>
      </c>
      <c r="AF172" s="47">
        <v>1</v>
      </c>
      <c r="AG172" s="47">
        <v>1</v>
      </c>
      <c r="AH172" s="47">
        <v>1</v>
      </c>
      <c r="AI172" s="48">
        <v>1</v>
      </c>
    </row>
    <row r="173" spans="7:35">
      <c r="G173" s="84">
        <v>9</v>
      </c>
      <c r="H173" s="30">
        <v>1</v>
      </c>
      <c r="I173" s="31">
        <v>1</v>
      </c>
      <c r="J173" s="31">
        <v>1</v>
      </c>
      <c r="K173" s="31">
        <v>1</v>
      </c>
      <c r="L173" s="31">
        <v>1</v>
      </c>
      <c r="M173" s="31">
        <v>1</v>
      </c>
      <c r="N173" s="31">
        <v>1</v>
      </c>
      <c r="O173" s="31">
        <v>1</v>
      </c>
      <c r="P173" s="31">
        <v>1</v>
      </c>
      <c r="Q173" s="31">
        <v>1</v>
      </c>
      <c r="R173" s="31">
        <v>1</v>
      </c>
      <c r="S173" s="31">
        <v>1</v>
      </c>
      <c r="T173" s="31">
        <v>1</v>
      </c>
      <c r="U173" s="31">
        <v>1</v>
      </c>
      <c r="V173" s="37">
        <v>1</v>
      </c>
      <c r="W173" s="47">
        <v>1</v>
      </c>
      <c r="X173" s="47">
        <v>1</v>
      </c>
      <c r="Y173" s="47">
        <v>1</v>
      </c>
      <c r="Z173" s="47">
        <v>1</v>
      </c>
      <c r="AA173" s="47">
        <v>1</v>
      </c>
      <c r="AB173" s="47">
        <v>1</v>
      </c>
      <c r="AC173" s="47">
        <v>1</v>
      </c>
      <c r="AD173" s="47">
        <v>1</v>
      </c>
      <c r="AE173" s="47">
        <v>1</v>
      </c>
      <c r="AF173" s="47">
        <v>1</v>
      </c>
      <c r="AG173" s="47">
        <v>1</v>
      </c>
      <c r="AH173" s="47">
        <v>1</v>
      </c>
      <c r="AI173" s="48">
        <v>2</v>
      </c>
    </row>
    <row r="174" spans="7:35">
      <c r="G174" s="84">
        <v>10</v>
      </c>
      <c r="H174" s="30">
        <v>1</v>
      </c>
      <c r="I174" s="31">
        <v>1</v>
      </c>
      <c r="J174" s="31">
        <v>1</v>
      </c>
      <c r="K174" s="31">
        <v>1</v>
      </c>
      <c r="L174" s="31">
        <v>1</v>
      </c>
      <c r="M174" s="31">
        <v>1</v>
      </c>
      <c r="N174" s="31">
        <v>1</v>
      </c>
      <c r="O174" s="31">
        <v>1</v>
      </c>
      <c r="P174" s="31">
        <v>1</v>
      </c>
      <c r="Q174" s="31">
        <v>1</v>
      </c>
      <c r="R174" s="31">
        <v>1</v>
      </c>
      <c r="S174" s="31">
        <v>1</v>
      </c>
      <c r="T174" s="31">
        <v>1</v>
      </c>
      <c r="U174" s="31">
        <v>1</v>
      </c>
      <c r="V174" s="37">
        <v>1</v>
      </c>
      <c r="W174" s="47">
        <v>1</v>
      </c>
      <c r="X174" s="47">
        <v>1</v>
      </c>
      <c r="Y174" s="47">
        <v>1</v>
      </c>
      <c r="Z174" s="47">
        <v>1</v>
      </c>
      <c r="AA174" s="47">
        <v>1</v>
      </c>
      <c r="AB174" s="47">
        <v>1</v>
      </c>
      <c r="AC174" s="47">
        <v>1</v>
      </c>
      <c r="AD174" s="47">
        <v>1</v>
      </c>
      <c r="AE174" s="47">
        <v>1</v>
      </c>
      <c r="AF174" s="47">
        <v>1</v>
      </c>
      <c r="AG174" s="47">
        <v>1</v>
      </c>
      <c r="AH174" s="47">
        <v>1</v>
      </c>
      <c r="AI174" s="48">
        <v>2</v>
      </c>
    </row>
    <row r="175" spans="7:35">
      <c r="G175" s="84">
        <v>11</v>
      </c>
      <c r="H175" s="30">
        <v>1</v>
      </c>
      <c r="I175" s="31">
        <v>1</v>
      </c>
      <c r="J175" s="31">
        <v>1</v>
      </c>
      <c r="K175" s="31">
        <v>1</v>
      </c>
      <c r="L175" s="31">
        <v>1</v>
      </c>
      <c r="M175" s="31">
        <v>1</v>
      </c>
      <c r="N175" s="31">
        <v>1</v>
      </c>
      <c r="O175" s="31">
        <v>1</v>
      </c>
      <c r="P175" s="31">
        <v>1</v>
      </c>
      <c r="Q175" s="31">
        <v>1</v>
      </c>
      <c r="R175" s="31">
        <v>1</v>
      </c>
      <c r="S175" s="31">
        <v>1</v>
      </c>
      <c r="T175" s="31">
        <v>1</v>
      </c>
      <c r="U175" s="31">
        <v>1</v>
      </c>
      <c r="V175" s="37">
        <v>1</v>
      </c>
      <c r="W175" s="47">
        <v>1</v>
      </c>
      <c r="X175" s="47">
        <v>1</v>
      </c>
      <c r="Y175" s="47">
        <v>1</v>
      </c>
      <c r="Z175" s="47">
        <v>1</v>
      </c>
      <c r="AA175" s="47">
        <v>1</v>
      </c>
      <c r="AB175" s="47">
        <v>1</v>
      </c>
      <c r="AC175" s="47">
        <v>1</v>
      </c>
      <c r="AD175" s="47">
        <v>1</v>
      </c>
      <c r="AE175" s="47">
        <v>1</v>
      </c>
      <c r="AF175" s="47">
        <v>1</v>
      </c>
      <c r="AG175" s="47">
        <v>1</v>
      </c>
      <c r="AH175" s="47">
        <v>1</v>
      </c>
      <c r="AI175" s="48">
        <v>2</v>
      </c>
    </row>
    <row r="176" spans="7:35">
      <c r="G176" s="84">
        <v>12</v>
      </c>
      <c r="H176" s="30">
        <v>1</v>
      </c>
      <c r="I176" s="31">
        <v>1</v>
      </c>
      <c r="J176" s="31">
        <v>1</v>
      </c>
      <c r="K176" s="31">
        <v>1</v>
      </c>
      <c r="L176" s="31">
        <v>1</v>
      </c>
      <c r="M176" s="31">
        <v>1</v>
      </c>
      <c r="N176" s="31">
        <v>1</v>
      </c>
      <c r="O176" s="31">
        <v>1</v>
      </c>
      <c r="P176" s="31">
        <v>1</v>
      </c>
      <c r="Q176" s="31">
        <v>1</v>
      </c>
      <c r="R176" s="31">
        <v>1</v>
      </c>
      <c r="S176" s="31">
        <v>1</v>
      </c>
      <c r="T176" s="31">
        <v>1</v>
      </c>
      <c r="U176" s="31">
        <v>1</v>
      </c>
      <c r="V176" s="37">
        <v>1</v>
      </c>
      <c r="W176" s="47">
        <v>1</v>
      </c>
      <c r="X176" s="47">
        <v>1</v>
      </c>
      <c r="Y176" s="47">
        <v>1</v>
      </c>
      <c r="Z176" s="47">
        <v>1</v>
      </c>
      <c r="AA176" s="47">
        <v>1</v>
      </c>
      <c r="AB176" s="47">
        <v>1</v>
      </c>
      <c r="AC176" s="47">
        <v>1</v>
      </c>
      <c r="AD176" s="47">
        <v>1</v>
      </c>
      <c r="AE176" s="47">
        <v>1</v>
      </c>
      <c r="AF176" s="47">
        <v>1</v>
      </c>
      <c r="AG176" s="47">
        <v>1</v>
      </c>
      <c r="AH176" s="47">
        <v>1</v>
      </c>
      <c r="AI176" s="48">
        <v>2</v>
      </c>
    </row>
    <row r="177" spans="7:35">
      <c r="G177" s="84">
        <v>13</v>
      </c>
      <c r="H177" s="30">
        <v>1</v>
      </c>
      <c r="I177" s="31">
        <v>1</v>
      </c>
      <c r="J177" s="31">
        <v>1</v>
      </c>
      <c r="K177" s="31">
        <v>1</v>
      </c>
      <c r="L177" s="31">
        <v>1</v>
      </c>
      <c r="M177" s="31">
        <v>1</v>
      </c>
      <c r="N177" s="31">
        <v>1</v>
      </c>
      <c r="O177" s="31">
        <v>1</v>
      </c>
      <c r="P177" s="31">
        <v>1</v>
      </c>
      <c r="Q177" s="31">
        <v>1</v>
      </c>
      <c r="R177" s="31">
        <v>1</v>
      </c>
      <c r="S177" s="31">
        <v>1</v>
      </c>
      <c r="T177" s="31">
        <v>1</v>
      </c>
      <c r="U177" s="31">
        <v>1</v>
      </c>
      <c r="V177" s="37">
        <v>1</v>
      </c>
      <c r="W177" s="47">
        <v>1</v>
      </c>
      <c r="X177" s="47">
        <v>1</v>
      </c>
      <c r="Y177" s="47">
        <v>1</v>
      </c>
      <c r="Z177" s="47">
        <v>1</v>
      </c>
      <c r="AA177" s="47">
        <v>1</v>
      </c>
      <c r="AB177" s="47">
        <v>1</v>
      </c>
      <c r="AC177" s="47">
        <v>1</v>
      </c>
      <c r="AD177" s="47">
        <v>1</v>
      </c>
      <c r="AE177" s="47">
        <v>1</v>
      </c>
      <c r="AF177" s="47">
        <v>1</v>
      </c>
      <c r="AG177" s="47">
        <v>1</v>
      </c>
      <c r="AH177" s="47">
        <v>1</v>
      </c>
      <c r="AI177" s="48">
        <v>2</v>
      </c>
    </row>
    <row r="178" spans="7:35">
      <c r="G178" s="84">
        <v>14</v>
      </c>
      <c r="H178" s="30">
        <v>1</v>
      </c>
      <c r="I178" s="31">
        <v>1</v>
      </c>
      <c r="J178" s="31">
        <v>1</v>
      </c>
      <c r="K178" s="31">
        <v>1</v>
      </c>
      <c r="L178" s="31">
        <v>1</v>
      </c>
      <c r="M178" s="31">
        <v>1</v>
      </c>
      <c r="N178" s="31">
        <v>1</v>
      </c>
      <c r="O178" s="31">
        <v>1</v>
      </c>
      <c r="P178" s="31">
        <v>1</v>
      </c>
      <c r="Q178" s="31">
        <v>1</v>
      </c>
      <c r="R178" s="31">
        <v>1</v>
      </c>
      <c r="S178" s="31">
        <v>1</v>
      </c>
      <c r="T178" s="31">
        <v>1</v>
      </c>
      <c r="U178" s="31">
        <v>1</v>
      </c>
      <c r="V178" s="37">
        <v>1</v>
      </c>
      <c r="W178" s="47">
        <v>1</v>
      </c>
      <c r="X178" s="47">
        <v>1</v>
      </c>
      <c r="Y178" s="47">
        <v>1</v>
      </c>
      <c r="Z178" s="47">
        <v>1</v>
      </c>
      <c r="AA178" s="47">
        <v>1</v>
      </c>
      <c r="AB178" s="47">
        <v>1</v>
      </c>
      <c r="AC178" s="47">
        <v>1</v>
      </c>
      <c r="AD178" s="47">
        <v>1</v>
      </c>
      <c r="AE178" s="47">
        <v>1</v>
      </c>
      <c r="AF178" s="47">
        <v>1</v>
      </c>
      <c r="AG178" s="47">
        <v>1</v>
      </c>
      <c r="AH178" s="47">
        <v>1</v>
      </c>
      <c r="AI178" s="48">
        <v>2</v>
      </c>
    </row>
    <row r="179" spans="7:35">
      <c r="G179" s="84">
        <v>15</v>
      </c>
      <c r="H179" s="30">
        <v>1</v>
      </c>
      <c r="I179" s="31">
        <v>1</v>
      </c>
      <c r="J179" s="31">
        <v>1</v>
      </c>
      <c r="K179" s="31">
        <v>1</v>
      </c>
      <c r="L179" s="31">
        <v>1</v>
      </c>
      <c r="M179" s="31">
        <v>1</v>
      </c>
      <c r="N179" s="31">
        <v>1</v>
      </c>
      <c r="O179" s="31">
        <v>1</v>
      </c>
      <c r="P179" s="31">
        <v>1</v>
      </c>
      <c r="Q179" s="31">
        <v>1</v>
      </c>
      <c r="R179" s="31">
        <v>1</v>
      </c>
      <c r="S179" s="31">
        <v>1</v>
      </c>
      <c r="T179" s="31">
        <v>1</v>
      </c>
      <c r="U179" s="31">
        <v>1</v>
      </c>
      <c r="V179" s="37">
        <v>1</v>
      </c>
      <c r="W179" s="47">
        <v>1</v>
      </c>
      <c r="X179" s="47">
        <v>1</v>
      </c>
      <c r="Y179" s="47">
        <v>1</v>
      </c>
      <c r="Z179" s="47">
        <v>1</v>
      </c>
      <c r="AA179" s="47">
        <v>1</v>
      </c>
      <c r="AB179" s="47">
        <v>1</v>
      </c>
      <c r="AC179" s="47">
        <v>1</v>
      </c>
      <c r="AD179" s="47">
        <v>1</v>
      </c>
      <c r="AE179" s="47">
        <v>1</v>
      </c>
      <c r="AF179" s="47">
        <v>1</v>
      </c>
      <c r="AG179" s="47">
        <v>1</v>
      </c>
      <c r="AH179" s="47">
        <v>1</v>
      </c>
      <c r="AI179" s="48">
        <v>3</v>
      </c>
    </row>
    <row r="180" spans="7:35">
      <c r="G180" s="84">
        <v>16</v>
      </c>
      <c r="H180" s="30">
        <v>1</v>
      </c>
      <c r="I180" s="31">
        <v>1</v>
      </c>
      <c r="J180" s="31">
        <v>1</v>
      </c>
      <c r="K180" s="31">
        <v>1</v>
      </c>
      <c r="L180" s="31">
        <v>1</v>
      </c>
      <c r="M180" s="31">
        <v>1</v>
      </c>
      <c r="N180" s="31">
        <v>1</v>
      </c>
      <c r="O180" s="31">
        <v>1</v>
      </c>
      <c r="P180" s="31">
        <v>1</v>
      </c>
      <c r="Q180" s="31">
        <v>1</v>
      </c>
      <c r="R180" s="31">
        <v>1</v>
      </c>
      <c r="S180" s="31">
        <v>1</v>
      </c>
      <c r="T180" s="31">
        <v>1</v>
      </c>
      <c r="U180" s="31">
        <v>1</v>
      </c>
      <c r="V180" s="37">
        <v>1</v>
      </c>
      <c r="W180" s="47">
        <v>1</v>
      </c>
      <c r="X180" s="47">
        <v>1</v>
      </c>
      <c r="Y180" s="47">
        <v>1</v>
      </c>
      <c r="Z180" s="47">
        <v>1</v>
      </c>
      <c r="AA180" s="47">
        <v>1</v>
      </c>
      <c r="AB180" s="47">
        <v>1</v>
      </c>
      <c r="AC180" s="47">
        <v>1</v>
      </c>
      <c r="AD180" s="47">
        <v>1</v>
      </c>
      <c r="AE180" s="47">
        <v>1</v>
      </c>
      <c r="AF180" s="47">
        <v>1</v>
      </c>
      <c r="AG180" s="47">
        <v>1</v>
      </c>
      <c r="AH180" s="47">
        <v>1</v>
      </c>
      <c r="AI180" s="48">
        <v>3</v>
      </c>
    </row>
    <row r="181" spans="7:35">
      <c r="G181" s="84">
        <v>17</v>
      </c>
      <c r="H181" s="30">
        <v>1</v>
      </c>
      <c r="I181" s="31">
        <v>1</v>
      </c>
      <c r="J181" s="31">
        <v>1</v>
      </c>
      <c r="K181" s="31">
        <v>1</v>
      </c>
      <c r="L181" s="31">
        <v>1</v>
      </c>
      <c r="M181" s="31">
        <v>1</v>
      </c>
      <c r="N181" s="31">
        <v>1</v>
      </c>
      <c r="O181" s="31">
        <v>1</v>
      </c>
      <c r="P181" s="31">
        <v>1</v>
      </c>
      <c r="Q181" s="31">
        <v>1</v>
      </c>
      <c r="R181" s="31">
        <v>1</v>
      </c>
      <c r="S181" s="31">
        <v>1</v>
      </c>
      <c r="T181" s="31">
        <v>1</v>
      </c>
      <c r="U181" s="31">
        <v>1</v>
      </c>
      <c r="V181" s="37">
        <v>1</v>
      </c>
      <c r="W181" s="47">
        <v>1</v>
      </c>
      <c r="X181" s="47">
        <v>1</v>
      </c>
      <c r="Y181" s="47">
        <v>1</v>
      </c>
      <c r="Z181" s="47">
        <v>1</v>
      </c>
      <c r="AA181" s="47">
        <v>1</v>
      </c>
      <c r="AB181" s="47">
        <v>1</v>
      </c>
      <c r="AC181" s="47">
        <v>1</v>
      </c>
      <c r="AD181" s="47">
        <v>1</v>
      </c>
      <c r="AE181" s="47">
        <v>1</v>
      </c>
      <c r="AF181" s="47">
        <v>1</v>
      </c>
      <c r="AG181" s="47">
        <v>1</v>
      </c>
      <c r="AH181" s="47">
        <v>1</v>
      </c>
      <c r="AI181" s="48">
        <v>3</v>
      </c>
    </row>
    <row r="182" spans="7:35">
      <c r="G182" s="84">
        <v>18</v>
      </c>
      <c r="H182" s="30">
        <v>1</v>
      </c>
      <c r="I182" s="31">
        <v>1</v>
      </c>
      <c r="J182" s="31">
        <v>1</v>
      </c>
      <c r="K182" s="31">
        <v>1</v>
      </c>
      <c r="L182" s="31">
        <v>1</v>
      </c>
      <c r="M182" s="31">
        <v>1</v>
      </c>
      <c r="N182" s="31">
        <v>1</v>
      </c>
      <c r="O182" s="31">
        <v>1</v>
      </c>
      <c r="P182" s="31">
        <v>1</v>
      </c>
      <c r="Q182" s="31">
        <v>1</v>
      </c>
      <c r="R182" s="31">
        <v>1</v>
      </c>
      <c r="S182" s="31">
        <v>1</v>
      </c>
      <c r="T182" s="31">
        <v>1</v>
      </c>
      <c r="U182" s="31">
        <v>1</v>
      </c>
      <c r="V182" s="37">
        <v>1</v>
      </c>
      <c r="W182" s="47">
        <v>1</v>
      </c>
      <c r="X182" s="47">
        <v>1</v>
      </c>
      <c r="Y182" s="47">
        <v>1</v>
      </c>
      <c r="Z182" s="47">
        <v>1</v>
      </c>
      <c r="AA182" s="47">
        <v>1</v>
      </c>
      <c r="AB182" s="47">
        <v>2</v>
      </c>
      <c r="AC182" s="47">
        <v>1</v>
      </c>
      <c r="AD182" s="47">
        <v>1</v>
      </c>
      <c r="AE182" s="47">
        <v>1</v>
      </c>
      <c r="AF182" s="47">
        <v>1</v>
      </c>
      <c r="AG182" s="47">
        <v>1</v>
      </c>
      <c r="AH182" s="47">
        <v>1</v>
      </c>
      <c r="AI182" s="48">
        <v>3</v>
      </c>
    </row>
    <row r="183" spans="7:35">
      <c r="G183" s="84">
        <v>19</v>
      </c>
      <c r="H183" s="30">
        <v>1</v>
      </c>
      <c r="I183" s="31">
        <v>1</v>
      </c>
      <c r="J183" s="31">
        <v>1</v>
      </c>
      <c r="K183" s="31">
        <v>1</v>
      </c>
      <c r="L183" s="31">
        <v>1</v>
      </c>
      <c r="M183" s="31">
        <v>1</v>
      </c>
      <c r="N183" s="31">
        <v>1</v>
      </c>
      <c r="O183" s="31">
        <v>1</v>
      </c>
      <c r="P183" s="31">
        <v>1</v>
      </c>
      <c r="Q183" s="31">
        <v>1</v>
      </c>
      <c r="R183" s="31">
        <v>1</v>
      </c>
      <c r="S183" s="31">
        <v>1</v>
      </c>
      <c r="T183" s="31">
        <v>1</v>
      </c>
      <c r="U183" s="31">
        <v>2</v>
      </c>
      <c r="V183" s="37">
        <v>1</v>
      </c>
      <c r="W183" s="47">
        <v>1</v>
      </c>
      <c r="X183" s="47">
        <v>1</v>
      </c>
      <c r="Y183" s="47">
        <v>1</v>
      </c>
      <c r="Z183" s="47">
        <v>1</v>
      </c>
      <c r="AA183" s="47">
        <v>1</v>
      </c>
      <c r="AB183" s="47">
        <v>2</v>
      </c>
      <c r="AC183" s="47">
        <v>1</v>
      </c>
      <c r="AD183" s="47">
        <v>1</v>
      </c>
      <c r="AE183" s="47">
        <v>1</v>
      </c>
      <c r="AF183" s="47">
        <v>1</v>
      </c>
      <c r="AG183" s="47">
        <v>1</v>
      </c>
      <c r="AH183" s="47">
        <v>1</v>
      </c>
      <c r="AI183" s="48">
        <v>3</v>
      </c>
    </row>
    <row r="184" spans="7:35">
      <c r="G184" s="84">
        <v>20</v>
      </c>
      <c r="H184" s="30">
        <v>1</v>
      </c>
      <c r="I184" s="31">
        <v>1</v>
      </c>
      <c r="J184" s="31">
        <v>1</v>
      </c>
      <c r="K184" s="31">
        <v>1</v>
      </c>
      <c r="L184" s="31">
        <v>1</v>
      </c>
      <c r="M184" s="31">
        <v>1</v>
      </c>
      <c r="N184" s="31">
        <v>1</v>
      </c>
      <c r="O184" s="31">
        <v>1</v>
      </c>
      <c r="P184" s="31">
        <v>1</v>
      </c>
      <c r="Q184" s="31">
        <v>1</v>
      </c>
      <c r="R184" s="31">
        <v>1</v>
      </c>
      <c r="S184" s="31">
        <v>1</v>
      </c>
      <c r="T184" s="31">
        <v>1</v>
      </c>
      <c r="U184" s="31">
        <v>2</v>
      </c>
      <c r="V184" s="37">
        <v>1</v>
      </c>
      <c r="W184" s="47">
        <v>1</v>
      </c>
      <c r="X184" s="47">
        <v>1</v>
      </c>
      <c r="Y184" s="47">
        <v>1</v>
      </c>
      <c r="Z184" s="47">
        <v>1</v>
      </c>
      <c r="AA184" s="47">
        <v>1</v>
      </c>
      <c r="AB184" s="47">
        <v>2</v>
      </c>
      <c r="AC184" s="47">
        <v>1</v>
      </c>
      <c r="AD184" s="47">
        <v>1</v>
      </c>
      <c r="AE184" s="47">
        <v>1</v>
      </c>
      <c r="AF184" s="47">
        <v>1</v>
      </c>
      <c r="AG184" s="47">
        <v>1</v>
      </c>
      <c r="AH184" s="47">
        <v>1</v>
      </c>
      <c r="AI184" s="48">
        <v>3</v>
      </c>
    </row>
    <row r="185" spans="7:35">
      <c r="G185" s="84">
        <v>21</v>
      </c>
      <c r="H185" s="30">
        <v>1</v>
      </c>
      <c r="I185" s="31">
        <v>1</v>
      </c>
      <c r="J185" s="31">
        <v>1</v>
      </c>
      <c r="K185" s="31">
        <v>1</v>
      </c>
      <c r="L185" s="31">
        <v>1</v>
      </c>
      <c r="M185" s="31">
        <v>1</v>
      </c>
      <c r="N185" s="31">
        <v>1</v>
      </c>
      <c r="O185" s="31">
        <v>1</v>
      </c>
      <c r="P185" s="31">
        <v>1</v>
      </c>
      <c r="Q185" s="31">
        <v>1</v>
      </c>
      <c r="R185" s="31">
        <v>1</v>
      </c>
      <c r="S185" s="31">
        <v>1</v>
      </c>
      <c r="T185" s="31">
        <v>1</v>
      </c>
      <c r="U185" s="31">
        <v>2</v>
      </c>
      <c r="V185" s="37">
        <v>1</v>
      </c>
      <c r="W185" s="47">
        <v>1</v>
      </c>
      <c r="X185" s="47">
        <v>1</v>
      </c>
      <c r="Y185" s="47">
        <v>1</v>
      </c>
      <c r="Z185" s="47">
        <v>1</v>
      </c>
      <c r="AA185" s="47">
        <v>1</v>
      </c>
      <c r="AB185" s="47">
        <v>2</v>
      </c>
      <c r="AC185" s="47">
        <v>1</v>
      </c>
      <c r="AD185" s="47">
        <v>1</v>
      </c>
      <c r="AE185" s="47">
        <v>1</v>
      </c>
      <c r="AF185" s="47">
        <v>1</v>
      </c>
      <c r="AG185" s="47">
        <v>1</v>
      </c>
      <c r="AH185" s="47">
        <v>1</v>
      </c>
      <c r="AI185" s="48">
        <v>4</v>
      </c>
    </row>
    <row r="186" spans="7:35">
      <c r="G186" s="84">
        <v>22</v>
      </c>
      <c r="H186" s="30">
        <v>1</v>
      </c>
      <c r="I186" s="31">
        <v>1</v>
      </c>
      <c r="J186" s="31">
        <v>1</v>
      </c>
      <c r="K186" s="31">
        <v>1</v>
      </c>
      <c r="L186" s="31">
        <v>1</v>
      </c>
      <c r="M186" s="31">
        <v>1</v>
      </c>
      <c r="N186" s="31">
        <v>1</v>
      </c>
      <c r="O186" s="31">
        <v>1</v>
      </c>
      <c r="P186" s="31">
        <v>1</v>
      </c>
      <c r="Q186" s="31">
        <v>1</v>
      </c>
      <c r="R186" s="31">
        <v>1</v>
      </c>
      <c r="S186" s="31">
        <v>1</v>
      </c>
      <c r="T186" s="31">
        <v>1</v>
      </c>
      <c r="U186" s="31">
        <v>2</v>
      </c>
      <c r="V186" s="37">
        <v>1</v>
      </c>
      <c r="W186" s="47">
        <v>1</v>
      </c>
      <c r="X186" s="47">
        <v>1</v>
      </c>
      <c r="Y186" s="47">
        <v>1</v>
      </c>
      <c r="Z186" s="47">
        <v>1</v>
      </c>
      <c r="AA186" s="47">
        <v>2</v>
      </c>
      <c r="AB186" s="47">
        <v>2</v>
      </c>
      <c r="AC186" s="47">
        <v>1</v>
      </c>
      <c r="AD186" s="47">
        <v>1</v>
      </c>
      <c r="AE186" s="47">
        <v>1</v>
      </c>
      <c r="AF186" s="47">
        <v>1</v>
      </c>
      <c r="AG186" s="47">
        <v>1</v>
      </c>
      <c r="AH186" s="47">
        <v>1</v>
      </c>
      <c r="AI186" s="48">
        <v>4</v>
      </c>
    </row>
    <row r="187" spans="7:35">
      <c r="G187" s="84">
        <v>23</v>
      </c>
      <c r="H187" s="30">
        <v>1</v>
      </c>
      <c r="I187" s="31">
        <v>1</v>
      </c>
      <c r="J187" s="31">
        <v>1</v>
      </c>
      <c r="K187" s="31">
        <v>1</v>
      </c>
      <c r="L187" s="31">
        <v>1</v>
      </c>
      <c r="M187" s="31">
        <v>1</v>
      </c>
      <c r="N187" s="31">
        <v>1</v>
      </c>
      <c r="O187" s="31">
        <v>1</v>
      </c>
      <c r="P187" s="31">
        <v>1</v>
      </c>
      <c r="Q187" s="31">
        <v>1</v>
      </c>
      <c r="R187" s="31">
        <v>1</v>
      </c>
      <c r="S187" s="31">
        <v>1</v>
      </c>
      <c r="T187" s="31">
        <v>1</v>
      </c>
      <c r="U187" s="31">
        <v>3</v>
      </c>
      <c r="V187" s="37">
        <v>1</v>
      </c>
      <c r="W187" s="47">
        <v>1</v>
      </c>
      <c r="X187" s="47">
        <v>1</v>
      </c>
      <c r="Y187" s="47">
        <v>1</v>
      </c>
      <c r="Z187" s="47">
        <v>1</v>
      </c>
      <c r="AA187" s="47">
        <v>2</v>
      </c>
      <c r="AB187" s="47">
        <v>3</v>
      </c>
      <c r="AC187" s="47">
        <v>1</v>
      </c>
      <c r="AD187" s="47">
        <v>1</v>
      </c>
      <c r="AE187" s="47">
        <v>1</v>
      </c>
      <c r="AF187" s="47">
        <v>1</v>
      </c>
      <c r="AG187" s="47">
        <v>1</v>
      </c>
      <c r="AH187" s="47">
        <v>2</v>
      </c>
      <c r="AI187" s="48">
        <v>4</v>
      </c>
    </row>
    <row r="188" spans="7:35">
      <c r="G188" s="84">
        <v>24</v>
      </c>
      <c r="H188" s="30">
        <v>1</v>
      </c>
      <c r="I188" s="31">
        <v>1</v>
      </c>
      <c r="J188" s="31">
        <v>1</v>
      </c>
      <c r="K188" s="31">
        <v>1</v>
      </c>
      <c r="L188" s="31">
        <v>1</v>
      </c>
      <c r="M188" s="31">
        <v>1</v>
      </c>
      <c r="N188" s="31">
        <v>1</v>
      </c>
      <c r="O188" s="31">
        <v>1</v>
      </c>
      <c r="P188" s="31">
        <v>1</v>
      </c>
      <c r="Q188" s="31">
        <v>1</v>
      </c>
      <c r="R188" s="31">
        <v>1</v>
      </c>
      <c r="S188" s="31">
        <v>1</v>
      </c>
      <c r="T188" s="31">
        <v>1</v>
      </c>
      <c r="U188" s="31">
        <v>3</v>
      </c>
      <c r="V188" s="37">
        <v>1</v>
      </c>
      <c r="W188" s="47">
        <v>1</v>
      </c>
      <c r="X188" s="47">
        <v>1</v>
      </c>
      <c r="Y188" s="47">
        <v>1</v>
      </c>
      <c r="Z188" s="47">
        <v>1</v>
      </c>
      <c r="AA188" s="47">
        <v>2</v>
      </c>
      <c r="AB188" s="47">
        <v>3</v>
      </c>
      <c r="AC188" s="47">
        <v>1</v>
      </c>
      <c r="AD188" s="47">
        <v>1</v>
      </c>
      <c r="AE188" s="47">
        <v>1</v>
      </c>
      <c r="AF188" s="47">
        <v>1</v>
      </c>
      <c r="AG188" s="47">
        <v>1</v>
      </c>
      <c r="AH188" s="47">
        <v>2</v>
      </c>
      <c r="AI188" s="48">
        <v>4</v>
      </c>
    </row>
    <row r="189" spans="7:35">
      <c r="G189" s="84">
        <v>25</v>
      </c>
      <c r="H189" s="30">
        <v>1</v>
      </c>
      <c r="I189" s="31">
        <v>1</v>
      </c>
      <c r="J189" s="31">
        <v>1</v>
      </c>
      <c r="K189" s="31">
        <v>1</v>
      </c>
      <c r="L189" s="31">
        <v>1</v>
      </c>
      <c r="M189" s="31">
        <v>1</v>
      </c>
      <c r="N189" s="31">
        <v>1</v>
      </c>
      <c r="O189" s="31">
        <v>1</v>
      </c>
      <c r="P189" s="31">
        <v>1</v>
      </c>
      <c r="Q189" s="31">
        <v>1</v>
      </c>
      <c r="R189" s="31">
        <v>1</v>
      </c>
      <c r="S189" s="31">
        <v>1</v>
      </c>
      <c r="T189" s="31">
        <v>1</v>
      </c>
      <c r="U189" s="31">
        <v>3</v>
      </c>
      <c r="V189" s="37">
        <v>1</v>
      </c>
      <c r="W189" s="47">
        <v>1</v>
      </c>
      <c r="X189" s="47">
        <v>1</v>
      </c>
      <c r="Y189" s="47">
        <v>1</v>
      </c>
      <c r="Z189" s="47">
        <v>1</v>
      </c>
      <c r="AA189" s="47">
        <v>2</v>
      </c>
      <c r="AB189" s="47">
        <v>3</v>
      </c>
      <c r="AC189" s="47">
        <v>1</v>
      </c>
      <c r="AD189" s="47">
        <v>1</v>
      </c>
      <c r="AE189" s="47">
        <v>1</v>
      </c>
      <c r="AF189" s="47">
        <v>1</v>
      </c>
      <c r="AG189" s="47">
        <v>1</v>
      </c>
      <c r="AH189" s="47">
        <v>2</v>
      </c>
      <c r="AI189" s="48">
        <v>4</v>
      </c>
    </row>
    <row r="190" spans="7:35">
      <c r="G190" s="84">
        <v>26</v>
      </c>
      <c r="H190" s="30">
        <v>1</v>
      </c>
      <c r="I190" s="31">
        <v>1</v>
      </c>
      <c r="J190" s="31">
        <v>1</v>
      </c>
      <c r="K190" s="31">
        <v>1</v>
      </c>
      <c r="L190" s="31">
        <v>1</v>
      </c>
      <c r="M190" s="31">
        <v>1</v>
      </c>
      <c r="N190" s="31">
        <v>1</v>
      </c>
      <c r="O190" s="31">
        <v>1</v>
      </c>
      <c r="P190" s="31">
        <v>1</v>
      </c>
      <c r="Q190" s="31">
        <v>1</v>
      </c>
      <c r="R190" s="31">
        <v>1</v>
      </c>
      <c r="S190" s="31">
        <v>1</v>
      </c>
      <c r="T190" s="31">
        <v>1</v>
      </c>
      <c r="U190" s="31">
        <v>3</v>
      </c>
      <c r="V190" s="37">
        <v>1</v>
      </c>
      <c r="W190" s="47">
        <v>1</v>
      </c>
      <c r="X190" s="47">
        <v>1</v>
      </c>
      <c r="Y190" s="47">
        <v>1</v>
      </c>
      <c r="Z190" s="47">
        <v>2</v>
      </c>
      <c r="AA190" s="47">
        <v>2</v>
      </c>
      <c r="AB190" s="47">
        <v>3</v>
      </c>
      <c r="AC190" s="47">
        <v>1</v>
      </c>
      <c r="AD190" s="47">
        <v>1</v>
      </c>
      <c r="AE190" s="47">
        <v>1</v>
      </c>
      <c r="AF190" s="47">
        <v>1</v>
      </c>
      <c r="AG190" s="47">
        <v>1</v>
      </c>
      <c r="AH190" s="47">
        <v>2</v>
      </c>
      <c r="AI190" s="48">
        <v>4</v>
      </c>
    </row>
    <row r="191" spans="7:35">
      <c r="G191" s="84">
        <v>27</v>
      </c>
      <c r="H191" s="30">
        <v>1</v>
      </c>
      <c r="I191" s="31">
        <v>1</v>
      </c>
      <c r="J191" s="31">
        <v>1</v>
      </c>
      <c r="K191" s="31">
        <v>1</v>
      </c>
      <c r="L191" s="31">
        <v>1</v>
      </c>
      <c r="M191" s="31">
        <v>1</v>
      </c>
      <c r="N191" s="31">
        <v>1</v>
      </c>
      <c r="O191" s="31">
        <v>1</v>
      </c>
      <c r="P191" s="31">
        <v>1</v>
      </c>
      <c r="Q191" s="31">
        <v>1</v>
      </c>
      <c r="R191" s="31">
        <v>1</v>
      </c>
      <c r="S191" s="31">
        <v>1</v>
      </c>
      <c r="T191" s="31">
        <v>1</v>
      </c>
      <c r="U191" s="31">
        <v>3</v>
      </c>
      <c r="V191" s="37">
        <v>1</v>
      </c>
      <c r="W191" s="47">
        <v>1</v>
      </c>
      <c r="X191" s="47">
        <v>1</v>
      </c>
      <c r="Y191" s="47">
        <v>1</v>
      </c>
      <c r="Z191" s="47">
        <v>2</v>
      </c>
      <c r="AA191" s="47">
        <v>3</v>
      </c>
      <c r="AB191" s="47">
        <v>3</v>
      </c>
      <c r="AC191" s="47">
        <v>1</v>
      </c>
      <c r="AD191" s="47">
        <v>1</v>
      </c>
      <c r="AE191" s="47">
        <v>1</v>
      </c>
      <c r="AF191" s="47">
        <v>1</v>
      </c>
      <c r="AG191" s="47">
        <v>1</v>
      </c>
      <c r="AH191" s="47">
        <v>3</v>
      </c>
      <c r="AI191" s="48">
        <v>5</v>
      </c>
    </row>
    <row r="192" spans="7:35">
      <c r="G192" s="84">
        <v>28</v>
      </c>
      <c r="H192" s="30">
        <v>1</v>
      </c>
      <c r="I192" s="31">
        <v>1</v>
      </c>
      <c r="J192" s="31">
        <v>1</v>
      </c>
      <c r="K192" s="31">
        <v>1</v>
      </c>
      <c r="L192" s="31">
        <v>1</v>
      </c>
      <c r="M192" s="31">
        <v>1</v>
      </c>
      <c r="N192" s="31">
        <v>1</v>
      </c>
      <c r="O192" s="31">
        <v>1</v>
      </c>
      <c r="P192" s="31">
        <v>1</v>
      </c>
      <c r="Q192" s="31">
        <v>1</v>
      </c>
      <c r="R192" s="31">
        <v>1</v>
      </c>
      <c r="S192" s="31">
        <v>1</v>
      </c>
      <c r="T192" s="31">
        <v>1</v>
      </c>
      <c r="U192" s="31">
        <v>4</v>
      </c>
      <c r="V192" s="37">
        <v>1</v>
      </c>
      <c r="W192" s="47">
        <v>1</v>
      </c>
      <c r="X192" s="47">
        <v>1</v>
      </c>
      <c r="Y192" s="47">
        <v>1</v>
      </c>
      <c r="Z192" s="47">
        <v>2</v>
      </c>
      <c r="AA192" s="47">
        <v>3</v>
      </c>
      <c r="AB192" s="47">
        <v>4</v>
      </c>
      <c r="AC192" s="47">
        <v>1</v>
      </c>
      <c r="AD192" s="47">
        <v>1</v>
      </c>
      <c r="AE192" s="47">
        <v>1</v>
      </c>
      <c r="AF192" s="47">
        <v>1</v>
      </c>
      <c r="AG192" s="47">
        <v>1</v>
      </c>
      <c r="AH192" s="47">
        <v>3</v>
      </c>
      <c r="AI192" s="48">
        <v>5</v>
      </c>
    </row>
    <row r="193" spans="7:35">
      <c r="G193" s="84">
        <v>29</v>
      </c>
      <c r="H193" s="30">
        <v>1</v>
      </c>
      <c r="I193" s="31">
        <v>1</v>
      </c>
      <c r="J193" s="31">
        <v>1</v>
      </c>
      <c r="K193" s="31">
        <v>1</v>
      </c>
      <c r="L193" s="31">
        <v>1</v>
      </c>
      <c r="M193" s="31">
        <v>1</v>
      </c>
      <c r="N193" s="31">
        <v>1</v>
      </c>
      <c r="O193" s="31">
        <v>1</v>
      </c>
      <c r="P193" s="31">
        <v>1</v>
      </c>
      <c r="Q193" s="31">
        <v>1</v>
      </c>
      <c r="R193" s="31">
        <v>1</v>
      </c>
      <c r="S193" s="31">
        <v>1</v>
      </c>
      <c r="T193" s="31">
        <v>1</v>
      </c>
      <c r="U193" s="31">
        <v>4</v>
      </c>
      <c r="V193" s="37">
        <v>1</v>
      </c>
      <c r="W193" s="47">
        <v>1</v>
      </c>
      <c r="X193" s="47">
        <v>1</v>
      </c>
      <c r="Y193" s="47">
        <v>2</v>
      </c>
      <c r="Z193" s="47">
        <v>2</v>
      </c>
      <c r="AA193" s="47">
        <v>3</v>
      </c>
      <c r="AB193" s="47">
        <v>4</v>
      </c>
      <c r="AC193" s="47">
        <v>1</v>
      </c>
      <c r="AD193" s="47">
        <v>1</v>
      </c>
      <c r="AE193" s="47">
        <v>2</v>
      </c>
      <c r="AF193" s="47">
        <v>1</v>
      </c>
      <c r="AG193" s="47">
        <v>2</v>
      </c>
      <c r="AH193" s="47">
        <v>3</v>
      </c>
      <c r="AI193" s="48">
        <v>5</v>
      </c>
    </row>
    <row r="194" spans="7:35">
      <c r="G194" s="84">
        <v>30</v>
      </c>
      <c r="H194" s="30">
        <v>1</v>
      </c>
      <c r="I194" s="31">
        <v>1</v>
      </c>
      <c r="J194" s="31">
        <v>1</v>
      </c>
      <c r="K194" s="31">
        <v>1</v>
      </c>
      <c r="L194" s="31">
        <v>1</v>
      </c>
      <c r="M194" s="31">
        <v>1</v>
      </c>
      <c r="N194" s="31">
        <v>1</v>
      </c>
      <c r="O194" s="31">
        <v>1</v>
      </c>
      <c r="P194" s="31">
        <v>1</v>
      </c>
      <c r="Q194" s="31">
        <v>1</v>
      </c>
      <c r="R194" s="31">
        <v>1</v>
      </c>
      <c r="S194" s="31">
        <v>1</v>
      </c>
      <c r="T194" s="31">
        <v>1</v>
      </c>
      <c r="U194" s="31">
        <v>4</v>
      </c>
      <c r="V194" s="37">
        <v>1</v>
      </c>
      <c r="W194" s="47">
        <v>1</v>
      </c>
      <c r="X194" s="47">
        <v>1</v>
      </c>
      <c r="Y194" s="47">
        <v>2</v>
      </c>
      <c r="Z194" s="47">
        <v>3</v>
      </c>
      <c r="AA194" s="47">
        <v>3</v>
      </c>
      <c r="AB194" s="47">
        <v>4</v>
      </c>
      <c r="AC194" s="47">
        <v>1</v>
      </c>
      <c r="AD194" s="47">
        <v>2</v>
      </c>
      <c r="AE194" s="47">
        <v>2</v>
      </c>
      <c r="AF194" s="47">
        <v>2</v>
      </c>
      <c r="AG194" s="47">
        <v>2</v>
      </c>
      <c r="AH194" s="47">
        <v>3</v>
      </c>
      <c r="AI194" s="48">
        <v>5</v>
      </c>
    </row>
    <row r="195" spans="7:35">
      <c r="G195" s="84">
        <v>31</v>
      </c>
      <c r="H195" s="30">
        <v>1</v>
      </c>
      <c r="I195" s="31">
        <v>1</v>
      </c>
      <c r="J195" s="31">
        <v>1</v>
      </c>
      <c r="K195" s="31">
        <v>1</v>
      </c>
      <c r="L195" s="31">
        <v>1</v>
      </c>
      <c r="M195" s="31">
        <v>1</v>
      </c>
      <c r="N195" s="31">
        <v>1</v>
      </c>
      <c r="O195" s="31">
        <v>1</v>
      </c>
      <c r="P195" s="31">
        <v>1</v>
      </c>
      <c r="Q195" s="31">
        <v>1</v>
      </c>
      <c r="R195" s="31">
        <v>1</v>
      </c>
      <c r="S195" s="31">
        <v>1</v>
      </c>
      <c r="T195" s="31">
        <v>1</v>
      </c>
      <c r="U195" s="31">
        <v>4</v>
      </c>
      <c r="V195" s="37">
        <v>1</v>
      </c>
      <c r="W195" s="47">
        <v>1</v>
      </c>
      <c r="X195" s="47">
        <v>2</v>
      </c>
      <c r="Y195" s="47">
        <v>2</v>
      </c>
      <c r="Z195" s="47">
        <v>3</v>
      </c>
      <c r="AA195" s="47">
        <v>3</v>
      </c>
      <c r="AB195" s="47">
        <v>4</v>
      </c>
      <c r="AC195" s="47">
        <v>1</v>
      </c>
      <c r="AD195" s="47">
        <v>2</v>
      </c>
      <c r="AE195" s="47">
        <v>2</v>
      </c>
      <c r="AF195" s="47">
        <v>2</v>
      </c>
      <c r="AG195" s="47">
        <v>2</v>
      </c>
      <c r="AH195" s="47">
        <v>3</v>
      </c>
      <c r="AI195" s="48">
        <v>5</v>
      </c>
    </row>
    <row r="196" spans="7:35">
      <c r="G196" s="84">
        <v>32</v>
      </c>
      <c r="H196" s="30">
        <v>1</v>
      </c>
      <c r="I196" s="31">
        <v>1</v>
      </c>
      <c r="J196" s="31">
        <v>1</v>
      </c>
      <c r="K196" s="31">
        <v>1</v>
      </c>
      <c r="L196" s="31">
        <v>1</v>
      </c>
      <c r="M196" s="31">
        <v>1</v>
      </c>
      <c r="N196" s="31">
        <v>1</v>
      </c>
      <c r="O196" s="31">
        <v>1</v>
      </c>
      <c r="P196" s="31">
        <v>1</v>
      </c>
      <c r="Q196" s="31">
        <v>1</v>
      </c>
      <c r="R196" s="31">
        <v>1</v>
      </c>
      <c r="S196" s="31">
        <v>1</v>
      </c>
      <c r="T196" s="31">
        <v>1</v>
      </c>
      <c r="U196" s="31">
        <v>4</v>
      </c>
      <c r="V196" s="37">
        <v>1</v>
      </c>
      <c r="W196" s="47">
        <v>2</v>
      </c>
      <c r="X196" s="47">
        <v>2</v>
      </c>
      <c r="Y196" s="47">
        <v>2</v>
      </c>
      <c r="Z196" s="47">
        <v>3</v>
      </c>
      <c r="AA196" s="47">
        <v>4</v>
      </c>
      <c r="AB196" s="47">
        <v>4</v>
      </c>
      <c r="AC196" s="47">
        <v>1</v>
      </c>
      <c r="AD196" s="47">
        <v>2</v>
      </c>
      <c r="AE196" s="47">
        <v>2</v>
      </c>
      <c r="AF196" s="47">
        <v>2</v>
      </c>
      <c r="AG196" s="47">
        <v>2</v>
      </c>
      <c r="AH196" s="47">
        <v>4</v>
      </c>
      <c r="AI196" s="48">
        <v>5</v>
      </c>
    </row>
    <row r="197" spans="7:35">
      <c r="G197" s="84">
        <v>33</v>
      </c>
      <c r="H197" s="30">
        <v>1</v>
      </c>
      <c r="I197" s="31">
        <v>1</v>
      </c>
      <c r="J197" s="31">
        <v>1</v>
      </c>
      <c r="K197" s="31">
        <v>1</v>
      </c>
      <c r="L197" s="31">
        <v>1</v>
      </c>
      <c r="M197" s="31">
        <v>1</v>
      </c>
      <c r="N197" s="31">
        <v>1</v>
      </c>
      <c r="O197" s="31">
        <v>1</v>
      </c>
      <c r="P197" s="31">
        <v>1</v>
      </c>
      <c r="Q197" s="31">
        <v>1</v>
      </c>
      <c r="R197" s="31">
        <v>1</v>
      </c>
      <c r="S197" s="31">
        <v>1</v>
      </c>
      <c r="T197" s="31">
        <v>1</v>
      </c>
      <c r="U197" s="31">
        <v>5</v>
      </c>
      <c r="V197" s="37">
        <v>2</v>
      </c>
      <c r="W197" s="47">
        <v>2</v>
      </c>
      <c r="X197" s="47">
        <v>2</v>
      </c>
      <c r="Y197" s="47">
        <v>3</v>
      </c>
      <c r="Z197" s="47">
        <v>3</v>
      </c>
      <c r="AA197" s="47">
        <v>4</v>
      </c>
      <c r="AB197" s="47">
        <v>5</v>
      </c>
      <c r="AC197" s="47">
        <v>1</v>
      </c>
      <c r="AD197" s="47">
        <v>2</v>
      </c>
      <c r="AE197" s="47">
        <v>2</v>
      </c>
      <c r="AF197" s="47">
        <v>2</v>
      </c>
      <c r="AG197" s="47">
        <v>3</v>
      </c>
      <c r="AH197" s="47">
        <v>4</v>
      </c>
      <c r="AI197" s="48">
        <v>6</v>
      </c>
    </row>
    <row r="198" spans="7:35">
      <c r="G198" s="84">
        <v>34</v>
      </c>
      <c r="H198" s="30">
        <v>1</v>
      </c>
      <c r="I198" s="31">
        <v>1</v>
      </c>
      <c r="J198" s="31">
        <v>1</v>
      </c>
      <c r="K198" s="31">
        <v>1</v>
      </c>
      <c r="L198" s="31">
        <v>1</v>
      </c>
      <c r="M198" s="31">
        <v>1</v>
      </c>
      <c r="N198" s="31">
        <v>1</v>
      </c>
      <c r="O198" s="31">
        <v>2</v>
      </c>
      <c r="P198" s="31">
        <v>1</v>
      </c>
      <c r="Q198" s="31">
        <v>1</v>
      </c>
      <c r="R198" s="31">
        <v>1</v>
      </c>
      <c r="S198" s="31">
        <v>1</v>
      </c>
      <c r="T198" s="31">
        <v>1</v>
      </c>
      <c r="U198" s="31">
        <v>5</v>
      </c>
      <c r="V198" s="37">
        <v>2</v>
      </c>
      <c r="W198" s="47">
        <v>2</v>
      </c>
      <c r="X198" s="47">
        <v>2</v>
      </c>
      <c r="Y198" s="47">
        <v>3</v>
      </c>
      <c r="Z198" s="47">
        <v>3</v>
      </c>
      <c r="AA198" s="47">
        <v>4</v>
      </c>
      <c r="AB198" s="47">
        <v>5</v>
      </c>
      <c r="AC198" s="47">
        <v>1</v>
      </c>
      <c r="AD198" s="47">
        <v>3</v>
      </c>
      <c r="AE198" s="47">
        <v>3</v>
      </c>
      <c r="AF198" s="47">
        <v>3</v>
      </c>
      <c r="AG198" s="47">
        <v>3</v>
      </c>
      <c r="AH198" s="47">
        <v>4</v>
      </c>
      <c r="AI198" s="48">
        <v>6</v>
      </c>
    </row>
    <row r="199" spans="7:35">
      <c r="G199" s="84">
        <v>35</v>
      </c>
      <c r="H199" s="30">
        <v>1</v>
      </c>
      <c r="I199" s="31">
        <v>1</v>
      </c>
      <c r="J199" s="31">
        <v>1</v>
      </c>
      <c r="K199" s="31">
        <v>1</v>
      </c>
      <c r="L199" s="31">
        <v>1</v>
      </c>
      <c r="M199" s="31">
        <v>1</v>
      </c>
      <c r="N199" s="31">
        <v>1</v>
      </c>
      <c r="O199" s="31">
        <v>2</v>
      </c>
      <c r="P199" s="31">
        <v>1</v>
      </c>
      <c r="Q199" s="31">
        <v>1</v>
      </c>
      <c r="R199" s="31">
        <v>1</v>
      </c>
      <c r="S199" s="31">
        <v>1</v>
      </c>
      <c r="T199" s="31">
        <v>1</v>
      </c>
      <c r="U199" s="31">
        <v>5</v>
      </c>
      <c r="V199" s="37">
        <v>2</v>
      </c>
      <c r="W199" s="47">
        <v>2</v>
      </c>
      <c r="X199" s="47">
        <v>3</v>
      </c>
      <c r="Y199" s="47">
        <v>3</v>
      </c>
      <c r="Z199" s="47">
        <v>4</v>
      </c>
      <c r="AA199" s="47">
        <v>4</v>
      </c>
      <c r="AB199" s="47">
        <v>5</v>
      </c>
      <c r="AC199" s="47">
        <v>2</v>
      </c>
      <c r="AD199" s="47">
        <v>3</v>
      </c>
      <c r="AE199" s="47">
        <v>3</v>
      </c>
      <c r="AF199" s="47">
        <v>3</v>
      </c>
      <c r="AG199" s="47">
        <v>3</v>
      </c>
      <c r="AH199" s="47">
        <v>4</v>
      </c>
      <c r="AI199" s="48">
        <v>6</v>
      </c>
    </row>
    <row r="200" spans="7:35">
      <c r="G200" s="84">
        <v>36</v>
      </c>
      <c r="H200" s="30">
        <v>1</v>
      </c>
      <c r="I200" s="31">
        <v>1</v>
      </c>
      <c r="J200" s="31">
        <v>1</v>
      </c>
      <c r="K200" s="31">
        <v>1</v>
      </c>
      <c r="L200" s="31">
        <v>1</v>
      </c>
      <c r="M200" s="31">
        <v>1</v>
      </c>
      <c r="N200" s="31">
        <v>2</v>
      </c>
      <c r="O200" s="31">
        <v>3</v>
      </c>
      <c r="P200" s="31">
        <v>1</v>
      </c>
      <c r="Q200" s="31">
        <v>1</v>
      </c>
      <c r="R200" s="31">
        <v>1</v>
      </c>
      <c r="S200" s="31">
        <v>1</v>
      </c>
      <c r="T200" s="31">
        <v>1</v>
      </c>
      <c r="U200" s="31">
        <v>5</v>
      </c>
      <c r="V200" s="37">
        <v>3</v>
      </c>
      <c r="W200" s="47">
        <v>3</v>
      </c>
      <c r="X200" s="47">
        <v>3</v>
      </c>
      <c r="Y200" s="47">
        <v>3</v>
      </c>
      <c r="Z200" s="47">
        <v>4</v>
      </c>
      <c r="AA200" s="47">
        <v>5</v>
      </c>
      <c r="AB200" s="47">
        <v>5</v>
      </c>
      <c r="AC200" s="47">
        <v>2</v>
      </c>
      <c r="AD200" s="47">
        <v>3</v>
      </c>
      <c r="AE200" s="47">
        <v>3</v>
      </c>
      <c r="AF200" s="47">
        <v>3</v>
      </c>
      <c r="AG200" s="47">
        <v>3</v>
      </c>
      <c r="AH200" s="47">
        <v>4</v>
      </c>
      <c r="AI200" s="48">
        <v>6</v>
      </c>
    </row>
    <row r="201" spans="7:35">
      <c r="G201" s="84">
        <v>37</v>
      </c>
      <c r="H201" s="30">
        <v>2</v>
      </c>
      <c r="I201" s="31">
        <v>1</v>
      </c>
      <c r="J201" s="31">
        <v>1</v>
      </c>
      <c r="K201" s="31">
        <v>1</v>
      </c>
      <c r="L201" s="31">
        <v>1</v>
      </c>
      <c r="M201" s="31">
        <v>1</v>
      </c>
      <c r="N201" s="31">
        <v>2</v>
      </c>
      <c r="O201" s="31">
        <v>3</v>
      </c>
      <c r="P201" s="31">
        <v>1</v>
      </c>
      <c r="Q201" s="31">
        <v>1</v>
      </c>
      <c r="R201" s="31">
        <v>1</v>
      </c>
      <c r="S201" s="31">
        <v>1</v>
      </c>
      <c r="T201" s="31">
        <v>1</v>
      </c>
      <c r="U201" s="31">
        <v>5</v>
      </c>
      <c r="V201" s="37">
        <v>3</v>
      </c>
      <c r="W201" s="47">
        <v>3</v>
      </c>
      <c r="X201" s="47">
        <v>3</v>
      </c>
      <c r="Y201" s="47">
        <v>4</v>
      </c>
      <c r="Z201" s="47">
        <v>4</v>
      </c>
      <c r="AA201" s="47">
        <v>5</v>
      </c>
      <c r="AB201" s="47">
        <v>5</v>
      </c>
      <c r="AC201" s="47">
        <v>2</v>
      </c>
      <c r="AD201" s="47">
        <v>3</v>
      </c>
      <c r="AE201" s="47">
        <v>3</v>
      </c>
      <c r="AF201" s="47">
        <v>3</v>
      </c>
      <c r="AG201" s="47">
        <v>4</v>
      </c>
      <c r="AH201" s="47">
        <v>5</v>
      </c>
      <c r="AI201" s="48">
        <v>6</v>
      </c>
    </row>
    <row r="202" spans="7:35">
      <c r="G202" s="84">
        <v>38</v>
      </c>
      <c r="H202" s="30">
        <v>2</v>
      </c>
      <c r="I202" s="31">
        <v>2</v>
      </c>
      <c r="J202" s="31">
        <v>1</v>
      </c>
      <c r="K202" s="31">
        <v>1</v>
      </c>
      <c r="L202" s="31">
        <v>1</v>
      </c>
      <c r="M202" s="31">
        <v>2</v>
      </c>
      <c r="N202" s="31">
        <v>3</v>
      </c>
      <c r="O202" s="31">
        <v>3</v>
      </c>
      <c r="P202" s="31">
        <v>1</v>
      </c>
      <c r="Q202" s="31">
        <v>1</v>
      </c>
      <c r="R202" s="31">
        <v>1</v>
      </c>
      <c r="S202" s="31">
        <v>1</v>
      </c>
      <c r="T202" s="31">
        <v>1</v>
      </c>
      <c r="U202" s="31">
        <v>6</v>
      </c>
      <c r="V202" s="37">
        <v>3</v>
      </c>
      <c r="W202" s="47">
        <v>3</v>
      </c>
      <c r="X202" s="47">
        <v>4</v>
      </c>
      <c r="Y202" s="47">
        <v>4</v>
      </c>
      <c r="Z202" s="47">
        <v>4</v>
      </c>
      <c r="AA202" s="47">
        <v>5</v>
      </c>
      <c r="AB202" s="47">
        <v>5</v>
      </c>
      <c r="AC202" s="47">
        <v>3</v>
      </c>
      <c r="AD202" s="47">
        <v>4</v>
      </c>
      <c r="AE202" s="47">
        <v>4</v>
      </c>
      <c r="AF202" s="47">
        <v>4</v>
      </c>
      <c r="AG202" s="47">
        <v>4</v>
      </c>
      <c r="AH202" s="47">
        <v>5</v>
      </c>
      <c r="AI202" s="48">
        <v>6</v>
      </c>
    </row>
    <row r="203" spans="7:35">
      <c r="G203" s="84">
        <v>39</v>
      </c>
      <c r="H203" s="30">
        <v>3</v>
      </c>
      <c r="I203" s="31">
        <v>2</v>
      </c>
      <c r="J203" s="31">
        <v>2</v>
      </c>
      <c r="K203" s="31">
        <v>2</v>
      </c>
      <c r="L203" s="31">
        <v>2</v>
      </c>
      <c r="M203" s="31">
        <v>2</v>
      </c>
      <c r="N203" s="31">
        <v>3</v>
      </c>
      <c r="O203" s="31">
        <v>4</v>
      </c>
      <c r="P203" s="31">
        <v>1</v>
      </c>
      <c r="Q203" s="31">
        <v>1</v>
      </c>
      <c r="R203" s="31">
        <v>1</v>
      </c>
      <c r="S203" s="31">
        <v>1</v>
      </c>
      <c r="T203" s="31">
        <v>1</v>
      </c>
      <c r="U203" s="31">
        <v>6</v>
      </c>
      <c r="V203" s="37">
        <v>3</v>
      </c>
      <c r="W203" s="47">
        <v>4</v>
      </c>
      <c r="X203" s="47">
        <v>4</v>
      </c>
      <c r="Y203" s="47">
        <v>4</v>
      </c>
      <c r="Z203" s="47">
        <v>5</v>
      </c>
      <c r="AA203" s="47">
        <v>5</v>
      </c>
      <c r="AB203" s="47">
        <v>6</v>
      </c>
      <c r="AC203" s="47">
        <v>3</v>
      </c>
      <c r="AD203" s="47">
        <v>4</v>
      </c>
      <c r="AE203" s="47">
        <v>4</v>
      </c>
      <c r="AF203" s="47">
        <v>4</v>
      </c>
      <c r="AG203" s="47">
        <v>4</v>
      </c>
      <c r="AH203" s="47">
        <v>5</v>
      </c>
      <c r="AI203" s="48">
        <v>7</v>
      </c>
    </row>
    <row r="204" spans="7:35">
      <c r="G204" s="84">
        <v>40</v>
      </c>
      <c r="H204" s="30">
        <v>3</v>
      </c>
      <c r="I204" s="31">
        <v>2</v>
      </c>
      <c r="J204" s="31">
        <v>2</v>
      </c>
      <c r="K204" s="31">
        <v>2</v>
      </c>
      <c r="L204" s="31">
        <v>2</v>
      </c>
      <c r="M204" s="31">
        <v>3</v>
      </c>
      <c r="N204" s="31">
        <v>3</v>
      </c>
      <c r="O204" s="31">
        <v>4</v>
      </c>
      <c r="P204" s="31">
        <v>1</v>
      </c>
      <c r="Q204" s="31">
        <v>1</v>
      </c>
      <c r="R204" s="31">
        <v>1</v>
      </c>
      <c r="S204" s="31">
        <v>1</v>
      </c>
      <c r="T204" s="31">
        <v>1</v>
      </c>
      <c r="U204" s="31">
        <v>6</v>
      </c>
      <c r="V204" s="37">
        <v>4</v>
      </c>
      <c r="W204" s="47">
        <v>4</v>
      </c>
      <c r="X204" s="47">
        <v>4</v>
      </c>
      <c r="Y204" s="47">
        <v>4</v>
      </c>
      <c r="Z204" s="47">
        <v>5</v>
      </c>
      <c r="AA204" s="47">
        <v>5</v>
      </c>
      <c r="AB204" s="47">
        <v>6</v>
      </c>
      <c r="AC204" s="47">
        <v>3</v>
      </c>
      <c r="AD204" s="47">
        <v>4</v>
      </c>
      <c r="AE204" s="47">
        <v>4</v>
      </c>
      <c r="AF204" s="47">
        <v>4</v>
      </c>
      <c r="AG204" s="47">
        <v>4</v>
      </c>
      <c r="AH204" s="47">
        <v>5</v>
      </c>
      <c r="AI204" s="48">
        <v>7</v>
      </c>
    </row>
    <row r="205" spans="7:35">
      <c r="G205" s="84">
        <v>41</v>
      </c>
      <c r="H205" s="30">
        <v>3</v>
      </c>
      <c r="I205" s="31">
        <v>3</v>
      </c>
      <c r="J205" s="31">
        <v>2</v>
      </c>
      <c r="K205" s="31">
        <v>2</v>
      </c>
      <c r="L205" s="31">
        <v>3</v>
      </c>
      <c r="M205" s="31">
        <v>3</v>
      </c>
      <c r="N205" s="31">
        <v>4</v>
      </c>
      <c r="O205" s="31">
        <v>4</v>
      </c>
      <c r="P205" s="31">
        <v>1</v>
      </c>
      <c r="Q205" s="31">
        <v>1</v>
      </c>
      <c r="R205" s="31">
        <v>1</v>
      </c>
      <c r="S205" s="31">
        <v>1</v>
      </c>
      <c r="T205" s="31">
        <v>1</v>
      </c>
      <c r="U205" s="31">
        <v>6</v>
      </c>
      <c r="V205" s="37">
        <v>4</v>
      </c>
      <c r="W205" s="47">
        <v>4</v>
      </c>
      <c r="X205" s="47">
        <v>4</v>
      </c>
      <c r="Y205" s="47">
        <v>5</v>
      </c>
      <c r="Z205" s="47">
        <v>5</v>
      </c>
      <c r="AA205" s="47">
        <v>6</v>
      </c>
      <c r="AB205" s="47">
        <v>6</v>
      </c>
      <c r="AC205" s="47">
        <v>4</v>
      </c>
      <c r="AD205" s="47">
        <v>4</v>
      </c>
      <c r="AE205" s="47">
        <v>4</v>
      </c>
      <c r="AF205" s="47">
        <v>4</v>
      </c>
      <c r="AG205" s="47">
        <v>5</v>
      </c>
      <c r="AH205" s="47">
        <v>6</v>
      </c>
      <c r="AI205" s="48">
        <v>7</v>
      </c>
    </row>
    <row r="206" spans="7:35">
      <c r="G206" s="84">
        <v>42</v>
      </c>
      <c r="H206" s="30">
        <v>4</v>
      </c>
      <c r="I206" s="31">
        <v>3</v>
      </c>
      <c r="J206" s="31">
        <v>3</v>
      </c>
      <c r="K206" s="31">
        <v>3</v>
      </c>
      <c r="L206" s="31">
        <v>3</v>
      </c>
      <c r="M206" s="31">
        <v>3</v>
      </c>
      <c r="N206" s="31">
        <v>4</v>
      </c>
      <c r="O206" s="31">
        <v>5</v>
      </c>
      <c r="P206" s="31">
        <v>1</v>
      </c>
      <c r="Q206" s="31">
        <v>1</v>
      </c>
      <c r="R206" s="31">
        <v>1</v>
      </c>
      <c r="S206" s="31">
        <v>1</v>
      </c>
      <c r="T206" s="31">
        <v>2</v>
      </c>
      <c r="U206" s="31">
        <v>6</v>
      </c>
      <c r="V206" s="37">
        <v>4</v>
      </c>
      <c r="W206" s="47">
        <v>4</v>
      </c>
      <c r="X206" s="47">
        <v>5</v>
      </c>
      <c r="Y206" s="47">
        <v>5</v>
      </c>
      <c r="Z206" s="47">
        <v>5</v>
      </c>
      <c r="AA206" s="47">
        <v>6</v>
      </c>
      <c r="AB206" s="47">
        <v>6</v>
      </c>
      <c r="AC206" s="47">
        <v>4</v>
      </c>
      <c r="AD206" s="47">
        <v>5</v>
      </c>
      <c r="AE206" s="47">
        <v>5</v>
      </c>
      <c r="AF206" s="47">
        <v>5</v>
      </c>
      <c r="AG206" s="47">
        <v>5</v>
      </c>
      <c r="AH206" s="47">
        <v>6</v>
      </c>
      <c r="AI206" s="48">
        <v>7</v>
      </c>
    </row>
    <row r="207" spans="7:35">
      <c r="G207" s="84">
        <v>43</v>
      </c>
      <c r="H207" s="30">
        <v>4</v>
      </c>
      <c r="I207" s="31">
        <v>4</v>
      </c>
      <c r="J207" s="31">
        <v>3</v>
      </c>
      <c r="K207" s="31">
        <v>3</v>
      </c>
      <c r="L207" s="31">
        <v>3</v>
      </c>
      <c r="M207" s="31">
        <v>4</v>
      </c>
      <c r="N207" s="31">
        <v>4</v>
      </c>
      <c r="O207" s="31">
        <v>5</v>
      </c>
      <c r="P207" s="31">
        <v>1</v>
      </c>
      <c r="Q207" s="31">
        <v>1</v>
      </c>
      <c r="R207" s="31">
        <v>1</v>
      </c>
      <c r="S207" s="31">
        <v>1</v>
      </c>
      <c r="T207" s="31">
        <v>2</v>
      </c>
      <c r="U207" s="31">
        <v>7</v>
      </c>
      <c r="V207" s="37">
        <v>5</v>
      </c>
      <c r="W207" s="47">
        <v>5</v>
      </c>
      <c r="X207" s="47">
        <v>5</v>
      </c>
      <c r="Y207" s="47">
        <v>5</v>
      </c>
      <c r="Z207" s="47">
        <v>6</v>
      </c>
      <c r="AA207" s="47">
        <v>6</v>
      </c>
      <c r="AB207" s="47">
        <v>6</v>
      </c>
      <c r="AC207" s="47">
        <v>4</v>
      </c>
      <c r="AD207" s="47">
        <v>5</v>
      </c>
      <c r="AE207" s="47">
        <v>5</v>
      </c>
      <c r="AF207" s="47">
        <v>5</v>
      </c>
      <c r="AG207" s="47">
        <v>5</v>
      </c>
      <c r="AH207" s="47">
        <v>6</v>
      </c>
      <c r="AI207" s="48">
        <v>7</v>
      </c>
    </row>
    <row r="208" spans="7:35">
      <c r="G208" s="84">
        <v>44</v>
      </c>
      <c r="H208" s="30">
        <v>5</v>
      </c>
      <c r="I208" s="31">
        <v>4</v>
      </c>
      <c r="J208" s="31">
        <v>4</v>
      </c>
      <c r="K208" s="31">
        <v>4</v>
      </c>
      <c r="L208" s="31">
        <v>4</v>
      </c>
      <c r="M208" s="31">
        <v>4</v>
      </c>
      <c r="N208" s="31">
        <v>5</v>
      </c>
      <c r="O208" s="31">
        <v>5</v>
      </c>
      <c r="P208" s="31">
        <v>1</v>
      </c>
      <c r="Q208" s="31">
        <v>1</v>
      </c>
      <c r="R208" s="31">
        <v>1</v>
      </c>
      <c r="S208" s="31">
        <v>1</v>
      </c>
      <c r="T208" s="31">
        <v>3</v>
      </c>
      <c r="U208" s="31">
        <v>7</v>
      </c>
      <c r="V208" s="37">
        <v>5</v>
      </c>
      <c r="W208" s="47">
        <v>5</v>
      </c>
      <c r="X208" s="47">
        <v>5</v>
      </c>
      <c r="Y208" s="47">
        <v>5</v>
      </c>
      <c r="Z208" s="47">
        <v>6</v>
      </c>
      <c r="AA208" s="47">
        <v>6</v>
      </c>
      <c r="AB208" s="47">
        <v>7</v>
      </c>
      <c r="AC208" s="47">
        <v>4</v>
      </c>
      <c r="AD208" s="47">
        <v>5</v>
      </c>
      <c r="AE208" s="47">
        <v>5</v>
      </c>
      <c r="AF208" s="47">
        <v>5</v>
      </c>
      <c r="AG208" s="47">
        <v>5</v>
      </c>
      <c r="AH208" s="47">
        <v>6</v>
      </c>
      <c r="AI208" s="48">
        <v>7</v>
      </c>
    </row>
    <row r="209" spans="7:35">
      <c r="G209" s="84">
        <v>45</v>
      </c>
      <c r="H209" s="30">
        <v>5</v>
      </c>
      <c r="I209" s="31">
        <v>5</v>
      </c>
      <c r="J209" s="31">
        <v>4</v>
      </c>
      <c r="K209" s="31">
        <v>4</v>
      </c>
      <c r="L209" s="31">
        <v>4</v>
      </c>
      <c r="M209" s="31">
        <v>5</v>
      </c>
      <c r="N209" s="31">
        <v>5</v>
      </c>
      <c r="O209" s="31">
        <v>6</v>
      </c>
      <c r="P209" s="31">
        <v>2</v>
      </c>
      <c r="Q209" s="31">
        <v>1</v>
      </c>
      <c r="R209" s="31">
        <v>1</v>
      </c>
      <c r="S209" s="31">
        <v>1</v>
      </c>
      <c r="T209" s="31">
        <v>3</v>
      </c>
      <c r="U209" s="31">
        <v>7</v>
      </c>
      <c r="V209" s="37">
        <v>5</v>
      </c>
      <c r="W209" s="47">
        <v>5</v>
      </c>
      <c r="X209" s="47">
        <v>5</v>
      </c>
      <c r="Y209" s="47">
        <v>6</v>
      </c>
      <c r="Z209" s="47">
        <v>6</v>
      </c>
      <c r="AA209" s="47">
        <v>6</v>
      </c>
      <c r="AB209" s="47">
        <v>7</v>
      </c>
      <c r="AC209" s="47">
        <v>5</v>
      </c>
      <c r="AD209" s="47">
        <v>5</v>
      </c>
      <c r="AE209" s="47">
        <v>5</v>
      </c>
      <c r="AF209" s="47">
        <v>5</v>
      </c>
      <c r="AG209" s="47">
        <v>6</v>
      </c>
      <c r="AH209" s="47">
        <v>6</v>
      </c>
      <c r="AI209" s="48">
        <v>7</v>
      </c>
    </row>
    <row r="210" spans="7:35">
      <c r="G210" s="84">
        <v>46</v>
      </c>
      <c r="H210" s="30">
        <v>6</v>
      </c>
      <c r="I210" s="31">
        <v>5</v>
      </c>
      <c r="J210" s="31">
        <v>5</v>
      </c>
      <c r="K210" s="31">
        <v>5</v>
      </c>
      <c r="L210" s="31">
        <v>5</v>
      </c>
      <c r="M210" s="31">
        <v>5</v>
      </c>
      <c r="N210" s="31">
        <v>5</v>
      </c>
      <c r="O210" s="31">
        <v>6</v>
      </c>
      <c r="P210" s="31">
        <v>2</v>
      </c>
      <c r="Q210" s="31">
        <v>1</v>
      </c>
      <c r="R210" s="31">
        <v>2</v>
      </c>
      <c r="S210" s="31">
        <v>1</v>
      </c>
      <c r="T210" s="31">
        <v>4</v>
      </c>
      <c r="U210" s="31">
        <v>7</v>
      </c>
      <c r="V210" s="37">
        <v>5</v>
      </c>
      <c r="W210" s="47">
        <v>5</v>
      </c>
      <c r="X210" s="47">
        <v>6</v>
      </c>
      <c r="Y210" s="47">
        <v>6</v>
      </c>
      <c r="Z210" s="47">
        <v>6</v>
      </c>
      <c r="AA210" s="47">
        <v>7</v>
      </c>
      <c r="AB210" s="47">
        <v>7</v>
      </c>
      <c r="AC210" s="47">
        <v>5</v>
      </c>
      <c r="AD210" s="47">
        <v>6</v>
      </c>
      <c r="AE210" s="47">
        <v>6</v>
      </c>
      <c r="AF210" s="47">
        <v>6</v>
      </c>
      <c r="AG210" s="47">
        <v>6</v>
      </c>
      <c r="AH210" s="47">
        <v>7</v>
      </c>
      <c r="AI210" s="48">
        <v>8</v>
      </c>
    </row>
    <row r="211" spans="7:35">
      <c r="G211" s="84">
        <v>47</v>
      </c>
      <c r="H211" s="30">
        <v>6</v>
      </c>
      <c r="I211" s="31">
        <v>5</v>
      </c>
      <c r="J211" s="31">
        <v>5</v>
      </c>
      <c r="K211" s="31">
        <v>5</v>
      </c>
      <c r="L211" s="31">
        <v>5</v>
      </c>
      <c r="M211" s="31">
        <v>5</v>
      </c>
      <c r="N211" s="31">
        <v>6</v>
      </c>
      <c r="O211" s="31">
        <v>6</v>
      </c>
      <c r="P211" s="31">
        <v>3</v>
      </c>
      <c r="Q211" s="31">
        <v>1</v>
      </c>
      <c r="R211" s="31">
        <v>2</v>
      </c>
      <c r="S211" s="31">
        <v>2</v>
      </c>
      <c r="T211" s="31">
        <v>4</v>
      </c>
      <c r="U211" s="31">
        <v>7</v>
      </c>
      <c r="V211" s="37">
        <v>6</v>
      </c>
      <c r="W211" s="47">
        <v>6</v>
      </c>
      <c r="X211" s="47">
        <v>6</v>
      </c>
      <c r="Y211" s="47">
        <v>6</v>
      </c>
      <c r="Z211" s="47">
        <v>6</v>
      </c>
      <c r="AA211" s="47">
        <v>7</v>
      </c>
      <c r="AB211" s="47">
        <v>7</v>
      </c>
      <c r="AC211" s="47">
        <v>5</v>
      </c>
      <c r="AD211" s="47">
        <v>6</v>
      </c>
      <c r="AE211" s="47">
        <v>6</v>
      </c>
      <c r="AF211" s="47">
        <v>6</v>
      </c>
      <c r="AG211" s="47">
        <v>6</v>
      </c>
      <c r="AH211" s="47">
        <v>7</v>
      </c>
      <c r="AI211" s="48">
        <v>8</v>
      </c>
    </row>
    <row r="212" spans="7:35">
      <c r="G212" s="84">
        <v>48</v>
      </c>
      <c r="H212" s="30">
        <v>6</v>
      </c>
      <c r="I212" s="31">
        <v>6</v>
      </c>
      <c r="J212" s="31">
        <v>5</v>
      </c>
      <c r="K212" s="31">
        <v>5</v>
      </c>
      <c r="L212" s="31">
        <v>5</v>
      </c>
      <c r="M212" s="31">
        <v>6</v>
      </c>
      <c r="N212" s="31">
        <v>6</v>
      </c>
      <c r="O212" s="31">
        <v>7</v>
      </c>
      <c r="P212" s="31">
        <v>4</v>
      </c>
      <c r="Q212" s="31">
        <v>2</v>
      </c>
      <c r="R212" s="31">
        <v>3</v>
      </c>
      <c r="S212" s="31">
        <v>3</v>
      </c>
      <c r="T212" s="31">
        <v>5</v>
      </c>
      <c r="U212" s="31">
        <v>8</v>
      </c>
      <c r="V212" s="37">
        <v>6</v>
      </c>
      <c r="W212" s="47">
        <v>6</v>
      </c>
      <c r="X212" s="47">
        <v>6</v>
      </c>
      <c r="Y212" s="47">
        <v>6</v>
      </c>
      <c r="Z212" s="47">
        <v>7</v>
      </c>
      <c r="AA212" s="47">
        <v>7</v>
      </c>
      <c r="AB212" s="47">
        <v>7</v>
      </c>
      <c r="AC212" s="47">
        <v>6</v>
      </c>
      <c r="AD212" s="47">
        <v>6</v>
      </c>
      <c r="AE212" s="47">
        <v>6</v>
      </c>
      <c r="AF212" s="47">
        <v>6</v>
      </c>
      <c r="AG212" s="47">
        <v>6</v>
      </c>
      <c r="AH212" s="47">
        <v>7</v>
      </c>
      <c r="AI212" s="48">
        <v>8</v>
      </c>
    </row>
    <row r="213" spans="7:35">
      <c r="G213" s="84">
        <v>49</v>
      </c>
      <c r="H213" s="30">
        <v>7</v>
      </c>
      <c r="I213" s="31">
        <v>6</v>
      </c>
      <c r="J213" s="31">
        <v>6</v>
      </c>
      <c r="K213" s="31">
        <v>6</v>
      </c>
      <c r="L213" s="31">
        <v>6</v>
      </c>
      <c r="M213" s="31">
        <v>6</v>
      </c>
      <c r="N213" s="31">
        <v>6</v>
      </c>
      <c r="O213" s="31">
        <v>7</v>
      </c>
      <c r="P213" s="31">
        <v>4</v>
      </c>
      <c r="Q213" s="31">
        <v>3</v>
      </c>
      <c r="R213" s="31">
        <v>3</v>
      </c>
      <c r="S213" s="31">
        <v>3</v>
      </c>
      <c r="T213" s="31">
        <v>5</v>
      </c>
      <c r="U213" s="31">
        <v>8</v>
      </c>
      <c r="V213" s="37">
        <v>6</v>
      </c>
      <c r="W213" s="47">
        <v>6</v>
      </c>
      <c r="X213" s="47">
        <v>6</v>
      </c>
      <c r="Y213" s="47">
        <v>7</v>
      </c>
      <c r="Z213" s="47">
        <v>7</v>
      </c>
      <c r="AA213" s="47">
        <v>7</v>
      </c>
      <c r="AB213" s="47">
        <v>8</v>
      </c>
      <c r="AC213" s="47">
        <v>6</v>
      </c>
      <c r="AD213" s="47">
        <v>6</v>
      </c>
      <c r="AE213" s="47">
        <v>6</v>
      </c>
      <c r="AF213" s="47">
        <v>6</v>
      </c>
      <c r="AG213" s="47">
        <v>7</v>
      </c>
      <c r="AH213" s="47">
        <v>7</v>
      </c>
      <c r="AI213" s="48">
        <v>8</v>
      </c>
    </row>
    <row r="214" spans="7:35">
      <c r="G214" s="84">
        <v>50</v>
      </c>
      <c r="H214" s="30">
        <v>7</v>
      </c>
      <c r="I214" s="31">
        <v>7</v>
      </c>
      <c r="J214" s="31">
        <v>6</v>
      </c>
      <c r="K214" s="31">
        <v>6</v>
      </c>
      <c r="L214" s="31">
        <v>6</v>
      </c>
      <c r="M214" s="31">
        <v>6</v>
      </c>
      <c r="N214" s="31">
        <v>7</v>
      </c>
      <c r="O214" s="31">
        <v>7</v>
      </c>
      <c r="P214" s="31">
        <v>5</v>
      </c>
      <c r="Q214" s="31">
        <v>3</v>
      </c>
      <c r="R214" s="31">
        <v>4</v>
      </c>
      <c r="S214" s="31">
        <v>4</v>
      </c>
      <c r="T214" s="31">
        <v>6</v>
      </c>
      <c r="U214" s="31">
        <v>8</v>
      </c>
      <c r="V214" s="37">
        <v>7</v>
      </c>
      <c r="W214" s="47">
        <v>7</v>
      </c>
      <c r="X214" s="47">
        <v>7</v>
      </c>
      <c r="Y214" s="47">
        <v>7</v>
      </c>
      <c r="Z214" s="47">
        <v>7</v>
      </c>
      <c r="AA214" s="47">
        <v>7</v>
      </c>
      <c r="AB214" s="47">
        <v>8</v>
      </c>
      <c r="AC214" s="47">
        <v>6</v>
      </c>
      <c r="AD214" s="47">
        <v>7</v>
      </c>
      <c r="AE214" s="47">
        <v>7</v>
      </c>
      <c r="AF214" s="47">
        <v>7</v>
      </c>
      <c r="AG214" s="47">
        <v>7</v>
      </c>
      <c r="AH214" s="47">
        <v>7</v>
      </c>
      <c r="AI214" s="48">
        <v>8</v>
      </c>
    </row>
    <row r="215" spans="7:35">
      <c r="G215" s="84">
        <v>51</v>
      </c>
      <c r="H215" s="30">
        <v>8</v>
      </c>
      <c r="I215" s="31">
        <v>7</v>
      </c>
      <c r="J215" s="31">
        <v>7</v>
      </c>
      <c r="K215" s="31">
        <v>7</v>
      </c>
      <c r="L215" s="31">
        <v>7</v>
      </c>
      <c r="M215" s="31">
        <v>7</v>
      </c>
      <c r="N215" s="31">
        <v>7</v>
      </c>
      <c r="O215" s="31">
        <v>8</v>
      </c>
      <c r="P215" s="31">
        <v>5</v>
      </c>
      <c r="Q215" s="31">
        <v>4</v>
      </c>
      <c r="R215" s="31">
        <v>5</v>
      </c>
      <c r="S215" s="31">
        <v>5</v>
      </c>
      <c r="T215" s="31">
        <v>6</v>
      </c>
      <c r="U215" s="31">
        <v>8</v>
      </c>
      <c r="V215" s="37">
        <v>7</v>
      </c>
      <c r="W215" s="47">
        <v>7</v>
      </c>
      <c r="X215" s="47">
        <v>7</v>
      </c>
      <c r="Y215" s="47">
        <v>7</v>
      </c>
      <c r="Z215" s="47">
        <v>7</v>
      </c>
      <c r="AA215" s="47">
        <v>8</v>
      </c>
      <c r="AB215" s="47">
        <v>8</v>
      </c>
      <c r="AC215" s="47">
        <v>6</v>
      </c>
      <c r="AD215" s="47">
        <v>7</v>
      </c>
      <c r="AE215" s="47">
        <v>7</v>
      </c>
      <c r="AF215" s="47">
        <v>7</v>
      </c>
      <c r="AG215" s="47">
        <v>7</v>
      </c>
      <c r="AH215" s="47">
        <v>8</v>
      </c>
      <c r="AI215" s="48">
        <v>8</v>
      </c>
    </row>
    <row r="216" spans="7:35">
      <c r="G216" s="84">
        <v>52</v>
      </c>
      <c r="H216" s="30">
        <v>8</v>
      </c>
      <c r="I216" s="31">
        <v>8</v>
      </c>
      <c r="J216" s="31">
        <v>7</v>
      </c>
      <c r="K216" s="31">
        <v>7</v>
      </c>
      <c r="L216" s="31">
        <v>7</v>
      </c>
      <c r="M216" s="31">
        <v>7</v>
      </c>
      <c r="N216" s="31">
        <v>8</v>
      </c>
      <c r="O216" s="31">
        <v>8</v>
      </c>
      <c r="P216" s="31">
        <v>6</v>
      </c>
      <c r="Q216" s="31">
        <v>5</v>
      </c>
      <c r="R216" s="31">
        <v>5</v>
      </c>
      <c r="S216" s="31">
        <v>5</v>
      </c>
      <c r="T216" s="31">
        <v>7</v>
      </c>
      <c r="U216" s="31">
        <v>9</v>
      </c>
      <c r="V216" s="37">
        <v>7</v>
      </c>
      <c r="W216" s="47">
        <v>7</v>
      </c>
      <c r="X216" s="47">
        <v>7</v>
      </c>
      <c r="Y216" s="47">
        <v>7</v>
      </c>
      <c r="Z216" s="47">
        <v>8</v>
      </c>
      <c r="AA216" s="47">
        <v>8</v>
      </c>
      <c r="AB216" s="47">
        <v>8</v>
      </c>
      <c r="AC216" s="47">
        <v>7</v>
      </c>
      <c r="AD216" s="47">
        <v>7</v>
      </c>
      <c r="AE216" s="47">
        <v>7</v>
      </c>
      <c r="AF216" s="47">
        <v>7</v>
      </c>
      <c r="AG216" s="47">
        <v>7</v>
      </c>
      <c r="AH216" s="47">
        <v>8</v>
      </c>
      <c r="AI216" s="48">
        <v>9</v>
      </c>
    </row>
    <row r="217" spans="7:35">
      <c r="G217" s="84">
        <v>53</v>
      </c>
      <c r="H217" s="30">
        <v>8</v>
      </c>
      <c r="I217" s="31">
        <v>8</v>
      </c>
      <c r="J217" s="31">
        <v>8</v>
      </c>
      <c r="K217" s="31">
        <v>7</v>
      </c>
      <c r="L217" s="31">
        <v>7</v>
      </c>
      <c r="M217" s="31">
        <v>8</v>
      </c>
      <c r="N217" s="31">
        <v>8</v>
      </c>
      <c r="O217" s="31">
        <v>8</v>
      </c>
      <c r="P217" s="31">
        <v>7</v>
      </c>
      <c r="Q217" s="31">
        <v>6</v>
      </c>
      <c r="R217" s="31">
        <v>6</v>
      </c>
      <c r="S217" s="31">
        <v>6</v>
      </c>
      <c r="T217" s="31">
        <v>7</v>
      </c>
      <c r="U217" s="31">
        <v>9</v>
      </c>
      <c r="V217" s="37">
        <v>7</v>
      </c>
      <c r="W217" s="47">
        <v>7</v>
      </c>
      <c r="X217" s="47">
        <v>7</v>
      </c>
      <c r="Y217" s="47">
        <v>8</v>
      </c>
      <c r="Z217" s="47">
        <v>8</v>
      </c>
      <c r="AA217" s="47">
        <v>8</v>
      </c>
      <c r="AB217" s="47">
        <v>8</v>
      </c>
      <c r="AC217" s="47">
        <v>7</v>
      </c>
      <c r="AD217" s="47">
        <v>7</v>
      </c>
      <c r="AE217" s="47">
        <v>7</v>
      </c>
      <c r="AF217" s="47">
        <v>7</v>
      </c>
      <c r="AG217" s="47">
        <v>8</v>
      </c>
      <c r="AH217" s="47">
        <v>8</v>
      </c>
      <c r="AI217" s="48">
        <v>9</v>
      </c>
    </row>
    <row r="218" spans="7:35">
      <c r="G218" s="84">
        <v>54</v>
      </c>
      <c r="H218" s="30">
        <v>9</v>
      </c>
      <c r="I218" s="31">
        <v>8</v>
      </c>
      <c r="J218" s="31">
        <v>8</v>
      </c>
      <c r="K218" s="31">
        <v>8</v>
      </c>
      <c r="L218" s="31">
        <v>8</v>
      </c>
      <c r="M218" s="31">
        <v>8</v>
      </c>
      <c r="N218" s="31">
        <v>8</v>
      </c>
      <c r="O218" s="31">
        <v>9</v>
      </c>
      <c r="P218" s="31">
        <v>7</v>
      </c>
      <c r="Q218" s="31">
        <v>6</v>
      </c>
      <c r="R218" s="31">
        <v>7</v>
      </c>
      <c r="S218" s="31">
        <v>7</v>
      </c>
      <c r="T218" s="31">
        <v>8</v>
      </c>
      <c r="U218" s="31">
        <v>9</v>
      </c>
      <c r="V218" s="37">
        <v>8</v>
      </c>
      <c r="W218" s="47">
        <v>8</v>
      </c>
      <c r="X218" s="47">
        <v>8</v>
      </c>
      <c r="Y218" s="47">
        <v>8</v>
      </c>
      <c r="Z218" s="47">
        <v>8</v>
      </c>
      <c r="AA218" s="47">
        <v>8</v>
      </c>
      <c r="AB218" s="47">
        <v>9</v>
      </c>
      <c r="AC218" s="47">
        <v>7</v>
      </c>
      <c r="AD218" s="47">
        <v>7</v>
      </c>
      <c r="AE218" s="47">
        <v>7</v>
      </c>
      <c r="AF218" s="47">
        <v>8</v>
      </c>
      <c r="AG218" s="47">
        <v>8</v>
      </c>
      <c r="AH218" s="47">
        <v>8</v>
      </c>
      <c r="AI218" s="48">
        <v>9</v>
      </c>
    </row>
    <row r="219" spans="7:35">
      <c r="G219" s="84">
        <v>55</v>
      </c>
      <c r="H219" s="30">
        <v>9</v>
      </c>
      <c r="I219" s="31">
        <v>9</v>
      </c>
      <c r="J219" s="31">
        <v>8</v>
      </c>
      <c r="K219" s="31">
        <v>8</v>
      </c>
      <c r="L219" s="31">
        <v>8</v>
      </c>
      <c r="M219" s="31">
        <v>8</v>
      </c>
      <c r="N219" s="31">
        <v>9</v>
      </c>
      <c r="O219" s="31">
        <v>9</v>
      </c>
      <c r="P219" s="31">
        <v>8</v>
      </c>
      <c r="Q219" s="31">
        <v>7</v>
      </c>
      <c r="R219" s="31">
        <v>7</v>
      </c>
      <c r="S219" s="31">
        <v>7</v>
      </c>
      <c r="T219" s="31">
        <v>8</v>
      </c>
      <c r="U219" s="31">
        <v>9</v>
      </c>
      <c r="V219" s="37">
        <v>8</v>
      </c>
      <c r="W219" s="47">
        <v>8</v>
      </c>
      <c r="X219" s="47">
        <v>8</v>
      </c>
      <c r="Y219" s="47">
        <v>8</v>
      </c>
      <c r="Z219" s="47">
        <v>8</v>
      </c>
      <c r="AA219" s="47">
        <v>9</v>
      </c>
      <c r="AB219" s="47">
        <v>9</v>
      </c>
      <c r="AC219" s="47">
        <v>8</v>
      </c>
      <c r="AD219" s="47">
        <v>8</v>
      </c>
      <c r="AE219" s="47">
        <v>8</v>
      </c>
      <c r="AF219" s="47">
        <v>8</v>
      </c>
      <c r="AG219" s="47">
        <v>8</v>
      </c>
      <c r="AH219" s="47">
        <v>9</v>
      </c>
      <c r="AI219" s="48">
        <v>9</v>
      </c>
    </row>
    <row r="220" spans="7:35">
      <c r="G220" s="84">
        <v>56</v>
      </c>
      <c r="H220" s="30">
        <v>10</v>
      </c>
      <c r="I220" s="31">
        <v>9</v>
      </c>
      <c r="J220" s="31">
        <v>9</v>
      </c>
      <c r="K220" s="31">
        <v>9</v>
      </c>
      <c r="L220" s="31">
        <v>9</v>
      </c>
      <c r="M220" s="31">
        <v>9</v>
      </c>
      <c r="N220" s="31">
        <v>9</v>
      </c>
      <c r="O220" s="31">
        <v>10</v>
      </c>
      <c r="P220" s="31">
        <v>8</v>
      </c>
      <c r="Q220" s="31">
        <v>8</v>
      </c>
      <c r="R220" s="31">
        <v>8</v>
      </c>
      <c r="S220" s="31">
        <v>8</v>
      </c>
      <c r="T220" s="31">
        <v>9</v>
      </c>
      <c r="U220" s="31">
        <v>9</v>
      </c>
      <c r="V220" s="37">
        <v>8</v>
      </c>
      <c r="W220" s="47">
        <v>8</v>
      </c>
      <c r="X220" s="47">
        <v>8</v>
      </c>
      <c r="Y220" s="47">
        <v>8</v>
      </c>
      <c r="Z220" s="47">
        <v>9</v>
      </c>
      <c r="AA220" s="47">
        <v>9</v>
      </c>
      <c r="AB220" s="47">
        <v>9</v>
      </c>
      <c r="AC220" s="47">
        <v>8</v>
      </c>
      <c r="AD220" s="47">
        <v>8</v>
      </c>
      <c r="AE220" s="47">
        <v>8</v>
      </c>
      <c r="AF220" s="47">
        <v>8</v>
      </c>
      <c r="AG220" s="47">
        <v>8</v>
      </c>
      <c r="AH220" s="47">
        <v>9</v>
      </c>
      <c r="AI220" s="48">
        <v>9</v>
      </c>
    </row>
    <row r="221" spans="7:35">
      <c r="G221" s="84">
        <v>57</v>
      </c>
      <c r="H221" s="30">
        <v>10</v>
      </c>
      <c r="I221" s="31">
        <v>10</v>
      </c>
      <c r="J221" s="31">
        <v>9</v>
      </c>
      <c r="K221" s="31">
        <v>9</v>
      </c>
      <c r="L221" s="31">
        <v>9</v>
      </c>
      <c r="M221" s="31">
        <v>9</v>
      </c>
      <c r="N221" s="31">
        <v>9</v>
      </c>
      <c r="O221" s="31">
        <v>10</v>
      </c>
      <c r="P221" s="31">
        <v>9</v>
      </c>
      <c r="Q221" s="31">
        <v>8</v>
      </c>
      <c r="R221" s="31">
        <v>9</v>
      </c>
      <c r="S221" s="31">
        <v>9</v>
      </c>
      <c r="T221" s="31">
        <v>9</v>
      </c>
      <c r="U221" s="31">
        <v>10</v>
      </c>
      <c r="V221" s="37">
        <v>9</v>
      </c>
      <c r="W221" s="47">
        <v>9</v>
      </c>
      <c r="X221" s="47">
        <v>9</v>
      </c>
      <c r="Y221" s="47">
        <v>9</v>
      </c>
      <c r="Z221" s="47">
        <v>9</v>
      </c>
      <c r="AA221" s="47">
        <v>9</v>
      </c>
      <c r="AB221" s="47">
        <v>9</v>
      </c>
      <c r="AC221" s="47">
        <v>8</v>
      </c>
      <c r="AD221" s="47">
        <v>8</v>
      </c>
      <c r="AE221" s="47">
        <v>8</v>
      </c>
      <c r="AF221" s="47">
        <v>8</v>
      </c>
      <c r="AG221" s="47">
        <v>8</v>
      </c>
      <c r="AH221" s="47">
        <v>9</v>
      </c>
      <c r="AI221" s="48">
        <v>9</v>
      </c>
    </row>
    <row r="222" spans="7:35">
      <c r="G222" s="84">
        <v>58</v>
      </c>
      <c r="H222" s="30">
        <v>11</v>
      </c>
      <c r="I222" s="31">
        <v>10</v>
      </c>
      <c r="J222" s="31">
        <v>10</v>
      </c>
      <c r="K222" s="31">
        <v>10</v>
      </c>
      <c r="L222" s="31">
        <v>9</v>
      </c>
      <c r="M222" s="31">
        <v>10</v>
      </c>
      <c r="N222" s="31">
        <v>10</v>
      </c>
      <c r="O222" s="31">
        <v>11</v>
      </c>
      <c r="P222" s="31">
        <v>10</v>
      </c>
      <c r="Q222" s="31">
        <v>9</v>
      </c>
      <c r="R222" s="31">
        <v>9</v>
      </c>
      <c r="S222" s="31">
        <v>9</v>
      </c>
      <c r="T222" s="31">
        <v>10</v>
      </c>
      <c r="U222" s="31">
        <v>10</v>
      </c>
      <c r="V222" s="37">
        <v>9</v>
      </c>
      <c r="W222" s="47">
        <v>9</v>
      </c>
      <c r="X222" s="47">
        <v>9</v>
      </c>
      <c r="Y222" s="47">
        <v>9</v>
      </c>
      <c r="Z222" s="47">
        <v>9</v>
      </c>
      <c r="AA222" s="47">
        <v>9</v>
      </c>
      <c r="AB222" s="47">
        <v>9</v>
      </c>
      <c r="AC222" s="47">
        <v>8</v>
      </c>
      <c r="AD222" s="47">
        <v>8</v>
      </c>
      <c r="AE222" s="47">
        <v>8</v>
      </c>
      <c r="AF222" s="47">
        <v>8</v>
      </c>
      <c r="AG222" s="47">
        <v>9</v>
      </c>
      <c r="AH222" s="47">
        <v>9</v>
      </c>
      <c r="AI222" s="48">
        <v>10</v>
      </c>
    </row>
    <row r="223" spans="7:35">
      <c r="G223" s="84">
        <v>59</v>
      </c>
      <c r="H223" s="30">
        <v>12</v>
      </c>
      <c r="I223" s="31">
        <v>12</v>
      </c>
      <c r="J223" s="31">
        <v>11</v>
      </c>
      <c r="K223" s="31">
        <v>10</v>
      </c>
      <c r="L223" s="31">
        <v>10</v>
      </c>
      <c r="M223" s="31">
        <v>10</v>
      </c>
      <c r="N223" s="31">
        <v>11</v>
      </c>
      <c r="O223" s="31">
        <v>12</v>
      </c>
      <c r="P223" s="31">
        <v>11</v>
      </c>
      <c r="Q223" s="31">
        <v>10</v>
      </c>
      <c r="R223" s="31">
        <v>10</v>
      </c>
      <c r="S223" s="31">
        <v>10</v>
      </c>
      <c r="T223" s="31">
        <v>11</v>
      </c>
      <c r="U223" s="31">
        <v>10</v>
      </c>
      <c r="V223" s="37">
        <v>9</v>
      </c>
      <c r="W223" s="47">
        <v>9</v>
      </c>
      <c r="X223" s="47">
        <v>9</v>
      </c>
      <c r="Y223" s="47">
        <v>9</v>
      </c>
      <c r="Z223" s="47">
        <v>9</v>
      </c>
      <c r="AA223" s="47">
        <v>9</v>
      </c>
      <c r="AB223" s="47">
        <v>10</v>
      </c>
      <c r="AC223" s="47">
        <v>9</v>
      </c>
      <c r="AD223" s="47">
        <v>9</v>
      </c>
      <c r="AE223" s="47">
        <v>9</v>
      </c>
      <c r="AF223" s="47">
        <v>9</v>
      </c>
      <c r="AG223" s="47">
        <v>9</v>
      </c>
      <c r="AH223" s="47">
        <v>9</v>
      </c>
      <c r="AI223" s="48">
        <v>10</v>
      </c>
    </row>
    <row r="224" spans="7:35">
      <c r="G224" s="84">
        <v>60</v>
      </c>
      <c r="H224" s="30">
        <v>13</v>
      </c>
      <c r="I224" s="31">
        <v>13</v>
      </c>
      <c r="J224" s="31">
        <v>14</v>
      </c>
      <c r="K224" s="31">
        <v>14</v>
      </c>
      <c r="L224" s="31">
        <v>15</v>
      </c>
      <c r="M224" s="31">
        <v>15</v>
      </c>
      <c r="N224" s="31">
        <v>14</v>
      </c>
      <c r="O224" s="31">
        <v>13</v>
      </c>
      <c r="P224" s="31">
        <v>15</v>
      </c>
      <c r="Q224" s="31">
        <v>13</v>
      </c>
      <c r="R224" s="31">
        <v>14</v>
      </c>
      <c r="S224" s="31">
        <v>14</v>
      </c>
      <c r="T224" s="31">
        <v>14</v>
      </c>
      <c r="U224" s="31">
        <v>14</v>
      </c>
      <c r="V224" s="37">
        <v>9</v>
      </c>
      <c r="W224" s="47">
        <v>9</v>
      </c>
      <c r="X224" s="47">
        <v>9</v>
      </c>
      <c r="Y224" s="47">
        <v>9</v>
      </c>
      <c r="Z224" s="47">
        <v>9</v>
      </c>
      <c r="AA224" s="47">
        <v>10</v>
      </c>
      <c r="AB224" s="47">
        <v>10</v>
      </c>
      <c r="AC224" s="47">
        <v>9</v>
      </c>
      <c r="AD224" s="47">
        <v>9</v>
      </c>
      <c r="AE224" s="47">
        <v>9</v>
      </c>
      <c r="AF224" s="47">
        <v>9</v>
      </c>
      <c r="AG224" s="47">
        <v>9</v>
      </c>
      <c r="AH224" s="47">
        <v>10</v>
      </c>
      <c r="AI224" s="48">
        <v>10</v>
      </c>
    </row>
    <row r="225" spans="7:35">
      <c r="G225" s="84">
        <v>61</v>
      </c>
      <c r="H225" s="33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7">
        <v>10</v>
      </c>
      <c r="W225" s="47">
        <v>10</v>
      </c>
      <c r="X225" s="47">
        <v>10</v>
      </c>
      <c r="Y225" s="47">
        <v>10</v>
      </c>
      <c r="Z225" s="47">
        <v>10</v>
      </c>
      <c r="AA225" s="47">
        <v>10</v>
      </c>
      <c r="AB225" s="47">
        <v>10</v>
      </c>
      <c r="AC225" s="47">
        <v>9</v>
      </c>
      <c r="AD225" s="47">
        <v>9</v>
      </c>
      <c r="AE225" s="47">
        <v>9</v>
      </c>
      <c r="AF225" s="47">
        <v>9</v>
      </c>
      <c r="AG225" s="47">
        <v>9</v>
      </c>
      <c r="AH225" s="47">
        <v>10</v>
      </c>
      <c r="AI225" s="48">
        <v>10</v>
      </c>
    </row>
    <row r="226" spans="7:35">
      <c r="G226" s="84">
        <v>62</v>
      </c>
      <c r="H226" s="33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7">
        <v>10</v>
      </c>
      <c r="W226" s="47">
        <v>10</v>
      </c>
      <c r="X226" s="47">
        <v>10</v>
      </c>
      <c r="Y226" s="47">
        <v>10</v>
      </c>
      <c r="Z226" s="47">
        <v>10</v>
      </c>
      <c r="AA226" s="47">
        <v>10</v>
      </c>
      <c r="AB226" s="47">
        <v>10</v>
      </c>
      <c r="AC226" s="47">
        <v>10</v>
      </c>
      <c r="AD226" s="47">
        <v>9</v>
      </c>
      <c r="AE226" s="47">
        <v>9</v>
      </c>
      <c r="AF226" s="47">
        <v>9</v>
      </c>
      <c r="AG226" s="47">
        <v>10</v>
      </c>
      <c r="AH226" s="47">
        <v>10</v>
      </c>
      <c r="AI226" s="48">
        <v>11</v>
      </c>
    </row>
    <row r="227" spans="7:35">
      <c r="G227" s="84">
        <v>63</v>
      </c>
      <c r="H227" s="33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7">
        <v>11</v>
      </c>
      <c r="W227" s="47">
        <v>11</v>
      </c>
      <c r="X227" s="47">
        <v>10</v>
      </c>
      <c r="Y227" s="47">
        <v>10</v>
      </c>
      <c r="Z227" s="47">
        <v>11</v>
      </c>
      <c r="AA227" s="47">
        <v>11</v>
      </c>
      <c r="AB227" s="47">
        <v>11</v>
      </c>
      <c r="AC227" s="47">
        <v>10</v>
      </c>
      <c r="AD227" s="47">
        <v>10</v>
      </c>
      <c r="AE227" s="47">
        <v>10</v>
      </c>
      <c r="AF227" s="47">
        <v>10</v>
      </c>
      <c r="AG227" s="47">
        <v>10</v>
      </c>
      <c r="AH227" s="47">
        <v>11</v>
      </c>
      <c r="AI227" s="48">
        <v>11</v>
      </c>
    </row>
    <row r="228" spans="7:35">
      <c r="G228" s="84">
        <v>64</v>
      </c>
      <c r="H228" s="33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7">
        <v>11</v>
      </c>
      <c r="W228" s="47">
        <v>11</v>
      </c>
      <c r="X228" s="47">
        <v>11</v>
      </c>
      <c r="Y228" s="47">
        <v>11</v>
      </c>
      <c r="Z228" s="47">
        <v>11</v>
      </c>
      <c r="AA228" s="47">
        <v>11</v>
      </c>
      <c r="AB228" s="47">
        <v>12</v>
      </c>
      <c r="AC228" s="47">
        <v>11</v>
      </c>
      <c r="AD228" s="47">
        <v>10</v>
      </c>
      <c r="AE228" s="47">
        <v>10</v>
      </c>
      <c r="AF228" s="47">
        <v>10</v>
      </c>
      <c r="AG228" s="47">
        <v>11</v>
      </c>
      <c r="AH228" s="47">
        <v>11</v>
      </c>
      <c r="AI228" s="48">
        <v>12</v>
      </c>
    </row>
    <row r="229" spans="7:35">
      <c r="G229" s="84">
        <v>65</v>
      </c>
      <c r="H229" s="33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7">
        <v>12</v>
      </c>
      <c r="W229" s="47">
        <v>12</v>
      </c>
      <c r="X229" s="47">
        <v>12</v>
      </c>
      <c r="Y229" s="47">
        <v>12</v>
      </c>
      <c r="Z229" s="47">
        <v>12</v>
      </c>
      <c r="AA229" s="47">
        <v>12</v>
      </c>
      <c r="AB229" s="47">
        <v>12</v>
      </c>
      <c r="AC229" s="47">
        <v>12</v>
      </c>
      <c r="AD229" s="47">
        <v>11</v>
      </c>
      <c r="AE229" s="47">
        <v>11</v>
      </c>
      <c r="AF229" s="47">
        <v>11</v>
      </c>
      <c r="AG229" s="47">
        <v>12</v>
      </c>
      <c r="AH229" s="47">
        <v>12</v>
      </c>
      <c r="AI229" s="48">
        <v>12</v>
      </c>
    </row>
    <row r="230" spans="7:35" ht="15.75" thickBot="1">
      <c r="G230" s="84">
        <v>66</v>
      </c>
      <c r="H230" s="35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8">
        <v>13</v>
      </c>
      <c r="W230" s="49">
        <v>13</v>
      </c>
      <c r="X230" s="49">
        <v>13</v>
      </c>
      <c r="Y230" s="49">
        <v>13</v>
      </c>
      <c r="Z230" s="49">
        <v>13</v>
      </c>
      <c r="AA230" s="49">
        <v>13</v>
      </c>
      <c r="AB230" s="49">
        <v>13</v>
      </c>
      <c r="AC230" s="49">
        <v>13</v>
      </c>
      <c r="AD230" s="49">
        <v>13</v>
      </c>
      <c r="AE230" s="49">
        <v>13</v>
      </c>
      <c r="AF230" s="49">
        <v>13</v>
      </c>
      <c r="AG230" s="49">
        <v>13</v>
      </c>
      <c r="AH230" s="49">
        <v>13</v>
      </c>
      <c r="AI230" s="50">
        <v>13</v>
      </c>
    </row>
    <row r="231" spans="7:35" ht="15.75" thickTop="1"/>
  </sheetData>
  <sheetProtection algorithmName="SHA-512" hashValue="ovvuSs+OCCIHyiFhT2CJIkCnYlYY7f6x6Z0gvYJxp/JkWGsVbUXvZ2e4VXD20BkOP56UEirpT4BIH2n3NTYN1w==" saltValue="g51jxW9QfTyY5c0SWdFFDQ==" spinCount="100000" sheet="1" objects="1" scenarios="1" selectLockedCells="1"/>
  <mergeCells count="42">
    <mergeCell ref="H162:N162"/>
    <mergeCell ref="O162:U162"/>
    <mergeCell ref="V162:AB162"/>
    <mergeCell ref="AC162:AI162"/>
    <mergeCell ref="AX84:BK84"/>
    <mergeCell ref="AJ85:AP85"/>
    <mergeCell ref="AQ85:AW85"/>
    <mergeCell ref="AX85:BD85"/>
    <mergeCell ref="BE85:BK85"/>
    <mergeCell ref="H161:U161"/>
    <mergeCell ref="V161:AI161"/>
    <mergeCell ref="V84:AI84"/>
    <mergeCell ref="H85:N85"/>
    <mergeCell ref="O85:U85"/>
    <mergeCell ref="V85:AB85"/>
    <mergeCell ref="AC85:AI85"/>
    <mergeCell ref="AJ84:AW84"/>
    <mergeCell ref="AX1:BK1"/>
    <mergeCell ref="AX2:BD2"/>
    <mergeCell ref="BE2:BK2"/>
    <mergeCell ref="H84:U84"/>
    <mergeCell ref="V1:AI1"/>
    <mergeCell ref="V2:AB2"/>
    <mergeCell ref="AC2:AI2"/>
    <mergeCell ref="AJ1:AW1"/>
    <mergeCell ref="AJ2:AP2"/>
    <mergeCell ref="AQ2:AW2"/>
    <mergeCell ref="A3:B3"/>
    <mergeCell ref="H2:N2"/>
    <mergeCell ref="O2:U2"/>
    <mergeCell ref="H1:U1"/>
    <mergeCell ref="A15:B15"/>
    <mergeCell ref="A16:B16"/>
    <mergeCell ref="A17:B17"/>
    <mergeCell ref="A18:B18"/>
    <mergeCell ref="A19:B19"/>
    <mergeCell ref="A9:B9"/>
    <mergeCell ref="A10:B10"/>
    <mergeCell ref="A11:B11"/>
    <mergeCell ref="A12:B12"/>
    <mergeCell ref="A13:B13"/>
    <mergeCell ref="A14:B14"/>
  </mergeCell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N147"/>
  <sheetViews>
    <sheetView workbookViewId="0">
      <pane xSplit="7" ySplit="3" topLeftCell="H4" activePane="bottomRight" state="frozen"/>
      <selection pane="bottomRight" activeCell="D15" sqref="D15"/>
      <selection pane="bottomLeft" activeCell="A4" sqref="A4"/>
      <selection pane="topRight" activeCell="H1" sqref="H1"/>
    </sheetView>
  </sheetViews>
  <sheetFormatPr defaultRowHeight="15"/>
  <cols>
    <col min="92" max="92" width="9.140625" style="1"/>
  </cols>
  <sheetData>
    <row r="1" spans="1:91" ht="22.5" thickTop="1" thickBot="1">
      <c r="H1" s="284" t="s">
        <v>97</v>
      </c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95" t="s">
        <v>98</v>
      </c>
      <c r="W1" s="296"/>
      <c r="X1" s="296"/>
      <c r="Y1" s="296"/>
      <c r="Z1" s="296"/>
      <c r="AA1" s="296"/>
      <c r="AB1" s="296"/>
      <c r="AC1" s="296"/>
      <c r="AD1" s="296"/>
      <c r="AE1" s="296"/>
      <c r="AF1" s="296"/>
      <c r="AG1" s="296"/>
      <c r="AH1" s="296"/>
      <c r="AI1" s="297"/>
      <c r="AJ1" s="303" t="s">
        <v>99</v>
      </c>
      <c r="AK1" s="294"/>
      <c r="AL1" s="294"/>
      <c r="AM1" s="294"/>
      <c r="AN1" s="294"/>
      <c r="AO1" s="294"/>
      <c r="AP1" s="294"/>
      <c r="AQ1" s="294"/>
      <c r="AR1" s="294"/>
      <c r="AS1" s="294"/>
      <c r="AT1" s="294"/>
      <c r="AU1" s="294"/>
      <c r="AV1" s="294"/>
      <c r="AW1" s="294"/>
      <c r="AX1" s="287" t="s">
        <v>100</v>
      </c>
      <c r="AY1" s="288"/>
      <c r="AZ1" s="288"/>
      <c r="BA1" s="288"/>
      <c r="BB1" s="288"/>
      <c r="BC1" s="288"/>
      <c r="BD1" s="288"/>
      <c r="BE1" s="288"/>
      <c r="BF1" s="288"/>
      <c r="BG1" s="288"/>
      <c r="BH1" s="288"/>
      <c r="BI1" s="288"/>
      <c r="BJ1" s="288"/>
      <c r="BK1" s="289"/>
      <c r="BL1" s="284" t="s">
        <v>101</v>
      </c>
      <c r="BM1" s="285"/>
      <c r="BN1" s="285"/>
      <c r="BO1" s="285"/>
      <c r="BP1" s="285"/>
      <c r="BQ1" s="285"/>
      <c r="BR1" s="285"/>
      <c r="BS1" s="285"/>
      <c r="BT1" s="285"/>
      <c r="BU1" s="285"/>
      <c r="BV1" s="285"/>
      <c r="BW1" s="285"/>
      <c r="BX1" s="285"/>
      <c r="BY1" s="285"/>
      <c r="BZ1" s="295" t="s">
        <v>102</v>
      </c>
      <c r="CA1" s="296"/>
      <c r="CB1" s="296"/>
      <c r="CC1" s="296"/>
      <c r="CD1" s="296"/>
      <c r="CE1" s="296"/>
      <c r="CF1" s="296"/>
      <c r="CG1" s="296"/>
      <c r="CH1" s="296"/>
      <c r="CI1" s="296"/>
      <c r="CJ1" s="296"/>
      <c r="CK1" s="296"/>
      <c r="CL1" s="296"/>
      <c r="CM1" s="297"/>
    </row>
    <row r="2" spans="1:91" ht="15.75" thickTop="1">
      <c r="H2" s="281" t="s">
        <v>73</v>
      </c>
      <c r="I2" s="282"/>
      <c r="J2" s="282"/>
      <c r="K2" s="282"/>
      <c r="L2" s="282"/>
      <c r="M2" s="282"/>
      <c r="N2" s="283"/>
      <c r="O2" s="282" t="s">
        <v>74</v>
      </c>
      <c r="P2" s="282"/>
      <c r="Q2" s="282"/>
      <c r="R2" s="282"/>
      <c r="S2" s="282"/>
      <c r="T2" s="282"/>
      <c r="U2" s="282"/>
      <c r="V2" s="298" t="s">
        <v>73</v>
      </c>
      <c r="W2" s="299"/>
      <c r="X2" s="299"/>
      <c r="Y2" s="299"/>
      <c r="Z2" s="299"/>
      <c r="AA2" s="299"/>
      <c r="AB2" s="299"/>
      <c r="AC2" s="300" t="s">
        <v>74</v>
      </c>
      <c r="AD2" s="301"/>
      <c r="AE2" s="301"/>
      <c r="AF2" s="301"/>
      <c r="AG2" s="301"/>
      <c r="AH2" s="301"/>
      <c r="AI2" s="302"/>
      <c r="AJ2" s="304" t="s">
        <v>73</v>
      </c>
      <c r="AK2" s="305"/>
      <c r="AL2" s="305"/>
      <c r="AM2" s="305"/>
      <c r="AN2" s="305"/>
      <c r="AO2" s="305"/>
      <c r="AP2" s="305"/>
      <c r="AQ2" s="306" t="s">
        <v>74</v>
      </c>
      <c r="AR2" s="305"/>
      <c r="AS2" s="305"/>
      <c r="AT2" s="305"/>
      <c r="AU2" s="305"/>
      <c r="AV2" s="305"/>
      <c r="AW2" s="305"/>
      <c r="AX2" s="290" t="s">
        <v>73</v>
      </c>
      <c r="AY2" s="291"/>
      <c r="AZ2" s="291"/>
      <c r="BA2" s="291"/>
      <c r="BB2" s="291"/>
      <c r="BC2" s="291"/>
      <c r="BD2" s="291"/>
      <c r="BE2" s="290" t="s">
        <v>74</v>
      </c>
      <c r="BF2" s="291"/>
      <c r="BG2" s="291"/>
      <c r="BH2" s="291"/>
      <c r="BI2" s="291"/>
      <c r="BJ2" s="291"/>
      <c r="BK2" s="292"/>
      <c r="BL2" s="281" t="s">
        <v>73</v>
      </c>
      <c r="BM2" s="282"/>
      <c r="BN2" s="282"/>
      <c r="BO2" s="282"/>
      <c r="BP2" s="282"/>
      <c r="BQ2" s="282"/>
      <c r="BR2" s="283"/>
      <c r="BS2" s="282" t="s">
        <v>74</v>
      </c>
      <c r="BT2" s="282"/>
      <c r="BU2" s="282"/>
      <c r="BV2" s="282"/>
      <c r="BW2" s="282"/>
      <c r="BX2" s="282"/>
      <c r="BY2" s="282"/>
      <c r="BZ2" s="298" t="s">
        <v>73</v>
      </c>
      <c r="CA2" s="299"/>
      <c r="CB2" s="299"/>
      <c r="CC2" s="299"/>
      <c r="CD2" s="299"/>
      <c r="CE2" s="299"/>
      <c r="CF2" s="299"/>
      <c r="CG2" s="300" t="s">
        <v>74</v>
      </c>
      <c r="CH2" s="301"/>
      <c r="CI2" s="301"/>
      <c r="CJ2" s="301"/>
      <c r="CK2" s="301"/>
      <c r="CL2" s="301"/>
      <c r="CM2" s="302"/>
    </row>
    <row r="3" spans="1:91" ht="15.75" thickBot="1">
      <c r="A3" s="265" t="s">
        <v>75</v>
      </c>
      <c r="B3" s="265"/>
      <c r="C3" s="4" t="s">
        <v>76</v>
      </c>
      <c r="G3" s="83" t="s">
        <v>9</v>
      </c>
      <c r="H3" s="24" t="s">
        <v>2</v>
      </c>
      <c r="I3" s="25" t="s">
        <v>77</v>
      </c>
      <c r="J3" s="25" t="s">
        <v>78</v>
      </c>
      <c r="K3" s="25" t="s">
        <v>79</v>
      </c>
      <c r="L3" s="25" t="s">
        <v>80</v>
      </c>
      <c r="M3" s="25" t="s">
        <v>81</v>
      </c>
      <c r="N3" s="26" t="s">
        <v>82</v>
      </c>
      <c r="O3" s="25" t="s">
        <v>2</v>
      </c>
      <c r="P3" s="25" t="s">
        <v>77</v>
      </c>
      <c r="Q3" s="25" t="s">
        <v>78</v>
      </c>
      <c r="R3" s="25" t="s">
        <v>79</v>
      </c>
      <c r="S3" s="25" t="s">
        <v>80</v>
      </c>
      <c r="T3" s="25" t="s">
        <v>81</v>
      </c>
      <c r="U3" s="25" t="s">
        <v>82</v>
      </c>
      <c r="V3" s="39" t="s">
        <v>2</v>
      </c>
      <c r="W3" s="40" t="s">
        <v>77</v>
      </c>
      <c r="X3" s="40" t="s">
        <v>78</v>
      </c>
      <c r="Y3" s="40" t="s">
        <v>79</v>
      </c>
      <c r="Z3" s="40" t="s">
        <v>80</v>
      </c>
      <c r="AA3" s="40" t="s">
        <v>81</v>
      </c>
      <c r="AB3" s="40" t="s">
        <v>82</v>
      </c>
      <c r="AC3" s="39" t="s">
        <v>2</v>
      </c>
      <c r="AD3" s="40" t="s">
        <v>77</v>
      </c>
      <c r="AE3" s="40" t="s">
        <v>78</v>
      </c>
      <c r="AF3" s="40" t="s">
        <v>79</v>
      </c>
      <c r="AG3" s="40" t="s">
        <v>80</v>
      </c>
      <c r="AH3" s="40" t="s">
        <v>81</v>
      </c>
      <c r="AI3" s="41" t="s">
        <v>82</v>
      </c>
      <c r="AJ3" s="63" t="s">
        <v>2</v>
      </c>
      <c r="AK3" s="57" t="s">
        <v>77</v>
      </c>
      <c r="AL3" s="57" t="s">
        <v>78</v>
      </c>
      <c r="AM3" s="57" t="s">
        <v>79</v>
      </c>
      <c r="AN3" s="57" t="s">
        <v>80</v>
      </c>
      <c r="AO3" s="57" t="s">
        <v>81</v>
      </c>
      <c r="AP3" s="57" t="s">
        <v>82</v>
      </c>
      <c r="AQ3" s="56" t="s">
        <v>2</v>
      </c>
      <c r="AR3" s="57" t="s">
        <v>77</v>
      </c>
      <c r="AS3" s="57" t="s">
        <v>78</v>
      </c>
      <c r="AT3" s="57" t="s">
        <v>79</v>
      </c>
      <c r="AU3" s="57" t="s">
        <v>80</v>
      </c>
      <c r="AV3" s="57" t="s">
        <v>81</v>
      </c>
      <c r="AW3" s="57" t="s">
        <v>82</v>
      </c>
      <c r="AX3" s="74" t="s">
        <v>2</v>
      </c>
      <c r="AY3" s="75" t="s">
        <v>77</v>
      </c>
      <c r="AZ3" s="75" t="s">
        <v>78</v>
      </c>
      <c r="BA3" s="75" t="s">
        <v>79</v>
      </c>
      <c r="BB3" s="75" t="s">
        <v>80</v>
      </c>
      <c r="BC3" s="75" t="s">
        <v>81</v>
      </c>
      <c r="BD3" s="75" t="s">
        <v>82</v>
      </c>
      <c r="BE3" s="74" t="s">
        <v>2</v>
      </c>
      <c r="BF3" s="75" t="s">
        <v>77</v>
      </c>
      <c r="BG3" s="75" t="s">
        <v>78</v>
      </c>
      <c r="BH3" s="75" t="s">
        <v>79</v>
      </c>
      <c r="BI3" s="75" t="s">
        <v>80</v>
      </c>
      <c r="BJ3" s="75" t="s">
        <v>81</v>
      </c>
      <c r="BK3" s="76" t="s">
        <v>82</v>
      </c>
      <c r="BL3" s="24" t="s">
        <v>2</v>
      </c>
      <c r="BM3" s="25" t="s">
        <v>77</v>
      </c>
      <c r="BN3" s="25" t="s">
        <v>78</v>
      </c>
      <c r="BO3" s="25" t="s">
        <v>79</v>
      </c>
      <c r="BP3" s="25" t="s">
        <v>80</v>
      </c>
      <c r="BQ3" s="25" t="s">
        <v>81</v>
      </c>
      <c r="BR3" s="26" t="s">
        <v>82</v>
      </c>
      <c r="BS3" s="25" t="s">
        <v>2</v>
      </c>
      <c r="BT3" s="25" t="s">
        <v>77</v>
      </c>
      <c r="BU3" s="25" t="s">
        <v>78</v>
      </c>
      <c r="BV3" s="25" t="s">
        <v>79</v>
      </c>
      <c r="BW3" s="25" t="s">
        <v>80</v>
      </c>
      <c r="BX3" s="25" t="s">
        <v>81</v>
      </c>
      <c r="BY3" s="25" t="s">
        <v>82</v>
      </c>
      <c r="BZ3" s="39" t="s">
        <v>2</v>
      </c>
      <c r="CA3" s="40" t="s">
        <v>77</v>
      </c>
      <c r="CB3" s="40" t="s">
        <v>78</v>
      </c>
      <c r="CC3" s="40" t="s">
        <v>79</v>
      </c>
      <c r="CD3" s="40" t="s">
        <v>80</v>
      </c>
      <c r="CE3" s="40" t="s">
        <v>81</v>
      </c>
      <c r="CF3" s="40" t="s">
        <v>82</v>
      </c>
      <c r="CG3" s="39" t="s">
        <v>2</v>
      </c>
      <c r="CH3" s="40" t="s">
        <v>77</v>
      </c>
      <c r="CI3" s="40" t="s">
        <v>78</v>
      </c>
      <c r="CJ3" s="40" t="s">
        <v>79</v>
      </c>
      <c r="CK3" s="40" t="s">
        <v>80</v>
      </c>
      <c r="CL3" s="40" t="s">
        <v>81</v>
      </c>
      <c r="CM3" s="41" t="s">
        <v>82</v>
      </c>
    </row>
    <row r="4" spans="1:91" ht="15.75" thickTop="1">
      <c r="A4" s="18" t="s">
        <v>83</v>
      </c>
      <c r="B4" s="45" t="str">
        <f>'Score Summary'!D5</f>
        <v>16-21</v>
      </c>
      <c r="C4" s="1">
        <f>VLOOKUP(B4,A17:B24,2,FALSE)</f>
        <v>0</v>
      </c>
      <c r="G4" s="84">
        <v>0</v>
      </c>
      <c r="H4" s="27">
        <v>41</v>
      </c>
      <c r="I4" s="28">
        <v>46</v>
      </c>
      <c r="J4" s="28">
        <v>49</v>
      </c>
      <c r="K4" s="28">
        <v>50</v>
      </c>
      <c r="L4" s="28">
        <v>50</v>
      </c>
      <c r="M4" s="28">
        <v>49</v>
      </c>
      <c r="N4" s="29">
        <v>46</v>
      </c>
      <c r="O4" s="28">
        <v>45</v>
      </c>
      <c r="P4" s="28">
        <v>44</v>
      </c>
      <c r="Q4" s="28">
        <v>45</v>
      </c>
      <c r="R4" s="28">
        <v>48</v>
      </c>
      <c r="S4" s="28">
        <v>52</v>
      </c>
      <c r="T4" s="28">
        <v>57</v>
      </c>
      <c r="U4" s="28">
        <v>62</v>
      </c>
      <c r="V4" s="132">
        <v>40</v>
      </c>
      <c r="W4" s="47">
        <v>47</v>
      </c>
      <c r="X4" s="47">
        <v>50</v>
      </c>
      <c r="Y4" s="47">
        <v>51</v>
      </c>
      <c r="Z4" s="47">
        <v>49</v>
      </c>
      <c r="AA4" s="47">
        <v>43</v>
      </c>
      <c r="AB4" s="133"/>
      <c r="AC4" s="37">
        <v>45</v>
      </c>
      <c r="AD4" s="47">
        <v>49</v>
      </c>
      <c r="AE4" s="47">
        <v>51</v>
      </c>
      <c r="AF4" s="47">
        <v>51</v>
      </c>
      <c r="AG4" s="47">
        <v>49</v>
      </c>
      <c r="AH4" s="47">
        <v>45</v>
      </c>
      <c r="AI4" s="134"/>
      <c r="AJ4" s="58">
        <v>41</v>
      </c>
      <c r="AK4" s="53">
        <v>47</v>
      </c>
      <c r="AL4" s="53">
        <v>50</v>
      </c>
      <c r="AM4" s="53">
        <v>52</v>
      </c>
      <c r="AN4" s="53">
        <v>52</v>
      </c>
      <c r="AO4" s="53">
        <v>51</v>
      </c>
      <c r="AP4" s="130">
        <v>49</v>
      </c>
      <c r="AQ4" s="53">
        <v>50</v>
      </c>
      <c r="AR4" s="53">
        <v>49</v>
      </c>
      <c r="AS4" s="53">
        <v>49</v>
      </c>
      <c r="AT4" s="53">
        <v>50</v>
      </c>
      <c r="AU4" s="53">
        <v>51</v>
      </c>
      <c r="AV4" s="53">
        <v>53</v>
      </c>
      <c r="AW4" s="53">
        <v>55</v>
      </c>
      <c r="AX4" s="68">
        <v>49</v>
      </c>
      <c r="AY4" s="69">
        <v>50</v>
      </c>
      <c r="AZ4" s="69">
        <v>51</v>
      </c>
      <c r="BA4" s="69">
        <v>52</v>
      </c>
      <c r="BB4" s="69">
        <v>52</v>
      </c>
      <c r="BC4" s="69">
        <v>52</v>
      </c>
      <c r="BD4" s="127">
        <v>52</v>
      </c>
      <c r="BE4" s="69">
        <v>54</v>
      </c>
      <c r="BF4" s="69">
        <v>52</v>
      </c>
      <c r="BG4" s="69">
        <v>51</v>
      </c>
      <c r="BH4" s="69">
        <v>52</v>
      </c>
      <c r="BI4" s="69">
        <v>54</v>
      </c>
      <c r="BJ4" s="69">
        <v>58</v>
      </c>
      <c r="BK4" s="70">
        <v>62</v>
      </c>
      <c r="BL4" s="27">
        <v>44</v>
      </c>
      <c r="BM4" s="28">
        <v>49</v>
      </c>
      <c r="BN4" s="28">
        <v>52</v>
      </c>
      <c r="BO4" s="28">
        <v>54</v>
      </c>
      <c r="BP4" s="28">
        <v>54</v>
      </c>
      <c r="BQ4" s="28">
        <v>53</v>
      </c>
      <c r="BR4" s="29">
        <v>50</v>
      </c>
      <c r="BS4" s="28">
        <v>45</v>
      </c>
      <c r="BT4" s="28">
        <v>44</v>
      </c>
      <c r="BU4" s="28">
        <v>46</v>
      </c>
      <c r="BV4" s="28">
        <v>50</v>
      </c>
      <c r="BW4" s="28">
        <v>55</v>
      </c>
      <c r="BX4" s="28">
        <v>61</v>
      </c>
      <c r="BY4" s="28">
        <v>66</v>
      </c>
      <c r="BZ4" s="37">
        <v>40</v>
      </c>
      <c r="CA4" s="47">
        <v>47</v>
      </c>
      <c r="CB4" s="47">
        <v>52</v>
      </c>
      <c r="CC4" s="47">
        <v>54</v>
      </c>
      <c r="CD4" s="47">
        <v>53</v>
      </c>
      <c r="CE4" s="47">
        <v>51</v>
      </c>
      <c r="CF4" s="133"/>
      <c r="CG4" s="37">
        <v>43</v>
      </c>
      <c r="CH4" s="47">
        <v>49</v>
      </c>
      <c r="CI4" s="47">
        <v>52</v>
      </c>
      <c r="CJ4" s="47">
        <v>52</v>
      </c>
      <c r="CK4" s="47">
        <v>51</v>
      </c>
      <c r="CL4" s="47">
        <v>48</v>
      </c>
      <c r="CM4" s="134"/>
    </row>
    <row r="5" spans="1:91">
      <c r="A5" s="18" t="s">
        <v>5</v>
      </c>
      <c r="B5" s="42" t="str">
        <f>'Score Summary'!D6</f>
        <v>Self</v>
      </c>
      <c r="C5" s="1">
        <f>IF(B5="Self",0,IF(B5="Other",7,""))</f>
        <v>0</v>
      </c>
      <c r="G5" s="84">
        <v>1</v>
      </c>
      <c r="H5" s="30">
        <v>41</v>
      </c>
      <c r="I5" s="31">
        <v>46</v>
      </c>
      <c r="J5" s="31">
        <v>49</v>
      </c>
      <c r="K5" s="31">
        <v>51</v>
      </c>
      <c r="L5" s="31">
        <v>51</v>
      </c>
      <c r="M5" s="31">
        <v>49</v>
      </c>
      <c r="N5" s="32">
        <v>47</v>
      </c>
      <c r="O5" s="31">
        <v>46</v>
      </c>
      <c r="P5" s="31">
        <v>45</v>
      </c>
      <c r="Q5" s="31">
        <v>46</v>
      </c>
      <c r="R5" s="31">
        <v>48</v>
      </c>
      <c r="S5" s="31">
        <v>52</v>
      </c>
      <c r="T5" s="31">
        <v>57</v>
      </c>
      <c r="U5" s="31">
        <v>62</v>
      </c>
      <c r="V5" s="132">
        <v>40</v>
      </c>
      <c r="W5" s="47">
        <v>47</v>
      </c>
      <c r="X5" s="47">
        <v>51</v>
      </c>
      <c r="Y5" s="47">
        <v>51</v>
      </c>
      <c r="Z5" s="47">
        <v>49</v>
      </c>
      <c r="AA5" s="47">
        <v>44</v>
      </c>
      <c r="AB5" s="133"/>
      <c r="AC5" s="37">
        <v>46</v>
      </c>
      <c r="AD5" s="47">
        <v>50</v>
      </c>
      <c r="AE5" s="47">
        <v>51</v>
      </c>
      <c r="AF5" s="47">
        <v>51</v>
      </c>
      <c r="AG5" s="47">
        <v>50</v>
      </c>
      <c r="AH5" s="47">
        <v>46</v>
      </c>
      <c r="AI5" s="134"/>
      <c r="AJ5" s="58">
        <v>43</v>
      </c>
      <c r="AK5" s="53">
        <v>48</v>
      </c>
      <c r="AL5" s="53">
        <v>52</v>
      </c>
      <c r="AM5" s="53">
        <v>53</v>
      </c>
      <c r="AN5" s="53">
        <v>54</v>
      </c>
      <c r="AO5" s="53">
        <v>53</v>
      </c>
      <c r="AP5" s="131">
        <v>51</v>
      </c>
      <c r="AQ5" s="53">
        <v>52</v>
      </c>
      <c r="AR5" s="53">
        <v>51</v>
      </c>
      <c r="AS5" s="53">
        <v>51</v>
      </c>
      <c r="AT5" s="53">
        <v>51</v>
      </c>
      <c r="AU5" s="53">
        <v>52</v>
      </c>
      <c r="AV5" s="53">
        <v>54</v>
      </c>
      <c r="AW5" s="53">
        <v>57</v>
      </c>
      <c r="AX5" s="68">
        <v>51</v>
      </c>
      <c r="AY5" s="69">
        <v>53</v>
      </c>
      <c r="AZ5" s="69">
        <v>54</v>
      </c>
      <c r="BA5" s="69">
        <v>54</v>
      </c>
      <c r="BB5" s="69">
        <f>BB4+2</f>
        <v>54</v>
      </c>
      <c r="BC5" s="69">
        <v>54</v>
      </c>
      <c r="BD5" s="70">
        <f>BD4+2</f>
        <v>54</v>
      </c>
      <c r="BE5" s="69">
        <v>56</v>
      </c>
      <c r="BF5" s="69">
        <v>54</v>
      </c>
      <c r="BG5" s="69">
        <v>53</v>
      </c>
      <c r="BH5" s="69">
        <v>54</v>
      </c>
      <c r="BI5" s="69">
        <f>BI4+2</f>
        <v>56</v>
      </c>
      <c r="BJ5" s="69">
        <f>BJ4+2</f>
        <v>60</v>
      </c>
      <c r="BK5" s="70">
        <f>BK4+2</f>
        <v>64</v>
      </c>
      <c r="BL5" s="30">
        <v>45</v>
      </c>
      <c r="BM5" s="31">
        <v>50</v>
      </c>
      <c r="BN5" s="31">
        <f>BN4+1</f>
        <v>53</v>
      </c>
      <c r="BO5" s="31">
        <f>BO4+1</f>
        <v>55</v>
      </c>
      <c r="BP5" s="31">
        <f>BP4+1</f>
        <v>55</v>
      </c>
      <c r="BQ5" s="31">
        <f>BQ4+1</f>
        <v>54</v>
      </c>
      <c r="BR5" s="32">
        <v>52</v>
      </c>
      <c r="BS5" s="31">
        <v>46</v>
      </c>
      <c r="BT5" s="31">
        <v>46</v>
      </c>
      <c r="BU5" s="31">
        <f>BU4+1</f>
        <v>47</v>
      </c>
      <c r="BV5" s="31">
        <f>BV4+1</f>
        <v>51</v>
      </c>
      <c r="BW5" s="31">
        <f>BW4+1</f>
        <v>56</v>
      </c>
      <c r="BX5" s="31">
        <v>62</v>
      </c>
      <c r="BY5" s="31">
        <f>BY4+1</f>
        <v>67</v>
      </c>
      <c r="BZ5" s="37">
        <v>40</v>
      </c>
      <c r="CA5" s="47">
        <f>CA4+1</f>
        <v>48</v>
      </c>
      <c r="CB5" s="47">
        <f>CB4+1</f>
        <v>53</v>
      </c>
      <c r="CC5" s="47">
        <f>CC4+1</f>
        <v>55</v>
      </c>
      <c r="CD5" s="47">
        <f>CD4+1</f>
        <v>54</v>
      </c>
      <c r="CE5" s="47">
        <v>52</v>
      </c>
      <c r="CF5" s="133"/>
      <c r="CG5" s="37">
        <f>CG4+1</f>
        <v>44</v>
      </c>
      <c r="CH5" s="47">
        <f>CH4+1</f>
        <v>50</v>
      </c>
      <c r="CI5" s="47">
        <v>52</v>
      </c>
      <c r="CJ5" s="47">
        <f>CJ4+1</f>
        <v>53</v>
      </c>
      <c r="CK5" s="47">
        <f>CK4+1</f>
        <v>52</v>
      </c>
      <c r="CL5" s="47">
        <f>CL4+1</f>
        <v>49</v>
      </c>
      <c r="CM5" s="134"/>
    </row>
    <row r="6" spans="1:91">
      <c r="A6" s="18" t="s">
        <v>84</v>
      </c>
      <c r="B6" s="46">
        <f>'Score Summary'!G6</f>
        <v>0.95</v>
      </c>
      <c r="C6" s="1"/>
      <c r="G6" s="84">
        <v>2</v>
      </c>
      <c r="H6" s="30">
        <v>42</v>
      </c>
      <c r="I6" s="31">
        <v>47</v>
      </c>
      <c r="J6" s="31">
        <f>J4+1</f>
        <v>50</v>
      </c>
      <c r="K6" s="31">
        <v>51</v>
      </c>
      <c r="L6" s="31">
        <v>51</v>
      </c>
      <c r="M6" s="31">
        <f>M4+1</f>
        <v>50</v>
      </c>
      <c r="N6" s="32">
        <v>47</v>
      </c>
      <c r="O6" s="31">
        <v>46</v>
      </c>
      <c r="P6" s="31">
        <v>45</v>
      </c>
      <c r="Q6" s="31">
        <v>46</v>
      </c>
      <c r="R6" s="31">
        <f>R4+1</f>
        <v>49</v>
      </c>
      <c r="S6" s="31">
        <f>S4+1</f>
        <v>53</v>
      </c>
      <c r="T6" s="31">
        <v>57</v>
      </c>
      <c r="U6" s="31">
        <v>62</v>
      </c>
      <c r="V6" s="37">
        <v>40</v>
      </c>
      <c r="W6" s="47">
        <f>W4+1</f>
        <v>48</v>
      </c>
      <c r="X6" s="47">
        <v>51</v>
      </c>
      <c r="Y6" s="47">
        <f>Y4+1</f>
        <v>52</v>
      </c>
      <c r="Z6" s="47">
        <f>Z4+1</f>
        <v>50</v>
      </c>
      <c r="AA6" s="47">
        <v>44</v>
      </c>
      <c r="AB6" s="133"/>
      <c r="AC6" s="37">
        <v>46</v>
      </c>
      <c r="AD6" s="47">
        <v>50</v>
      </c>
      <c r="AE6" s="47">
        <v>52</v>
      </c>
      <c r="AF6" s="47">
        <v>52</v>
      </c>
      <c r="AG6" s="47">
        <v>50</v>
      </c>
      <c r="AH6" s="47">
        <v>46</v>
      </c>
      <c r="AI6" s="134"/>
      <c r="AJ6" s="58">
        <v>44</v>
      </c>
      <c r="AK6" s="53">
        <v>50</v>
      </c>
      <c r="AL6" s="53">
        <v>53</v>
      </c>
      <c r="AM6" s="53">
        <v>55</v>
      </c>
      <c r="AN6" s="53">
        <v>55</v>
      </c>
      <c r="AO6" s="53">
        <v>54</v>
      </c>
      <c r="AP6" s="131">
        <v>52</v>
      </c>
      <c r="AQ6" s="53">
        <v>53</v>
      </c>
      <c r="AR6" s="53">
        <v>52</v>
      </c>
      <c r="AS6" s="53">
        <v>52</v>
      </c>
      <c r="AT6" s="53">
        <v>53</v>
      </c>
      <c r="AU6" s="53">
        <v>54</v>
      </c>
      <c r="AV6" s="53">
        <v>56</v>
      </c>
      <c r="AW6" s="53">
        <v>58</v>
      </c>
      <c r="AX6" s="68">
        <f t="shared" ref="AX6:AX30" si="0">AX5+3</f>
        <v>54</v>
      </c>
      <c r="AY6" s="69">
        <v>55</v>
      </c>
      <c r="AZ6" s="69">
        <v>56</v>
      </c>
      <c r="BA6" s="69">
        <v>56</v>
      </c>
      <c r="BB6" s="69">
        <v>57</v>
      </c>
      <c r="BC6" s="69">
        <v>57</v>
      </c>
      <c r="BD6" s="70">
        <f t="shared" ref="BD6:BD26" si="1">BD5+2</f>
        <v>56</v>
      </c>
      <c r="BE6" s="69">
        <v>58</v>
      </c>
      <c r="BF6" s="69">
        <v>56</v>
      </c>
      <c r="BG6" s="69">
        <v>56</v>
      </c>
      <c r="BH6" s="69">
        <v>56</v>
      </c>
      <c r="BI6" s="69">
        <f t="shared" ref="BI6:BI25" si="2">BI5+2</f>
        <v>58</v>
      </c>
      <c r="BJ6" s="69">
        <f t="shared" ref="BJ6:BJ26" si="3">BJ5+2</f>
        <v>62</v>
      </c>
      <c r="BK6" s="70">
        <f t="shared" ref="BK6:BK29" si="4">BK5+2</f>
        <v>66</v>
      </c>
      <c r="BL6" s="30">
        <v>46</v>
      </c>
      <c r="BM6" s="31">
        <v>52</v>
      </c>
      <c r="BN6" s="31">
        <f t="shared" ref="BN6:BN57" si="5">BN5+1</f>
        <v>54</v>
      </c>
      <c r="BO6" s="31">
        <f t="shared" ref="BO6:BO57" si="6">BO5+1</f>
        <v>56</v>
      </c>
      <c r="BP6" s="31">
        <f t="shared" ref="BP6:BP57" si="7">BP5+1</f>
        <v>56</v>
      </c>
      <c r="BQ6" s="31">
        <f t="shared" ref="BQ6:BQ56" si="8">BQ5+1</f>
        <v>55</v>
      </c>
      <c r="BR6" s="32">
        <f>BR5+1</f>
        <v>53</v>
      </c>
      <c r="BS6" s="31">
        <v>48</v>
      </c>
      <c r="BT6" s="31">
        <f>BT5+1</f>
        <v>47</v>
      </c>
      <c r="BU6" s="31">
        <v>49</v>
      </c>
      <c r="BV6" s="31">
        <f t="shared" ref="BV6:BV57" si="9">BV5+1</f>
        <v>52</v>
      </c>
      <c r="BW6" s="31">
        <f t="shared" ref="BW6:BW56" si="10">BW5+1</f>
        <v>57</v>
      </c>
      <c r="BX6" s="31">
        <v>62</v>
      </c>
      <c r="BY6" s="31">
        <f t="shared" ref="BY6:BY48" si="11">BY5+1</f>
        <v>68</v>
      </c>
      <c r="BZ6" s="37">
        <v>40</v>
      </c>
      <c r="CA6" s="47">
        <f t="shared" ref="CA6:CA69" si="12">CA5+1</f>
        <v>49</v>
      </c>
      <c r="CB6" s="47">
        <f t="shared" ref="CB6:CB68" si="13">CB5+1</f>
        <v>54</v>
      </c>
      <c r="CC6" s="47">
        <f t="shared" ref="CC6:CC69" si="14">CC5+1</f>
        <v>56</v>
      </c>
      <c r="CD6" s="47">
        <f>CD5+1</f>
        <v>55</v>
      </c>
      <c r="CE6" s="47">
        <v>53</v>
      </c>
      <c r="CF6" s="133"/>
      <c r="CG6" s="37">
        <f t="shared" ref="CG6:CG57" si="15">CG5+1</f>
        <v>45</v>
      </c>
      <c r="CH6" s="47">
        <f t="shared" ref="CH6:CH68" si="16">CH5+1</f>
        <v>51</v>
      </c>
      <c r="CI6" s="47">
        <f>CI5+1</f>
        <v>53</v>
      </c>
      <c r="CJ6" s="47">
        <f t="shared" ref="CJ6:CJ68" si="17">CJ5+1</f>
        <v>54</v>
      </c>
      <c r="CK6" s="47">
        <f t="shared" ref="CK6:CK68" si="18">CK5+1</f>
        <v>53</v>
      </c>
      <c r="CL6" s="47">
        <f t="shared" ref="CL6:CL68" si="19">CL5+1</f>
        <v>50</v>
      </c>
      <c r="CM6" s="134"/>
    </row>
    <row r="7" spans="1:91">
      <c r="A7" s="18" t="s">
        <v>85</v>
      </c>
      <c r="B7" s="45" t="str">
        <f>'Score Summary'!G5</f>
        <v>No</v>
      </c>
      <c r="C7" s="1"/>
      <c r="G7" s="84">
        <v>3</v>
      </c>
      <c r="H7" s="30">
        <v>42</v>
      </c>
      <c r="I7" s="31">
        <v>48</v>
      </c>
      <c r="J7" s="31">
        <f t="shared" ref="J7:L70" si="20">J5+1</f>
        <v>50</v>
      </c>
      <c r="K7" s="31">
        <f>K5+1</f>
        <v>52</v>
      </c>
      <c r="L7" s="31">
        <f>L5+1</f>
        <v>52</v>
      </c>
      <c r="M7" s="31">
        <f t="shared" ref="M7:Q70" si="21">M5+1</f>
        <v>50</v>
      </c>
      <c r="N7" s="32">
        <f>N5+1</f>
        <v>48</v>
      </c>
      <c r="O7" s="31">
        <f>O5+1</f>
        <v>47</v>
      </c>
      <c r="P7" s="31">
        <f>P5+1</f>
        <v>46</v>
      </c>
      <c r="Q7" s="31">
        <f>Q5+1</f>
        <v>47</v>
      </c>
      <c r="R7" s="31">
        <f t="shared" ref="R7:T70" si="22">R5+1</f>
        <v>49</v>
      </c>
      <c r="S7" s="31">
        <f t="shared" si="22"/>
        <v>53</v>
      </c>
      <c r="T7" s="31">
        <v>58</v>
      </c>
      <c r="U7" s="31">
        <f>U5+1</f>
        <v>63</v>
      </c>
      <c r="V7" s="37">
        <v>40</v>
      </c>
      <c r="W7" s="47">
        <f t="shared" ref="W7:X70" si="23">W5+1</f>
        <v>48</v>
      </c>
      <c r="X7" s="47">
        <f>X5+1</f>
        <v>52</v>
      </c>
      <c r="Y7" s="47">
        <f t="shared" ref="Y7:AA69" si="24">Y5+1</f>
        <v>52</v>
      </c>
      <c r="Z7" s="47">
        <f t="shared" si="24"/>
        <v>50</v>
      </c>
      <c r="AA7" s="47">
        <f>AA5+1</f>
        <v>45</v>
      </c>
      <c r="AB7" s="133"/>
      <c r="AC7" s="37">
        <f>AC5+1</f>
        <v>47</v>
      </c>
      <c r="AD7" s="47">
        <v>50</v>
      </c>
      <c r="AE7" s="47">
        <v>52</v>
      </c>
      <c r="AF7" s="47">
        <v>52</v>
      </c>
      <c r="AG7" s="47">
        <v>50</v>
      </c>
      <c r="AH7" s="47">
        <f>AH5+1</f>
        <v>47</v>
      </c>
      <c r="AI7" s="134"/>
      <c r="AJ7" s="58">
        <v>46</v>
      </c>
      <c r="AK7" s="53">
        <v>52</v>
      </c>
      <c r="AL7" s="53">
        <v>55</v>
      </c>
      <c r="AM7" s="53">
        <v>56</v>
      </c>
      <c r="AN7" s="53">
        <v>57</v>
      </c>
      <c r="AO7" s="53">
        <v>56</v>
      </c>
      <c r="AP7" s="131">
        <v>54</v>
      </c>
      <c r="AQ7" s="53">
        <v>55</v>
      </c>
      <c r="AR7" s="53">
        <v>54</v>
      </c>
      <c r="AS7" s="53">
        <v>54</v>
      </c>
      <c r="AT7" s="53">
        <v>54</v>
      </c>
      <c r="AU7" s="53">
        <v>55</v>
      </c>
      <c r="AV7" s="53">
        <v>57</v>
      </c>
      <c r="AW7" s="53">
        <v>60</v>
      </c>
      <c r="AX7" s="68">
        <v>56</v>
      </c>
      <c r="AY7" s="69">
        <v>57</v>
      </c>
      <c r="AZ7" s="69">
        <v>58</v>
      </c>
      <c r="BA7" s="69">
        <v>59</v>
      </c>
      <c r="BB7" s="69">
        <f t="shared" ref="BB7:BB26" si="25">BB6+2</f>
        <v>59</v>
      </c>
      <c r="BC7" s="69">
        <v>59</v>
      </c>
      <c r="BD7" s="70">
        <f t="shared" si="1"/>
        <v>58</v>
      </c>
      <c r="BE7" s="69">
        <v>61</v>
      </c>
      <c r="BF7" s="69">
        <v>58</v>
      </c>
      <c r="BG7" s="69">
        <v>58</v>
      </c>
      <c r="BH7" s="69">
        <v>58</v>
      </c>
      <c r="BI7" s="69">
        <v>61</v>
      </c>
      <c r="BJ7" s="69">
        <f t="shared" si="3"/>
        <v>64</v>
      </c>
      <c r="BK7" s="70">
        <v>67</v>
      </c>
      <c r="BL7" s="30">
        <v>48</v>
      </c>
      <c r="BM7" s="31">
        <f>BM6+1</f>
        <v>53</v>
      </c>
      <c r="BN7" s="31">
        <f t="shared" si="5"/>
        <v>55</v>
      </c>
      <c r="BO7" s="31">
        <f t="shared" si="6"/>
        <v>57</v>
      </c>
      <c r="BP7" s="31">
        <f t="shared" si="7"/>
        <v>57</v>
      </c>
      <c r="BQ7" s="31">
        <f t="shared" si="8"/>
        <v>56</v>
      </c>
      <c r="BR7" s="32">
        <f t="shared" ref="BR7:BR57" si="26">BR6+1</f>
        <v>54</v>
      </c>
      <c r="BS7" s="31">
        <f t="shared" ref="BS7:BS46" si="27">BS6+1</f>
        <v>49</v>
      </c>
      <c r="BT7" s="31">
        <f t="shared" ref="BT7:BT59" si="28">BT6+1</f>
        <v>48</v>
      </c>
      <c r="BU7" s="31">
        <f t="shared" ref="BU7:BU58" si="29">BU6+1</f>
        <v>50</v>
      </c>
      <c r="BV7" s="31">
        <f t="shared" si="9"/>
        <v>53</v>
      </c>
      <c r="BW7" s="31">
        <f t="shared" si="10"/>
        <v>58</v>
      </c>
      <c r="BX7" s="31">
        <v>63</v>
      </c>
      <c r="BY7" s="31">
        <f t="shared" si="11"/>
        <v>69</v>
      </c>
      <c r="BZ7" s="37">
        <v>41</v>
      </c>
      <c r="CA7" s="47">
        <f t="shared" si="12"/>
        <v>50</v>
      </c>
      <c r="CB7" s="47">
        <f t="shared" si="13"/>
        <v>55</v>
      </c>
      <c r="CC7" s="47">
        <v>56</v>
      </c>
      <c r="CD7" s="47">
        <f t="shared" ref="CD7:CD69" si="30">CD6+1</f>
        <v>56</v>
      </c>
      <c r="CE7" s="47">
        <v>53</v>
      </c>
      <c r="CF7" s="133"/>
      <c r="CG7" s="37">
        <f t="shared" si="15"/>
        <v>46</v>
      </c>
      <c r="CH7" s="47">
        <f t="shared" si="16"/>
        <v>52</v>
      </c>
      <c r="CI7" s="47">
        <f t="shared" ref="CI7:CI70" si="31">CI6+1</f>
        <v>54</v>
      </c>
      <c r="CJ7" s="47">
        <f t="shared" si="17"/>
        <v>55</v>
      </c>
      <c r="CK7" s="47">
        <f t="shared" si="18"/>
        <v>54</v>
      </c>
      <c r="CL7" s="47">
        <f t="shared" si="19"/>
        <v>51</v>
      </c>
      <c r="CM7" s="134"/>
    </row>
    <row r="8" spans="1:91">
      <c r="G8" s="84">
        <v>4</v>
      </c>
      <c r="H8" s="30">
        <v>43</v>
      </c>
      <c r="I8" s="31">
        <v>48</v>
      </c>
      <c r="J8" s="31">
        <f t="shared" si="20"/>
        <v>51</v>
      </c>
      <c r="K8" s="31">
        <f t="shared" si="20"/>
        <v>52</v>
      </c>
      <c r="L8" s="31">
        <f t="shared" si="20"/>
        <v>52</v>
      </c>
      <c r="M8" s="31">
        <f t="shared" si="21"/>
        <v>51</v>
      </c>
      <c r="N8" s="32">
        <f t="shared" si="21"/>
        <v>48</v>
      </c>
      <c r="O8" s="31">
        <f t="shared" si="21"/>
        <v>47</v>
      </c>
      <c r="P8" s="31">
        <f t="shared" si="21"/>
        <v>46</v>
      </c>
      <c r="Q8" s="31">
        <f t="shared" si="21"/>
        <v>47</v>
      </c>
      <c r="R8" s="31">
        <f t="shared" si="22"/>
        <v>50</v>
      </c>
      <c r="S8" s="31">
        <f t="shared" si="22"/>
        <v>54</v>
      </c>
      <c r="T8" s="31">
        <v>58</v>
      </c>
      <c r="U8" s="31">
        <f t="shared" ref="U8:U71" si="32">U6+1</f>
        <v>63</v>
      </c>
      <c r="V8" s="37">
        <v>41</v>
      </c>
      <c r="W8" s="47">
        <f t="shared" si="23"/>
        <v>49</v>
      </c>
      <c r="X8" s="47">
        <f t="shared" si="23"/>
        <v>52</v>
      </c>
      <c r="Y8" s="47">
        <f t="shared" si="24"/>
        <v>53</v>
      </c>
      <c r="Z8" s="47">
        <f t="shared" si="24"/>
        <v>51</v>
      </c>
      <c r="AA8" s="47">
        <f t="shared" si="24"/>
        <v>45</v>
      </c>
      <c r="AB8" s="133"/>
      <c r="AC8" s="37">
        <f t="shared" ref="AC8:AF71" si="33">AC6+1</f>
        <v>47</v>
      </c>
      <c r="AD8" s="47">
        <v>51</v>
      </c>
      <c r="AE8" s="47">
        <v>52</v>
      </c>
      <c r="AF8" s="47">
        <v>52</v>
      </c>
      <c r="AG8" s="47">
        <v>51</v>
      </c>
      <c r="AH8" s="47">
        <f t="shared" ref="AH8:AH71" si="34">AH6+1</f>
        <v>47</v>
      </c>
      <c r="AI8" s="134"/>
      <c r="AJ8" s="58">
        <v>48</v>
      </c>
      <c r="AK8" s="53">
        <v>53</v>
      </c>
      <c r="AL8" s="53">
        <v>56</v>
      </c>
      <c r="AM8" s="53">
        <f>AM6+3</f>
        <v>58</v>
      </c>
      <c r="AN8" s="53">
        <v>58</v>
      </c>
      <c r="AO8" s="53">
        <v>57</v>
      </c>
      <c r="AP8" s="131">
        <v>55</v>
      </c>
      <c r="AQ8" s="53">
        <v>56</v>
      </c>
      <c r="AR8" s="53">
        <v>55</v>
      </c>
      <c r="AS8" s="53">
        <v>55</v>
      </c>
      <c r="AT8" s="53">
        <v>55</v>
      </c>
      <c r="AU8" s="53">
        <v>57</v>
      </c>
      <c r="AV8" s="53">
        <v>58</v>
      </c>
      <c r="AW8" s="53">
        <v>61</v>
      </c>
      <c r="AX8" s="68">
        <v>58</v>
      </c>
      <c r="AY8" s="69">
        <v>60</v>
      </c>
      <c r="AZ8" s="69">
        <v>60</v>
      </c>
      <c r="BA8" s="69">
        <v>61</v>
      </c>
      <c r="BB8" s="69">
        <f t="shared" si="25"/>
        <v>61</v>
      </c>
      <c r="BC8" s="69">
        <v>61</v>
      </c>
      <c r="BD8" s="70">
        <v>61</v>
      </c>
      <c r="BE8" s="69">
        <v>63</v>
      </c>
      <c r="BF8" s="69">
        <v>61</v>
      </c>
      <c r="BG8" s="69">
        <v>60</v>
      </c>
      <c r="BH8" s="69">
        <v>61</v>
      </c>
      <c r="BI8" s="69">
        <f t="shared" si="2"/>
        <v>63</v>
      </c>
      <c r="BJ8" s="69">
        <f t="shared" si="3"/>
        <v>66</v>
      </c>
      <c r="BK8" s="70">
        <f t="shared" si="4"/>
        <v>69</v>
      </c>
      <c r="BL8" s="30">
        <f t="shared" ref="BL8:BL45" si="35">BL7+1</f>
        <v>49</v>
      </c>
      <c r="BM8" s="31">
        <f t="shared" ref="BM8:BM48" si="36">BM7+1</f>
        <v>54</v>
      </c>
      <c r="BN8" s="31">
        <v>57</v>
      </c>
      <c r="BO8" s="31">
        <f t="shared" si="6"/>
        <v>58</v>
      </c>
      <c r="BP8" s="31">
        <f t="shared" si="7"/>
        <v>58</v>
      </c>
      <c r="BQ8" s="31">
        <f t="shared" si="8"/>
        <v>57</v>
      </c>
      <c r="BR8" s="32">
        <f t="shared" si="26"/>
        <v>55</v>
      </c>
      <c r="BS8" s="31">
        <f t="shared" si="27"/>
        <v>50</v>
      </c>
      <c r="BT8" s="31">
        <v>50</v>
      </c>
      <c r="BU8" s="31">
        <f t="shared" si="29"/>
        <v>51</v>
      </c>
      <c r="BV8" s="31">
        <f t="shared" si="9"/>
        <v>54</v>
      </c>
      <c r="BW8" s="31">
        <f t="shared" si="10"/>
        <v>59</v>
      </c>
      <c r="BX8" s="31">
        <f>BX7+1</f>
        <v>64</v>
      </c>
      <c r="BY8" s="31">
        <v>69</v>
      </c>
      <c r="BZ8" s="37">
        <v>42</v>
      </c>
      <c r="CA8" s="47">
        <f t="shared" si="12"/>
        <v>51</v>
      </c>
      <c r="CB8" s="47">
        <f t="shared" si="13"/>
        <v>56</v>
      </c>
      <c r="CC8" s="47">
        <f t="shared" si="14"/>
        <v>57</v>
      </c>
      <c r="CD8" s="47">
        <f t="shared" si="30"/>
        <v>57</v>
      </c>
      <c r="CE8" s="47">
        <f>CE7+1</f>
        <v>54</v>
      </c>
      <c r="CF8" s="133"/>
      <c r="CG8" s="37">
        <f t="shared" si="15"/>
        <v>47</v>
      </c>
      <c r="CH8" s="47">
        <f t="shared" si="16"/>
        <v>53</v>
      </c>
      <c r="CI8" s="47">
        <f t="shared" si="31"/>
        <v>55</v>
      </c>
      <c r="CJ8" s="47">
        <f t="shared" si="17"/>
        <v>56</v>
      </c>
      <c r="CK8" s="47">
        <f t="shared" si="18"/>
        <v>55</v>
      </c>
      <c r="CL8" s="47">
        <f t="shared" si="19"/>
        <v>52</v>
      </c>
      <c r="CM8" s="134"/>
    </row>
    <row r="9" spans="1:91">
      <c r="A9" s="86" t="s">
        <v>25</v>
      </c>
      <c r="B9" s="87"/>
      <c r="C9" s="85" t="s">
        <v>103</v>
      </c>
      <c r="D9" s="4" t="s">
        <v>104</v>
      </c>
      <c r="E9" s="4" t="s">
        <v>87</v>
      </c>
      <c r="F9" s="4" t="s">
        <v>29</v>
      </c>
      <c r="G9" s="84">
        <v>5</v>
      </c>
      <c r="H9" s="30">
        <v>44</v>
      </c>
      <c r="I9" s="31">
        <v>49</v>
      </c>
      <c r="J9" s="31">
        <f t="shared" si="20"/>
        <v>51</v>
      </c>
      <c r="K9" s="31">
        <f t="shared" si="20"/>
        <v>53</v>
      </c>
      <c r="L9" s="31">
        <f t="shared" si="20"/>
        <v>53</v>
      </c>
      <c r="M9" s="31">
        <f t="shared" si="21"/>
        <v>51</v>
      </c>
      <c r="N9" s="32">
        <f t="shared" si="21"/>
        <v>49</v>
      </c>
      <c r="O9" s="31">
        <f t="shared" si="21"/>
        <v>48</v>
      </c>
      <c r="P9" s="31">
        <f t="shared" si="21"/>
        <v>47</v>
      </c>
      <c r="Q9" s="31">
        <f t="shared" si="21"/>
        <v>48</v>
      </c>
      <c r="R9" s="31">
        <f t="shared" si="22"/>
        <v>50</v>
      </c>
      <c r="S9" s="31">
        <f t="shared" si="22"/>
        <v>54</v>
      </c>
      <c r="T9" s="31">
        <f>T7+1</f>
        <v>59</v>
      </c>
      <c r="U9" s="31">
        <f t="shared" si="32"/>
        <v>64</v>
      </c>
      <c r="V9" s="37">
        <v>41</v>
      </c>
      <c r="W9" s="47">
        <f t="shared" si="23"/>
        <v>49</v>
      </c>
      <c r="X9" s="47">
        <f t="shared" si="23"/>
        <v>53</v>
      </c>
      <c r="Y9" s="47">
        <f t="shared" si="24"/>
        <v>53</v>
      </c>
      <c r="Z9" s="47">
        <f t="shared" si="24"/>
        <v>51</v>
      </c>
      <c r="AA9" s="47">
        <f t="shared" si="24"/>
        <v>46</v>
      </c>
      <c r="AB9" s="133"/>
      <c r="AC9" s="37">
        <f t="shared" si="33"/>
        <v>48</v>
      </c>
      <c r="AD9" s="47">
        <v>51</v>
      </c>
      <c r="AE9" s="47">
        <v>53</v>
      </c>
      <c r="AF9" s="47">
        <v>53</v>
      </c>
      <c r="AG9" s="47">
        <v>51</v>
      </c>
      <c r="AH9" s="47">
        <f t="shared" si="34"/>
        <v>48</v>
      </c>
      <c r="AI9" s="134"/>
      <c r="AJ9" s="58">
        <v>50</v>
      </c>
      <c r="AK9" s="53">
        <v>55</v>
      </c>
      <c r="AL9" s="53">
        <v>58</v>
      </c>
      <c r="AM9" s="53">
        <f>AM7+3</f>
        <v>59</v>
      </c>
      <c r="AN9" s="53">
        <v>59</v>
      </c>
      <c r="AO9" s="53">
        <v>59</v>
      </c>
      <c r="AP9" s="131">
        <v>57</v>
      </c>
      <c r="AQ9" s="53">
        <v>58</v>
      </c>
      <c r="AR9" s="53">
        <v>57</v>
      </c>
      <c r="AS9" s="53">
        <v>56</v>
      </c>
      <c r="AT9" s="53">
        <v>57</v>
      </c>
      <c r="AU9" s="53">
        <v>58</v>
      </c>
      <c r="AV9" s="53">
        <v>60</v>
      </c>
      <c r="AW9" s="53">
        <v>63</v>
      </c>
      <c r="AX9" s="68">
        <f t="shared" si="0"/>
        <v>61</v>
      </c>
      <c r="AY9" s="69">
        <v>62</v>
      </c>
      <c r="AZ9" s="69">
        <v>63</v>
      </c>
      <c r="BA9" s="69">
        <v>63</v>
      </c>
      <c r="BB9" s="69">
        <f t="shared" si="25"/>
        <v>63</v>
      </c>
      <c r="BC9" s="69">
        <v>63</v>
      </c>
      <c r="BD9" s="70">
        <f t="shared" si="1"/>
        <v>63</v>
      </c>
      <c r="BE9" s="69">
        <v>65</v>
      </c>
      <c r="BF9" s="69">
        <v>63</v>
      </c>
      <c r="BG9" s="69">
        <v>62</v>
      </c>
      <c r="BH9" s="69">
        <v>63</v>
      </c>
      <c r="BI9" s="69">
        <f t="shared" si="2"/>
        <v>65</v>
      </c>
      <c r="BJ9" s="69">
        <f t="shared" si="3"/>
        <v>68</v>
      </c>
      <c r="BK9" s="70">
        <f t="shared" si="4"/>
        <v>71</v>
      </c>
      <c r="BL9" s="30">
        <f t="shared" si="35"/>
        <v>50</v>
      </c>
      <c r="BM9" s="31">
        <f t="shared" si="36"/>
        <v>55</v>
      </c>
      <c r="BN9" s="31">
        <f t="shared" si="5"/>
        <v>58</v>
      </c>
      <c r="BO9" s="31">
        <f t="shared" si="6"/>
        <v>59</v>
      </c>
      <c r="BP9" s="31">
        <f t="shared" si="7"/>
        <v>59</v>
      </c>
      <c r="BQ9" s="31">
        <f t="shared" si="8"/>
        <v>58</v>
      </c>
      <c r="BR9" s="32">
        <f t="shared" si="26"/>
        <v>56</v>
      </c>
      <c r="BS9" s="31">
        <v>52</v>
      </c>
      <c r="BT9" s="31">
        <f t="shared" si="28"/>
        <v>51</v>
      </c>
      <c r="BU9" s="31">
        <f t="shared" si="29"/>
        <v>52</v>
      </c>
      <c r="BV9" s="31">
        <v>56</v>
      </c>
      <c r="BW9" s="31">
        <f t="shared" si="10"/>
        <v>60</v>
      </c>
      <c r="BX9" s="31">
        <f t="shared" ref="BX9:BX56" si="37">BX8+1</f>
        <v>65</v>
      </c>
      <c r="BY9" s="31">
        <f t="shared" si="11"/>
        <v>70</v>
      </c>
      <c r="BZ9" s="37">
        <v>44</v>
      </c>
      <c r="CA9" s="47">
        <f t="shared" si="12"/>
        <v>52</v>
      </c>
      <c r="CB9" s="47">
        <f t="shared" si="13"/>
        <v>57</v>
      </c>
      <c r="CC9" s="47">
        <f t="shared" si="14"/>
        <v>58</v>
      </c>
      <c r="CD9" s="47">
        <f t="shared" si="30"/>
        <v>58</v>
      </c>
      <c r="CE9" s="47">
        <f t="shared" ref="CE9:CE70" si="38">CE8+1</f>
        <v>55</v>
      </c>
      <c r="CF9" s="133"/>
      <c r="CG9" s="37">
        <f t="shared" si="15"/>
        <v>48</v>
      </c>
      <c r="CH9" s="47">
        <v>53</v>
      </c>
      <c r="CI9" s="47">
        <f t="shared" si="31"/>
        <v>56</v>
      </c>
      <c r="CJ9" s="47">
        <v>56</v>
      </c>
      <c r="CK9" s="47">
        <v>55</v>
      </c>
      <c r="CL9" s="47">
        <v>52</v>
      </c>
      <c r="CM9" s="134"/>
    </row>
    <row r="10" spans="1:91">
      <c r="A10" s="273" t="s">
        <v>105</v>
      </c>
      <c r="B10" s="273"/>
      <c r="C10" s="6">
        <f>SUM('Score Summary'!E9:E17)</f>
        <v>0</v>
      </c>
      <c r="D10" s="11">
        <f>VLOOKUP(C10,G4:U140,SUM(C4,C5,E10),FALSE)</f>
        <v>41</v>
      </c>
      <c r="E10" s="51">
        <v>2</v>
      </c>
      <c r="F10" s="128">
        <f>VLOOKUP(B6,G144:CM146,SUM(E10,C4,C5),FALSE)</f>
        <v>4</v>
      </c>
      <c r="G10" s="84">
        <v>6</v>
      </c>
      <c r="H10" s="30">
        <v>44</v>
      </c>
      <c r="I10" s="31">
        <v>49</v>
      </c>
      <c r="J10" s="31">
        <f t="shared" si="20"/>
        <v>52</v>
      </c>
      <c r="K10" s="31">
        <f t="shared" si="20"/>
        <v>53</v>
      </c>
      <c r="L10" s="31">
        <f t="shared" si="20"/>
        <v>53</v>
      </c>
      <c r="M10" s="31">
        <f t="shared" si="21"/>
        <v>52</v>
      </c>
      <c r="N10" s="32">
        <v>50</v>
      </c>
      <c r="O10" s="31">
        <f t="shared" ref="O10:Q73" si="39">O8+1</f>
        <v>48</v>
      </c>
      <c r="P10" s="31">
        <f t="shared" si="39"/>
        <v>47</v>
      </c>
      <c r="Q10" s="31">
        <f t="shared" si="39"/>
        <v>48</v>
      </c>
      <c r="R10" s="31">
        <f t="shared" si="22"/>
        <v>51</v>
      </c>
      <c r="S10" s="31">
        <f t="shared" si="22"/>
        <v>55</v>
      </c>
      <c r="T10" s="31">
        <f t="shared" si="22"/>
        <v>59</v>
      </c>
      <c r="U10" s="31">
        <f t="shared" si="32"/>
        <v>64</v>
      </c>
      <c r="V10" s="37">
        <v>42</v>
      </c>
      <c r="W10" s="47">
        <f t="shared" si="23"/>
        <v>50</v>
      </c>
      <c r="X10" s="47">
        <f t="shared" si="23"/>
        <v>53</v>
      </c>
      <c r="Y10" s="47">
        <f t="shared" si="24"/>
        <v>54</v>
      </c>
      <c r="Z10" s="47">
        <f t="shared" si="24"/>
        <v>52</v>
      </c>
      <c r="AA10" s="47">
        <f t="shared" si="24"/>
        <v>46</v>
      </c>
      <c r="AB10" s="133"/>
      <c r="AC10" s="37">
        <f t="shared" si="33"/>
        <v>48</v>
      </c>
      <c r="AD10" s="47">
        <f>AD8+1</f>
        <v>52</v>
      </c>
      <c r="AE10" s="47">
        <v>53</v>
      </c>
      <c r="AF10" s="47">
        <v>53</v>
      </c>
      <c r="AG10" s="47">
        <f>AG8+1</f>
        <v>52</v>
      </c>
      <c r="AH10" s="47">
        <f t="shared" si="34"/>
        <v>48</v>
      </c>
      <c r="AI10" s="134"/>
      <c r="AJ10" s="58">
        <v>52</v>
      </c>
      <c r="AK10" s="53">
        <v>57</v>
      </c>
      <c r="AL10" s="53">
        <v>59</v>
      </c>
      <c r="AM10" s="53">
        <f>AM8+3</f>
        <v>61</v>
      </c>
      <c r="AN10" s="53">
        <v>61</v>
      </c>
      <c r="AO10" s="53">
        <v>60</v>
      </c>
      <c r="AP10" s="131">
        <v>59</v>
      </c>
      <c r="AQ10" s="53">
        <v>60</v>
      </c>
      <c r="AR10" s="53">
        <v>58</v>
      </c>
      <c r="AS10" s="53">
        <v>58</v>
      </c>
      <c r="AT10" s="53">
        <v>58</v>
      </c>
      <c r="AU10" s="53">
        <v>59</v>
      </c>
      <c r="AV10" s="53">
        <v>61</v>
      </c>
      <c r="AW10" s="53">
        <v>64</v>
      </c>
      <c r="AX10" s="68">
        <v>63</v>
      </c>
      <c r="AY10" s="69">
        <v>64</v>
      </c>
      <c r="AZ10" s="69">
        <v>65</v>
      </c>
      <c r="BA10" s="69">
        <v>65</v>
      </c>
      <c r="BB10" s="69">
        <v>66</v>
      </c>
      <c r="BC10" s="69">
        <v>65</v>
      </c>
      <c r="BD10" s="70">
        <f t="shared" si="1"/>
        <v>65</v>
      </c>
      <c r="BE10" s="69">
        <v>67</v>
      </c>
      <c r="BF10" s="69">
        <v>65</v>
      </c>
      <c r="BG10" s="69">
        <v>65</v>
      </c>
      <c r="BH10" s="69">
        <v>65</v>
      </c>
      <c r="BI10" s="69">
        <f t="shared" si="2"/>
        <v>67</v>
      </c>
      <c r="BJ10" s="69">
        <f t="shared" si="3"/>
        <v>70</v>
      </c>
      <c r="BK10" s="70">
        <f t="shared" si="4"/>
        <v>73</v>
      </c>
      <c r="BL10" s="30">
        <v>52</v>
      </c>
      <c r="BM10" s="31">
        <f t="shared" si="36"/>
        <v>56</v>
      </c>
      <c r="BN10" s="31">
        <f t="shared" si="5"/>
        <v>59</v>
      </c>
      <c r="BO10" s="31">
        <f t="shared" si="6"/>
        <v>60</v>
      </c>
      <c r="BP10" s="31">
        <f t="shared" si="7"/>
        <v>60</v>
      </c>
      <c r="BQ10" s="31">
        <f t="shared" si="8"/>
        <v>59</v>
      </c>
      <c r="BR10" s="32">
        <f t="shared" si="26"/>
        <v>57</v>
      </c>
      <c r="BS10" s="31">
        <f t="shared" si="27"/>
        <v>53</v>
      </c>
      <c r="BT10" s="31">
        <f t="shared" si="28"/>
        <v>52</v>
      </c>
      <c r="BU10" s="31">
        <f t="shared" si="29"/>
        <v>53</v>
      </c>
      <c r="BV10" s="31">
        <f t="shared" si="9"/>
        <v>57</v>
      </c>
      <c r="BW10" s="31">
        <f t="shared" si="10"/>
        <v>61</v>
      </c>
      <c r="BX10" s="31">
        <f t="shared" si="37"/>
        <v>66</v>
      </c>
      <c r="BY10" s="31">
        <f t="shared" si="11"/>
        <v>71</v>
      </c>
      <c r="BZ10" s="37">
        <f t="shared" ref="BZ10:BZ60" si="40">BZ9+1</f>
        <v>45</v>
      </c>
      <c r="CA10" s="47">
        <f t="shared" si="12"/>
        <v>53</v>
      </c>
      <c r="CB10" s="47">
        <v>57</v>
      </c>
      <c r="CC10" s="47">
        <f t="shared" si="14"/>
        <v>59</v>
      </c>
      <c r="CD10" s="47">
        <f t="shared" si="30"/>
        <v>59</v>
      </c>
      <c r="CE10" s="47">
        <f t="shared" si="38"/>
        <v>56</v>
      </c>
      <c r="CF10" s="133"/>
      <c r="CG10" s="37">
        <f t="shared" si="15"/>
        <v>49</v>
      </c>
      <c r="CH10" s="47">
        <f t="shared" si="16"/>
        <v>54</v>
      </c>
      <c r="CI10" s="47">
        <f t="shared" si="31"/>
        <v>57</v>
      </c>
      <c r="CJ10" s="47">
        <f t="shared" si="17"/>
        <v>57</v>
      </c>
      <c r="CK10" s="47">
        <f t="shared" si="18"/>
        <v>56</v>
      </c>
      <c r="CL10" s="47">
        <f t="shared" si="19"/>
        <v>53</v>
      </c>
      <c r="CM10" s="134"/>
    </row>
    <row r="11" spans="1:91">
      <c r="A11" s="273" t="s">
        <v>106</v>
      </c>
      <c r="B11" s="273"/>
      <c r="C11" s="6">
        <f>SUM('Score Summary'!E9:E18)</f>
        <v>0</v>
      </c>
      <c r="D11" s="11">
        <f>VLOOKUP(C11,G4:AI140,SUM(C4,C5,E11),FALSE)</f>
        <v>40</v>
      </c>
      <c r="E11" s="51">
        <f>E10+14</f>
        <v>16</v>
      </c>
      <c r="F11" s="128">
        <f>VLOOKUP(B6,G144:CM146,SUM(C4,C5,E11),FALSE)</f>
        <v>3</v>
      </c>
      <c r="G11" s="84">
        <v>7</v>
      </c>
      <c r="H11" s="30">
        <v>45</v>
      </c>
      <c r="I11" s="31">
        <v>50</v>
      </c>
      <c r="J11" s="31">
        <f t="shared" si="20"/>
        <v>52</v>
      </c>
      <c r="K11" s="31">
        <f t="shared" si="20"/>
        <v>54</v>
      </c>
      <c r="L11" s="31">
        <f t="shared" si="20"/>
        <v>54</v>
      </c>
      <c r="M11" s="31">
        <f t="shared" si="21"/>
        <v>52</v>
      </c>
      <c r="N11" s="32">
        <f t="shared" si="21"/>
        <v>50</v>
      </c>
      <c r="O11" s="31">
        <f t="shared" si="39"/>
        <v>49</v>
      </c>
      <c r="P11" s="31">
        <f t="shared" si="39"/>
        <v>48</v>
      </c>
      <c r="Q11" s="31">
        <f t="shared" si="39"/>
        <v>49</v>
      </c>
      <c r="R11" s="31">
        <f t="shared" si="22"/>
        <v>51</v>
      </c>
      <c r="S11" s="31">
        <f t="shared" si="22"/>
        <v>55</v>
      </c>
      <c r="T11" s="31">
        <f t="shared" si="22"/>
        <v>60</v>
      </c>
      <c r="U11" s="31">
        <v>64</v>
      </c>
      <c r="V11" s="37">
        <v>43</v>
      </c>
      <c r="W11" s="47">
        <f t="shared" si="23"/>
        <v>50</v>
      </c>
      <c r="X11" s="47">
        <f t="shared" si="23"/>
        <v>54</v>
      </c>
      <c r="Y11" s="47">
        <f t="shared" si="24"/>
        <v>54</v>
      </c>
      <c r="Z11" s="47">
        <f t="shared" si="24"/>
        <v>52</v>
      </c>
      <c r="AA11" s="47">
        <f t="shared" si="24"/>
        <v>47</v>
      </c>
      <c r="AB11" s="133"/>
      <c r="AC11" s="37">
        <f t="shared" si="33"/>
        <v>49</v>
      </c>
      <c r="AD11" s="47">
        <f t="shared" si="33"/>
        <v>52</v>
      </c>
      <c r="AE11" s="47">
        <f>AE9+1</f>
        <v>54</v>
      </c>
      <c r="AF11" s="47">
        <f>AF9+1</f>
        <v>54</v>
      </c>
      <c r="AG11" s="47">
        <f t="shared" ref="AG11:AH73" si="41">AG9+1</f>
        <v>52</v>
      </c>
      <c r="AH11" s="47">
        <f t="shared" si="34"/>
        <v>49</v>
      </c>
      <c r="AI11" s="134"/>
      <c r="AJ11" s="58">
        <v>54</v>
      </c>
      <c r="AK11" s="53">
        <v>58</v>
      </c>
      <c r="AL11" s="53">
        <v>61</v>
      </c>
      <c r="AM11" s="53">
        <f t="shared" ref="AM11:AM36" si="42">AM9+3</f>
        <v>62</v>
      </c>
      <c r="AN11" s="53">
        <v>62</v>
      </c>
      <c r="AO11" s="53">
        <v>62</v>
      </c>
      <c r="AP11" s="131">
        <v>60</v>
      </c>
      <c r="AQ11" s="53">
        <v>61</v>
      </c>
      <c r="AR11" s="53">
        <v>60</v>
      </c>
      <c r="AS11" s="53">
        <v>59</v>
      </c>
      <c r="AT11" s="53">
        <v>60</v>
      </c>
      <c r="AU11" s="53">
        <v>61</v>
      </c>
      <c r="AV11" s="53">
        <v>63</v>
      </c>
      <c r="AW11" s="53">
        <v>65</v>
      </c>
      <c r="AX11" s="68">
        <f t="shared" si="0"/>
        <v>66</v>
      </c>
      <c r="AY11" s="69">
        <v>67</v>
      </c>
      <c r="AZ11" s="69">
        <v>67</v>
      </c>
      <c r="BA11" s="69">
        <v>68</v>
      </c>
      <c r="BB11" s="69">
        <f t="shared" si="25"/>
        <v>68</v>
      </c>
      <c r="BC11" s="69">
        <v>68</v>
      </c>
      <c r="BD11" s="70">
        <f t="shared" si="1"/>
        <v>67</v>
      </c>
      <c r="BE11" s="69">
        <v>69</v>
      </c>
      <c r="BF11" s="69">
        <v>67</v>
      </c>
      <c r="BG11" s="69">
        <v>67</v>
      </c>
      <c r="BH11" s="69">
        <v>67</v>
      </c>
      <c r="BI11" s="69">
        <f t="shared" si="2"/>
        <v>69</v>
      </c>
      <c r="BJ11" s="69">
        <f t="shared" si="3"/>
        <v>72</v>
      </c>
      <c r="BK11" s="70">
        <f t="shared" si="4"/>
        <v>75</v>
      </c>
      <c r="BL11" s="30">
        <f t="shared" si="35"/>
        <v>53</v>
      </c>
      <c r="BM11" s="31">
        <f t="shared" si="36"/>
        <v>57</v>
      </c>
      <c r="BN11" s="31">
        <f t="shared" si="5"/>
        <v>60</v>
      </c>
      <c r="BO11" s="31">
        <f t="shared" si="6"/>
        <v>61</v>
      </c>
      <c r="BP11" s="31">
        <f t="shared" si="7"/>
        <v>61</v>
      </c>
      <c r="BQ11" s="31">
        <f t="shared" si="8"/>
        <v>60</v>
      </c>
      <c r="BR11" s="32">
        <f t="shared" si="26"/>
        <v>58</v>
      </c>
      <c r="BS11" s="31">
        <f t="shared" si="27"/>
        <v>54</v>
      </c>
      <c r="BT11" s="31">
        <f t="shared" si="28"/>
        <v>53</v>
      </c>
      <c r="BU11" s="31">
        <v>55</v>
      </c>
      <c r="BV11" s="31">
        <f t="shared" si="9"/>
        <v>58</v>
      </c>
      <c r="BW11" s="31">
        <f t="shared" si="10"/>
        <v>62</v>
      </c>
      <c r="BX11" s="31">
        <f t="shared" si="37"/>
        <v>67</v>
      </c>
      <c r="BY11" s="31">
        <f t="shared" si="11"/>
        <v>72</v>
      </c>
      <c r="BZ11" s="37">
        <f t="shared" si="40"/>
        <v>46</v>
      </c>
      <c r="CA11" s="47">
        <f t="shared" si="12"/>
        <v>54</v>
      </c>
      <c r="CB11" s="47">
        <f t="shared" si="13"/>
        <v>58</v>
      </c>
      <c r="CC11" s="47">
        <f t="shared" si="14"/>
        <v>60</v>
      </c>
      <c r="CD11" s="47">
        <v>59</v>
      </c>
      <c r="CE11" s="47">
        <f t="shared" si="38"/>
        <v>57</v>
      </c>
      <c r="CF11" s="133"/>
      <c r="CG11" s="37">
        <f t="shared" si="15"/>
        <v>50</v>
      </c>
      <c r="CH11" s="47">
        <f t="shared" si="16"/>
        <v>55</v>
      </c>
      <c r="CI11" s="47">
        <v>57</v>
      </c>
      <c r="CJ11" s="47">
        <f t="shared" si="17"/>
        <v>58</v>
      </c>
      <c r="CK11" s="47">
        <f t="shared" si="18"/>
        <v>57</v>
      </c>
      <c r="CL11" s="47">
        <f t="shared" si="19"/>
        <v>54</v>
      </c>
      <c r="CM11" s="134"/>
    </row>
    <row r="12" spans="1:91">
      <c r="A12" s="273" t="s">
        <v>107</v>
      </c>
      <c r="B12" s="273"/>
      <c r="C12" s="6">
        <f>SUM('Score Summary'!F16,'Score Summary'!F11,'Score Summary'!F9)</f>
        <v>0</v>
      </c>
      <c r="D12" s="11">
        <f>VLOOKUP(C12,G4:AW44,SUM(C4,C5,E12),FALSE)</f>
        <v>41</v>
      </c>
      <c r="E12" s="51">
        <f>E11+14</f>
        <v>30</v>
      </c>
      <c r="F12" s="128">
        <f>VLOOKUP(B6,G144:CM146,SUM(C4,C5,E12),FALSE)</f>
        <v>6</v>
      </c>
      <c r="G12" s="84">
        <v>8</v>
      </c>
      <c r="H12" s="30">
        <v>46</v>
      </c>
      <c r="I12" s="31">
        <v>50</v>
      </c>
      <c r="J12" s="31">
        <f t="shared" si="20"/>
        <v>53</v>
      </c>
      <c r="K12" s="31">
        <f t="shared" si="20"/>
        <v>54</v>
      </c>
      <c r="L12" s="31">
        <f t="shared" si="20"/>
        <v>54</v>
      </c>
      <c r="M12" s="31">
        <f t="shared" si="21"/>
        <v>53</v>
      </c>
      <c r="N12" s="32">
        <f t="shared" si="21"/>
        <v>51</v>
      </c>
      <c r="O12" s="31">
        <v>50</v>
      </c>
      <c r="P12" s="31">
        <v>49</v>
      </c>
      <c r="Q12" s="31">
        <f t="shared" ref="Q12:R75" si="43">Q10+1</f>
        <v>49</v>
      </c>
      <c r="R12" s="31">
        <f t="shared" si="22"/>
        <v>52</v>
      </c>
      <c r="S12" s="31">
        <f t="shared" si="22"/>
        <v>56</v>
      </c>
      <c r="T12" s="31">
        <f t="shared" si="22"/>
        <v>60</v>
      </c>
      <c r="U12" s="31">
        <f t="shared" si="32"/>
        <v>65</v>
      </c>
      <c r="V12" s="37">
        <v>43</v>
      </c>
      <c r="W12" s="47">
        <f t="shared" si="23"/>
        <v>51</v>
      </c>
      <c r="X12" s="47">
        <f t="shared" si="23"/>
        <v>54</v>
      </c>
      <c r="Y12" s="47">
        <f t="shared" si="24"/>
        <v>55</v>
      </c>
      <c r="Z12" s="47">
        <f t="shared" si="24"/>
        <v>53</v>
      </c>
      <c r="AA12" s="47">
        <f t="shared" si="24"/>
        <v>47</v>
      </c>
      <c r="AB12" s="133"/>
      <c r="AC12" s="37">
        <f t="shared" si="33"/>
        <v>49</v>
      </c>
      <c r="AD12" s="47">
        <f t="shared" si="33"/>
        <v>53</v>
      </c>
      <c r="AE12" s="47">
        <f t="shared" si="33"/>
        <v>54</v>
      </c>
      <c r="AF12" s="47">
        <f t="shared" si="33"/>
        <v>54</v>
      </c>
      <c r="AG12" s="47">
        <f t="shared" si="41"/>
        <v>53</v>
      </c>
      <c r="AH12" s="47">
        <f t="shared" si="34"/>
        <v>49</v>
      </c>
      <c r="AI12" s="134"/>
      <c r="AJ12" s="58">
        <v>56</v>
      </c>
      <c r="AK12" s="53">
        <v>60</v>
      </c>
      <c r="AL12" s="53">
        <v>62</v>
      </c>
      <c r="AM12" s="53">
        <f t="shared" si="42"/>
        <v>64</v>
      </c>
      <c r="AN12" s="53">
        <v>64</v>
      </c>
      <c r="AO12" s="53">
        <v>63</v>
      </c>
      <c r="AP12" s="131">
        <v>62</v>
      </c>
      <c r="AQ12" s="53">
        <v>63</v>
      </c>
      <c r="AR12" s="53">
        <v>61</v>
      </c>
      <c r="AS12" s="53">
        <v>61</v>
      </c>
      <c r="AT12" s="53">
        <v>61</v>
      </c>
      <c r="AU12" s="53">
        <v>62</v>
      </c>
      <c r="AV12" s="53">
        <v>64</v>
      </c>
      <c r="AW12" s="53">
        <v>67</v>
      </c>
      <c r="AX12" s="68">
        <v>68</v>
      </c>
      <c r="AY12" s="69">
        <v>69</v>
      </c>
      <c r="AZ12" s="69">
        <v>70</v>
      </c>
      <c r="BA12" s="69">
        <v>70</v>
      </c>
      <c r="BB12" s="69">
        <f t="shared" si="25"/>
        <v>70</v>
      </c>
      <c r="BC12" s="69">
        <v>70</v>
      </c>
      <c r="BD12" s="70">
        <f t="shared" si="1"/>
        <v>69</v>
      </c>
      <c r="BE12" s="69">
        <v>71</v>
      </c>
      <c r="BF12" s="69">
        <v>70</v>
      </c>
      <c r="BG12" s="69">
        <v>69</v>
      </c>
      <c r="BH12" s="69">
        <v>70</v>
      </c>
      <c r="BI12" s="69">
        <f t="shared" si="2"/>
        <v>71</v>
      </c>
      <c r="BJ12" s="69">
        <f t="shared" si="3"/>
        <v>74</v>
      </c>
      <c r="BK12" s="70">
        <f t="shared" si="4"/>
        <v>77</v>
      </c>
      <c r="BL12" s="30">
        <v>55</v>
      </c>
      <c r="BM12" s="31">
        <v>59</v>
      </c>
      <c r="BN12" s="31">
        <f t="shared" si="5"/>
        <v>61</v>
      </c>
      <c r="BO12" s="31">
        <f t="shared" si="6"/>
        <v>62</v>
      </c>
      <c r="BP12" s="31">
        <f t="shared" si="7"/>
        <v>62</v>
      </c>
      <c r="BQ12" s="31">
        <f t="shared" si="8"/>
        <v>61</v>
      </c>
      <c r="BR12" s="32">
        <v>60</v>
      </c>
      <c r="BS12" s="31">
        <v>56</v>
      </c>
      <c r="BT12" s="31">
        <v>55</v>
      </c>
      <c r="BU12" s="31">
        <f t="shared" si="29"/>
        <v>56</v>
      </c>
      <c r="BV12" s="31">
        <f t="shared" si="9"/>
        <v>59</v>
      </c>
      <c r="BW12" s="31">
        <f t="shared" si="10"/>
        <v>63</v>
      </c>
      <c r="BX12" s="31">
        <f t="shared" si="37"/>
        <v>68</v>
      </c>
      <c r="BY12" s="31">
        <f t="shared" si="11"/>
        <v>73</v>
      </c>
      <c r="BZ12" s="37">
        <f t="shared" si="40"/>
        <v>47</v>
      </c>
      <c r="CA12" s="47">
        <f t="shared" si="12"/>
        <v>55</v>
      </c>
      <c r="CB12" s="47">
        <f t="shared" si="13"/>
        <v>59</v>
      </c>
      <c r="CC12" s="47">
        <f t="shared" si="14"/>
        <v>61</v>
      </c>
      <c r="CD12" s="47">
        <f t="shared" si="30"/>
        <v>60</v>
      </c>
      <c r="CE12" s="47">
        <f t="shared" si="38"/>
        <v>58</v>
      </c>
      <c r="CF12" s="133"/>
      <c r="CG12" s="37">
        <f t="shared" si="15"/>
        <v>51</v>
      </c>
      <c r="CH12" s="47">
        <f t="shared" si="16"/>
        <v>56</v>
      </c>
      <c r="CI12" s="47">
        <f t="shared" si="31"/>
        <v>58</v>
      </c>
      <c r="CJ12" s="47">
        <f t="shared" si="17"/>
        <v>59</v>
      </c>
      <c r="CK12" s="47">
        <f t="shared" si="18"/>
        <v>58</v>
      </c>
      <c r="CL12" s="47">
        <f t="shared" si="19"/>
        <v>55</v>
      </c>
      <c r="CM12" s="134"/>
    </row>
    <row r="13" spans="1:91">
      <c r="A13" s="273" t="s">
        <v>108</v>
      </c>
      <c r="B13" s="273"/>
      <c r="C13" s="6">
        <f>SUM('Score Summary'!G14,'Score Summary'!G17)</f>
        <v>0</v>
      </c>
      <c r="D13" s="11">
        <f>VLOOKUP(C13,G3:BK30,SUM(C4:C5,E13),FALSE)</f>
        <v>49</v>
      </c>
      <c r="E13" s="51">
        <f>E12+14</f>
        <v>44</v>
      </c>
      <c r="F13" s="128">
        <f>VLOOKUP(B6,G144:CM146,SUM(C4,C5,E13),FALSE)</f>
        <v>6</v>
      </c>
      <c r="G13" s="84">
        <v>9</v>
      </c>
      <c r="H13" s="30">
        <v>46</v>
      </c>
      <c r="I13" s="31">
        <v>51</v>
      </c>
      <c r="J13" s="31">
        <f t="shared" si="20"/>
        <v>53</v>
      </c>
      <c r="K13" s="31">
        <f t="shared" si="20"/>
        <v>55</v>
      </c>
      <c r="L13" s="31">
        <f t="shared" si="20"/>
        <v>55</v>
      </c>
      <c r="M13" s="31">
        <f t="shared" si="21"/>
        <v>53</v>
      </c>
      <c r="N13" s="32">
        <f t="shared" si="21"/>
        <v>51</v>
      </c>
      <c r="O13" s="31">
        <f t="shared" si="39"/>
        <v>50</v>
      </c>
      <c r="P13" s="31">
        <f t="shared" ref="P13:P75" si="44">P11+1</f>
        <v>49</v>
      </c>
      <c r="Q13" s="31">
        <f t="shared" si="43"/>
        <v>50</v>
      </c>
      <c r="R13" s="31">
        <f t="shared" si="22"/>
        <v>52</v>
      </c>
      <c r="S13" s="31">
        <f t="shared" si="22"/>
        <v>56</v>
      </c>
      <c r="T13" s="31">
        <v>60</v>
      </c>
      <c r="U13" s="31">
        <f t="shared" si="32"/>
        <v>65</v>
      </c>
      <c r="V13" s="37">
        <v>44</v>
      </c>
      <c r="W13" s="47">
        <f t="shared" si="23"/>
        <v>51</v>
      </c>
      <c r="X13" s="47">
        <f t="shared" si="23"/>
        <v>55</v>
      </c>
      <c r="Y13" s="47">
        <f t="shared" si="24"/>
        <v>55</v>
      </c>
      <c r="Z13" s="47">
        <f t="shared" si="24"/>
        <v>53</v>
      </c>
      <c r="AA13" s="47">
        <f t="shared" si="24"/>
        <v>48</v>
      </c>
      <c r="AB13" s="133"/>
      <c r="AC13" s="37">
        <f t="shared" si="33"/>
        <v>50</v>
      </c>
      <c r="AD13" s="47">
        <f t="shared" si="33"/>
        <v>53</v>
      </c>
      <c r="AE13" s="47">
        <f t="shared" si="33"/>
        <v>55</v>
      </c>
      <c r="AF13" s="47">
        <f t="shared" si="33"/>
        <v>55</v>
      </c>
      <c r="AG13" s="47">
        <f t="shared" si="41"/>
        <v>53</v>
      </c>
      <c r="AH13" s="47">
        <f t="shared" si="34"/>
        <v>50</v>
      </c>
      <c r="AI13" s="134"/>
      <c r="AJ13" s="58">
        <v>58</v>
      </c>
      <c r="AK13" s="53">
        <v>62</v>
      </c>
      <c r="AL13" s="53">
        <v>64</v>
      </c>
      <c r="AM13" s="53">
        <f t="shared" si="42"/>
        <v>65</v>
      </c>
      <c r="AN13" s="53">
        <v>65</v>
      </c>
      <c r="AO13" s="53">
        <v>65</v>
      </c>
      <c r="AP13" s="131">
        <v>63</v>
      </c>
      <c r="AQ13" s="53">
        <v>64</v>
      </c>
      <c r="AR13" s="53">
        <v>63</v>
      </c>
      <c r="AS13" s="53">
        <v>62</v>
      </c>
      <c r="AT13" s="53">
        <v>63</v>
      </c>
      <c r="AU13" s="53">
        <v>64</v>
      </c>
      <c r="AV13" s="53">
        <v>66</v>
      </c>
      <c r="AW13" s="53">
        <v>68</v>
      </c>
      <c r="AX13" s="68">
        <f t="shared" si="0"/>
        <v>71</v>
      </c>
      <c r="AY13" s="69">
        <v>71</v>
      </c>
      <c r="AZ13" s="69">
        <v>72</v>
      </c>
      <c r="BA13" s="69">
        <v>72</v>
      </c>
      <c r="BB13" s="69">
        <f t="shared" si="25"/>
        <v>72</v>
      </c>
      <c r="BC13" s="69">
        <v>72</v>
      </c>
      <c r="BD13" s="70">
        <v>72</v>
      </c>
      <c r="BE13" s="69">
        <v>73</v>
      </c>
      <c r="BF13" s="69">
        <v>72</v>
      </c>
      <c r="BG13" s="69">
        <v>71</v>
      </c>
      <c r="BH13" s="69">
        <v>72</v>
      </c>
      <c r="BI13" s="69">
        <f t="shared" si="2"/>
        <v>73</v>
      </c>
      <c r="BJ13" s="69">
        <f t="shared" si="3"/>
        <v>76</v>
      </c>
      <c r="BK13" s="70">
        <v>78</v>
      </c>
      <c r="BL13" s="30">
        <f t="shared" si="35"/>
        <v>56</v>
      </c>
      <c r="BM13" s="31">
        <f t="shared" si="36"/>
        <v>60</v>
      </c>
      <c r="BN13" s="31">
        <f t="shared" si="5"/>
        <v>62</v>
      </c>
      <c r="BO13" s="31">
        <f t="shared" si="6"/>
        <v>63</v>
      </c>
      <c r="BP13" s="31">
        <f t="shared" si="7"/>
        <v>63</v>
      </c>
      <c r="BQ13" s="31">
        <f t="shared" si="8"/>
        <v>62</v>
      </c>
      <c r="BR13" s="32">
        <f t="shared" si="26"/>
        <v>61</v>
      </c>
      <c r="BS13" s="31">
        <f t="shared" si="27"/>
        <v>57</v>
      </c>
      <c r="BT13" s="31">
        <f t="shared" si="28"/>
        <v>56</v>
      </c>
      <c r="BU13" s="31">
        <f t="shared" si="29"/>
        <v>57</v>
      </c>
      <c r="BV13" s="31">
        <f t="shared" si="9"/>
        <v>60</v>
      </c>
      <c r="BW13" s="31">
        <f t="shared" si="10"/>
        <v>64</v>
      </c>
      <c r="BX13" s="31">
        <f t="shared" si="37"/>
        <v>69</v>
      </c>
      <c r="BY13" s="31">
        <v>73</v>
      </c>
      <c r="BZ13" s="37">
        <v>49</v>
      </c>
      <c r="CA13" s="47">
        <v>57</v>
      </c>
      <c r="CB13" s="47">
        <f t="shared" si="13"/>
        <v>60</v>
      </c>
      <c r="CC13" s="47">
        <v>61</v>
      </c>
      <c r="CD13" s="47">
        <f t="shared" si="30"/>
        <v>61</v>
      </c>
      <c r="CE13" s="47">
        <f t="shared" si="38"/>
        <v>59</v>
      </c>
      <c r="CF13" s="133"/>
      <c r="CG13" s="37">
        <f t="shared" si="15"/>
        <v>52</v>
      </c>
      <c r="CH13" s="47">
        <f t="shared" si="16"/>
        <v>57</v>
      </c>
      <c r="CI13" s="47">
        <f t="shared" si="31"/>
        <v>59</v>
      </c>
      <c r="CJ13" s="47">
        <f t="shared" si="17"/>
        <v>60</v>
      </c>
      <c r="CK13" s="47">
        <f t="shared" si="18"/>
        <v>59</v>
      </c>
      <c r="CL13" s="47">
        <f t="shared" si="19"/>
        <v>56</v>
      </c>
      <c r="CM13" s="134"/>
    </row>
    <row r="14" spans="1:91">
      <c r="A14" s="273" t="s">
        <v>109</v>
      </c>
      <c r="B14" s="273"/>
      <c r="C14" s="6">
        <f>SUM('Score Summary'!H10:I10,'Score Summary'!H12:I12,'Score Summary'!H13:I13,'Score Summary'!H15:I15)</f>
        <v>0</v>
      </c>
      <c r="D14" s="11">
        <f>VLOOKUP(C14,G3:BY58,SUM(C4,C5,E14),FALSE)</f>
        <v>44</v>
      </c>
      <c r="E14" s="51">
        <f>E13+14</f>
        <v>58</v>
      </c>
      <c r="F14" s="128">
        <f>VLOOKUP(B6,G144:CM146,SUM(C4,C5,E14),FALSE)</f>
        <v>5</v>
      </c>
      <c r="G14" s="84">
        <v>10</v>
      </c>
      <c r="H14" s="30">
        <v>47</v>
      </c>
      <c r="I14" s="31">
        <v>51</v>
      </c>
      <c r="J14" s="31">
        <f t="shared" si="20"/>
        <v>54</v>
      </c>
      <c r="K14" s="31">
        <f t="shared" si="20"/>
        <v>55</v>
      </c>
      <c r="L14" s="31">
        <f t="shared" si="20"/>
        <v>55</v>
      </c>
      <c r="M14" s="31">
        <f t="shared" si="21"/>
        <v>54</v>
      </c>
      <c r="N14" s="32">
        <f t="shared" si="21"/>
        <v>52</v>
      </c>
      <c r="O14" s="31">
        <f t="shared" si="39"/>
        <v>51</v>
      </c>
      <c r="P14" s="31">
        <f t="shared" si="44"/>
        <v>50</v>
      </c>
      <c r="Q14" s="31">
        <f t="shared" si="43"/>
        <v>50</v>
      </c>
      <c r="R14" s="31">
        <f t="shared" si="22"/>
        <v>53</v>
      </c>
      <c r="S14" s="31">
        <f t="shared" si="22"/>
        <v>57</v>
      </c>
      <c r="T14" s="31">
        <f t="shared" si="22"/>
        <v>61</v>
      </c>
      <c r="U14" s="31">
        <f t="shared" si="32"/>
        <v>66</v>
      </c>
      <c r="V14" s="37">
        <v>44</v>
      </c>
      <c r="W14" s="47">
        <f t="shared" si="23"/>
        <v>52</v>
      </c>
      <c r="X14" s="47">
        <f t="shared" si="23"/>
        <v>55</v>
      </c>
      <c r="Y14" s="47">
        <v>55</v>
      </c>
      <c r="Z14" s="47">
        <v>53</v>
      </c>
      <c r="AA14" s="47">
        <f t="shared" ref="AA14:AA77" si="45">AA12+1</f>
        <v>48</v>
      </c>
      <c r="AB14" s="133"/>
      <c r="AC14" s="37">
        <f t="shared" si="33"/>
        <v>50</v>
      </c>
      <c r="AD14" s="47">
        <f t="shared" si="33"/>
        <v>54</v>
      </c>
      <c r="AE14" s="47">
        <f t="shared" si="33"/>
        <v>55</v>
      </c>
      <c r="AF14" s="47">
        <f t="shared" si="33"/>
        <v>55</v>
      </c>
      <c r="AG14" s="47">
        <f t="shared" si="41"/>
        <v>54</v>
      </c>
      <c r="AH14" s="47">
        <f t="shared" si="34"/>
        <v>50</v>
      </c>
      <c r="AI14" s="134"/>
      <c r="AJ14" s="58">
        <v>60</v>
      </c>
      <c r="AK14" s="53">
        <v>63</v>
      </c>
      <c r="AL14" s="53">
        <v>66</v>
      </c>
      <c r="AM14" s="53">
        <f t="shared" si="42"/>
        <v>67</v>
      </c>
      <c r="AN14" s="53">
        <v>67</v>
      </c>
      <c r="AO14" s="53">
        <v>66</v>
      </c>
      <c r="AP14" s="131">
        <v>65</v>
      </c>
      <c r="AQ14" s="53">
        <v>66</v>
      </c>
      <c r="AR14" s="53">
        <v>64</v>
      </c>
      <c r="AS14" s="53">
        <v>64</v>
      </c>
      <c r="AT14" s="53">
        <v>64</v>
      </c>
      <c r="AU14" s="53">
        <v>65</v>
      </c>
      <c r="AV14" s="53">
        <v>67</v>
      </c>
      <c r="AW14" s="53">
        <v>70</v>
      </c>
      <c r="AX14" s="68">
        <v>73</v>
      </c>
      <c r="AY14" s="69">
        <v>74</v>
      </c>
      <c r="AZ14" s="69">
        <v>74</v>
      </c>
      <c r="BA14" s="69">
        <v>74</v>
      </c>
      <c r="BB14" s="69">
        <f t="shared" si="25"/>
        <v>74</v>
      </c>
      <c r="BC14" s="69">
        <v>74</v>
      </c>
      <c r="BD14" s="70">
        <f t="shared" si="1"/>
        <v>74</v>
      </c>
      <c r="BE14" s="69">
        <v>75</v>
      </c>
      <c r="BF14" s="69">
        <v>74</v>
      </c>
      <c r="BG14" s="69">
        <v>74</v>
      </c>
      <c r="BH14" s="69">
        <v>74</v>
      </c>
      <c r="BI14" s="69">
        <v>76</v>
      </c>
      <c r="BJ14" s="69">
        <f t="shared" si="3"/>
        <v>78</v>
      </c>
      <c r="BK14" s="70">
        <f t="shared" si="4"/>
        <v>80</v>
      </c>
      <c r="BL14" s="30">
        <f t="shared" si="35"/>
        <v>57</v>
      </c>
      <c r="BM14" s="31">
        <f t="shared" si="36"/>
        <v>61</v>
      </c>
      <c r="BN14" s="31">
        <f t="shared" si="5"/>
        <v>63</v>
      </c>
      <c r="BO14" s="31">
        <f t="shared" si="6"/>
        <v>64</v>
      </c>
      <c r="BP14" s="31">
        <f t="shared" si="7"/>
        <v>64</v>
      </c>
      <c r="BQ14" s="31">
        <f t="shared" si="8"/>
        <v>63</v>
      </c>
      <c r="BR14" s="32">
        <f t="shared" si="26"/>
        <v>62</v>
      </c>
      <c r="BS14" s="31">
        <f t="shared" si="27"/>
        <v>58</v>
      </c>
      <c r="BT14" s="31">
        <f t="shared" si="28"/>
        <v>57</v>
      </c>
      <c r="BU14" s="31">
        <f t="shared" si="29"/>
        <v>58</v>
      </c>
      <c r="BV14" s="31">
        <f t="shared" si="9"/>
        <v>61</v>
      </c>
      <c r="BW14" s="31">
        <f t="shared" si="10"/>
        <v>65</v>
      </c>
      <c r="BX14" s="31">
        <v>69</v>
      </c>
      <c r="BY14" s="31">
        <f t="shared" si="11"/>
        <v>74</v>
      </c>
      <c r="BZ14" s="37">
        <f t="shared" si="40"/>
        <v>50</v>
      </c>
      <c r="CA14" s="47">
        <f t="shared" si="12"/>
        <v>58</v>
      </c>
      <c r="CB14" s="47">
        <f t="shared" si="13"/>
        <v>61</v>
      </c>
      <c r="CC14" s="47">
        <f t="shared" si="14"/>
        <v>62</v>
      </c>
      <c r="CD14" s="47">
        <f t="shared" si="30"/>
        <v>62</v>
      </c>
      <c r="CE14" s="47">
        <f t="shared" si="38"/>
        <v>60</v>
      </c>
      <c r="CF14" s="133"/>
      <c r="CG14" s="37">
        <v>54</v>
      </c>
      <c r="CH14" s="47">
        <f t="shared" si="16"/>
        <v>58</v>
      </c>
      <c r="CI14" s="47">
        <f t="shared" si="31"/>
        <v>60</v>
      </c>
      <c r="CJ14" s="47">
        <v>60</v>
      </c>
      <c r="CK14" s="47">
        <f t="shared" si="18"/>
        <v>60</v>
      </c>
      <c r="CL14" s="47">
        <f t="shared" si="19"/>
        <v>57</v>
      </c>
      <c r="CM14" s="134"/>
    </row>
    <row r="15" spans="1:91">
      <c r="A15" s="273" t="s">
        <v>110</v>
      </c>
      <c r="B15" s="273"/>
      <c r="C15" s="6">
        <f>SUM('Score Summary'!H10:I10,'Score Summary'!H12:I12,'Score Summary'!H13:I13,'Score Summary'!H15:I15,'Score Summary'!H18:I18)</f>
        <v>0</v>
      </c>
      <c r="D15" s="11">
        <f>VLOOKUP(C15,G3:CM72,SUM(C4,C5,E15),FALSE)</f>
        <v>40</v>
      </c>
      <c r="E15" s="51">
        <f>E14+14</f>
        <v>72</v>
      </c>
      <c r="F15" s="128">
        <f>VLOOKUP(B6,G144:CM146,SUM(C4,C5,E15),FALSE)</f>
        <v>5</v>
      </c>
      <c r="G15" s="84">
        <v>11</v>
      </c>
      <c r="H15" s="30">
        <v>48</v>
      </c>
      <c r="I15" s="31">
        <v>52</v>
      </c>
      <c r="J15" s="31">
        <v>55</v>
      </c>
      <c r="K15" s="31">
        <f t="shared" ref="K15:L78" si="46">K13+1</f>
        <v>56</v>
      </c>
      <c r="L15" s="31">
        <f t="shared" si="46"/>
        <v>56</v>
      </c>
      <c r="M15" s="31">
        <f t="shared" si="21"/>
        <v>54</v>
      </c>
      <c r="N15" s="32">
        <f t="shared" si="21"/>
        <v>52</v>
      </c>
      <c r="O15" s="31">
        <f t="shared" si="39"/>
        <v>51</v>
      </c>
      <c r="P15" s="31">
        <f t="shared" si="44"/>
        <v>50</v>
      </c>
      <c r="Q15" s="31">
        <f t="shared" si="43"/>
        <v>51</v>
      </c>
      <c r="R15" s="31">
        <f t="shared" si="22"/>
        <v>53</v>
      </c>
      <c r="S15" s="31">
        <f t="shared" si="22"/>
        <v>57</v>
      </c>
      <c r="T15" s="31">
        <f t="shared" si="22"/>
        <v>61</v>
      </c>
      <c r="U15" s="31">
        <f t="shared" si="32"/>
        <v>66</v>
      </c>
      <c r="V15" s="37">
        <v>45</v>
      </c>
      <c r="W15" s="47">
        <f t="shared" si="23"/>
        <v>52</v>
      </c>
      <c r="X15" s="47">
        <v>55</v>
      </c>
      <c r="Y15" s="47">
        <f t="shared" si="24"/>
        <v>56</v>
      </c>
      <c r="Z15" s="47">
        <f t="shared" ref="Z15:Z77" si="47">Z13+1</f>
        <v>54</v>
      </c>
      <c r="AA15" s="47">
        <f t="shared" si="45"/>
        <v>49</v>
      </c>
      <c r="AB15" s="133"/>
      <c r="AC15" s="37">
        <f t="shared" si="33"/>
        <v>51</v>
      </c>
      <c r="AD15" s="47">
        <f t="shared" si="33"/>
        <v>54</v>
      </c>
      <c r="AE15" s="47">
        <v>55</v>
      </c>
      <c r="AF15" s="47">
        <v>55</v>
      </c>
      <c r="AG15" s="47">
        <f t="shared" si="41"/>
        <v>54</v>
      </c>
      <c r="AH15" s="47">
        <f t="shared" si="34"/>
        <v>51</v>
      </c>
      <c r="AI15" s="134"/>
      <c r="AJ15" s="58">
        <v>62</v>
      </c>
      <c r="AK15" s="53">
        <v>65</v>
      </c>
      <c r="AL15" s="53">
        <v>67</v>
      </c>
      <c r="AM15" s="53">
        <f t="shared" si="42"/>
        <v>68</v>
      </c>
      <c r="AN15" s="53">
        <v>68</v>
      </c>
      <c r="AO15" s="53">
        <v>68</v>
      </c>
      <c r="AP15" s="131">
        <v>66</v>
      </c>
      <c r="AQ15" s="53">
        <v>67</v>
      </c>
      <c r="AR15" s="53">
        <v>66</v>
      </c>
      <c r="AS15" s="53">
        <v>65</v>
      </c>
      <c r="AT15" s="53">
        <v>66</v>
      </c>
      <c r="AU15" s="53">
        <v>67</v>
      </c>
      <c r="AV15" s="53">
        <v>68</v>
      </c>
      <c r="AW15" s="53">
        <v>71</v>
      </c>
      <c r="AX15" s="68">
        <f t="shared" si="0"/>
        <v>76</v>
      </c>
      <c r="AY15" s="69">
        <v>76</v>
      </c>
      <c r="AZ15" s="69">
        <v>77</v>
      </c>
      <c r="BA15" s="69">
        <v>77</v>
      </c>
      <c r="BB15" s="69">
        <v>77</v>
      </c>
      <c r="BC15" s="69">
        <v>76</v>
      </c>
      <c r="BD15" s="70">
        <f t="shared" si="1"/>
        <v>76</v>
      </c>
      <c r="BE15" s="69">
        <v>78</v>
      </c>
      <c r="BF15" s="69">
        <v>76</v>
      </c>
      <c r="BG15" s="69">
        <v>76</v>
      </c>
      <c r="BH15" s="69">
        <v>76</v>
      </c>
      <c r="BI15" s="69">
        <f t="shared" si="2"/>
        <v>78</v>
      </c>
      <c r="BJ15" s="69">
        <f t="shared" si="3"/>
        <v>80</v>
      </c>
      <c r="BK15" s="70">
        <f t="shared" si="4"/>
        <v>82</v>
      </c>
      <c r="BL15" s="30">
        <v>59</v>
      </c>
      <c r="BM15" s="31">
        <f t="shared" si="36"/>
        <v>62</v>
      </c>
      <c r="BN15" s="31">
        <f t="shared" si="5"/>
        <v>64</v>
      </c>
      <c r="BO15" s="31">
        <f t="shared" si="6"/>
        <v>65</v>
      </c>
      <c r="BP15" s="31">
        <f t="shared" si="7"/>
        <v>65</v>
      </c>
      <c r="BQ15" s="31">
        <f t="shared" si="8"/>
        <v>64</v>
      </c>
      <c r="BR15" s="32">
        <f t="shared" si="26"/>
        <v>63</v>
      </c>
      <c r="BS15" s="31">
        <v>60</v>
      </c>
      <c r="BT15" s="31">
        <f t="shared" si="28"/>
        <v>58</v>
      </c>
      <c r="BU15" s="31">
        <f t="shared" si="29"/>
        <v>59</v>
      </c>
      <c r="BV15" s="31">
        <f t="shared" si="9"/>
        <v>62</v>
      </c>
      <c r="BW15" s="31">
        <f t="shared" si="10"/>
        <v>66</v>
      </c>
      <c r="BX15" s="31">
        <f t="shared" si="37"/>
        <v>70</v>
      </c>
      <c r="BY15" s="31">
        <f t="shared" si="11"/>
        <v>75</v>
      </c>
      <c r="BZ15" s="37">
        <f t="shared" si="40"/>
        <v>51</v>
      </c>
      <c r="CA15" s="47">
        <f t="shared" si="12"/>
        <v>59</v>
      </c>
      <c r="CB15" s="47">
        <f t="shared" si="13"/>
        <v>62</v>
      </c>
      <c r="CC15" s="47">
        <f t="shared" si="14"/>
        <v>63</v>
      </c>
      <c r="CD15" s="47">
        <f t="shared" si="30"/>
        <v>63</v>
      </c>
      <c r="CE15" s="47">
        <f t="shared" si="38"/>
        <v>61</v>
      </c>
      <c r="CF15" s="133"/>
      <c r="CG15" s="37">
        <f t="shared" si="15"/>
        <v>55</v>
      </c>
      <c r="CH15" s="47">
        <f t="shared" si="16"/>
        <v>59</v>
      </c>
      <c r="CI15" s="47">
        <f t="shared" si="31"/>
        <v>61</v>
      </c>
      <c r="CJ15" s="47">
        <f t="shared" si="17"/>
        <v>61</v>
      </c>
      <c r="CK15" s="47">
        <v>60</v>
      </c>
      <c r="CL15" s="47">
        <f t="shared" si="19"/>
        <v>58</v>
      </c>
      <c r="CM15" s="134"/>
    </row>
    <row r="16" spans="1:91">
      <c r="G16" s="84">
        <v>12</v>
      </c>
      <c r="H16" s="30">
        <v>48</v>
      </c>
      <c r="I16" s="31">
        <v>53</v>
      </c>
      <c r="J16" s="31">
        <f t="shared" si="20"/>
        <v>55</v>
      </c>
      <c r="K16" s="31">
        <f t="shared" si="46"/>
        <v>56</v>
      </c>
      <c r="L16" s="31">
        <f t="shared" si="46"/>
        <v>56</v>
      </c>
      <c r="M16" s="31">
        <f t="shared" si="21"/>
        <v>55</v>
      </c>
      <c r="N16" s="32">
        <f t="shared" si="21"/>
        <v>53</v>
      </c>
      <c r="O16" s="31">
        <f t="shared" si="39"/>
        <v>52</v>
      </c>
      <c r="P16" s="31">
        <f t="shared" si="44"/>
        <v>51</v>
      </c>
      <c r="Q16" s="31">
        <v>52</v>
      </c>
      <c r="R16" s="31">
        <f t="shared" si="22"/>
        <v>54</v>
      </c>
      <c r="S16" s="31">
        <v>57</v>
      </c>
      <c r="T16" s="31">
        <f t="shared" ref="T16:T79" si="48">T14+1</f>
        <v>62</v>
      </c>
      <c r="U16" s="31">
        <v>66</v>
      </c>
      <c r="V16" s="37">
        <v>46</v>
      </c>
      <c r="W16" s="47">
        <f t="shared" si="23"/>
        <v>53</v>
      </c>
      <c r="X16" s="47">
        <f t="shared" si="23"/>
        <v>56</v>
      </c>
      <c r="Y16" s="47">
        <f t="shared" si="24"/>
        <v>56</v>
      </c>
      <c r="Z16" s="47">
        <f t="shared" si="47"/>
        <v>54</v>
      </c>
      <c r="AA16" s="47">
        <f t="shared" si="45"/>
        <v>49</v>
      </c>
      <c r="AB16" s="133"/>
      <c r="AC16" s="37">
        <f t="shared" si="33"/>
        <v>51</v>
      </c>
      <c r="AD16" s="47">
        <f t="shared" si="33"/>
        <v>55</v>
      </c>
      <c r="AE16" s="47">
        <f t="shared" si="33"/>
        <v>56</v>
      </c>
      <c r="AF16" s="47">
        <f t="shared" ref="AF16:AG78" si="49">AF14+1</f>
        <v>56</v>
      </c>
      <c r="AG16" s="47">
        <v>54</v>
      </c>
      <c r="AH16" s="47">
        <f t="shared" si="34"/>
        <v>51</v>
      </c>
      <c r="AI16" s="134"/>
      <c r="AJ16" s="58">
        <v>64</v>
      </c>
      <c r="AK16" s="53">
        <v>67</v>
      </c>
      <c r="AL16" s="53">
        <v>69</v>
      </c>
      <c r="AM16" s="53">
        <v>69</v>
      </c>
      <c r="AN16" s="53">
        <v>70</v>
      </c>
      <c r="AO16" s="53">
        <v>69</v>
      </c>
      <c r="AP16" s="131">
        <v>68</v>
      </c>
      <c r="AQ16" s="53">
        <v>69</v>
      </c>
      <c r="AR16" s="53">
        <v>67</v>
      </c>
      <c r="AS16" s="53">
        <v>67</v>
      </c>
      <c r="AT16" s="53">
        <v>67</v>
      </c>
      <c r="AU16" s="53">
        <v>68</v>
      </c>
      <c r="AV16" s="53">
        <v>70</v>
      </c>
      <c r="AW16" s="53">
        <v>72</v>
      </c>
      <c r="AX16" s="68">
        <v>78</v>
      </c>
      <c r="AY16" s="69">
        <v>79</v>
      </c>
      <c r="AZ16" s="69">
        <v>79</v>
      </c>
      <c r="BA16" s="69">
        <v>79</v>
      </c>
      <c r="BB16" s="69">
        <f t="shared" si="25"/>
        <v>79</v>
      </c>
      <c r="BC16" s="69">
        <v>79</v>
      </c>
      <c r="BD16" s="70">
        <f t="shared" si="1"/>
        <v>78</v>
      </c>
      <c r="BE16" s="69">
        <v>80</v>
      </c>
      <c r="BF16" s="69">
        <v>78</v>
      </c>
      <c r="BG16" s="69">
        <v>78</v>
      </c>
      <c r="BH16" s="69">
        <v>78</v>
      </c>
      <c r="BI16" s="69">
        <f t="shared" si="2"/>
        <v>80</v>
      </c>
      <c r="BJ16" s="69">
        <f t="shared" si="3"/>
        <v>82</v>
      </c>
      <c r="BK16" s="70">
        <f t="shared" si="4"/>
        <v>84</v>
      </c>
      <c r="BL16" s="30">
        <f t="shared" si="35"/>
        <v>60</v>
      </c>
      <c r="BM16" s="31">
        <f t="shared" si="36"/>
        <v>63</v>
      </c>
      <c r="BN16" s="31">
        <f t="shared" si="5"/>
        <v>65</v>
      </c>
      <c r="BO16" s="31">
        <f t="shared" si="6"/>
        <v>66</v>
      </c>
      <c r="BP16" s="31">
        <f t="shared" si="7"/>
        <v>66</v>
      </c>
      <c r="BQ16" s="31">
        <f t="shared" si="8"/>
        <v>65</v>
      </c>
      <c r="BR16" s="32">
        <f t="shared" si="26"/>
        <v>64</v>
      </c>
      <c r="BS16" s="31">
        <f t="shared" si="27"/>
        <v>61</v>
      </c>
      <c r="BT16" s="31">
        <v>60</v>
      </c>
      <c r="BU16" s="31">
        <v>61</v>
      </c>
      <c r="BV16" s="31">
        <f t="shared" si="9"/>
        <v>63</v>
      </c>
      <c r="BW16" s="31">
        <f t="shared" si="10"/>
        <v>67</v>
      </c>
      <c r="BX16" s="31">
        <f t="shared" si="37"/>
        <v>71</v>
      </c>
      <c r="BY16" s="31">
        <f t="shared" si="11"/>
        <v>76</v>
      </c>
      <c r="BZ16" s="37">
        <f t="shared" si="40"/>
        <v>52</v>
      </c>
      <c r="CA16" s="47">
        <f t="shared" si="12"/>
        <v>60</v>
      </c>
      <c r="CB16" s="47">
        <f t="shared" si="13"/>
        <v>63</v>
      </c>
      <c r="CC16" s="47">
        <f t="shared" si="14"/>
        <v>64</v>
      </c>
      <c r="CD16" s="47">
        <f t="shared" si="30"/>
        <v>64</v>
      </c>
      <c r="CE16" s="47">
        <v>61</v>
      </c>
      <c r="CF16" s="133"/>
      <c r="CG16" s="37">
        <f t="shared" si="15"/>
        <v>56</v>
      </c>
      <c r="CH16" s="47">
        <f t="shared" si="16"/>
        <v>60</v>
      </c>
      <c r="CI16" s="47">
        <f t="shared" si="31"/>
        <v>62</v>
      </c>
      <c r="CJ16" s="47">
        <f t="shared" si="17"/>
        <v>62</v>
      </c>
      <c r="CK16" s="47">
        <f t="shared" si="18"/>
        <v>61</v>
      </c>
      <c r="CL16" s="47">
        <f t="shared" si="19"/>
        <v>59</v>
      </c>
      <c r="CM16" s="134"/>
    </row>
    <row r="17" spans="1:91">
      <c r="A17" s="4" t="s">
        <v>88</v>
      </c>
      <c r="B17" s="4" t="s">
        <v>89</v>
      </c>
      <c r="G17" s="84">
        <v>13</v>
      </c>
      <c r="H17" s="30">
        <v>49</v>
      </c>
      <c r="I17" s="31">
        <v>53</v>
      </c>
      <c r="J17" s="31">
        <f t="shared" si="20"/>
        <v>56</v>
      </c>
      <c r="K17" s="31">
        <f t="shared" si="46"/>
        <v>57</v>
      </c>
      <c r="L17" s="31">
        <f t="shared" si="46"/>
        <v>57</v>
      </c>
      <c r="M17" s="31">
        <f t="shared" si="21"/>
        <v>55</v>
      </c>
      <c r="N17" s="32">
        <f t="shared" si="21"/>
        <v>53</v>
      </c>
      <c r="O17" s="31">
        <f t="shared" si="39"/>
        <v>52</v>
      </c>
      <c r="P17" s="31">
        <f t="shared" si="44"/>
        <v>51</v>
      </c>
      <c r="Q17" s="31">
        <f t="shared" si="43"/>
        <v>52</v>
      </c>
      <c r="R17" s="31">
        <f t="shared" si="22"/>
        <v>54</v>
      </c>
      <c r="S17" s="31">
        <f t="shared" si="22"/>
        <v>58</v>
      </c>
      <c r="T17" s="31">
        <f t="shared" si="48"/>
        <v>62</v>
      </c>
      <c r="U17" s="31">
        <f t="shared" si="32"/>
        <v>67</v>
      </c>
      <c r="V17" s="37">
        <v>46</v>
      </c>
      <c r="W17" s="47">
        <f t="shared" si="23"/>
        <v>53</v>
      </c>
      <c r="X17" s="47">
        <f t="shared" si="23"/>
        <v>56</v>
      </c>
      <c r="Y17" s="47">
        <f t="shared" si="24"/>
        <v>57</v>
      </c>
      <c r="Z17" s="47">
        <f t="shared" si="47"/>
        <v>55</v>
      </c>
      <c r="AA17" s="47">
        <f t="shared" si="45"/>
        <v>50</v>
      </c>
      <c r="AB17" s="133"/>
      <c r="AC17" s="37">
        <f t="shared" si="33"/>
        <v>52</v>
      </c>
      <c r="AD17" s="47">
        <f t="shared" si="33"/>
        <v>55</v>
      </c>
      <c r="AE17" s="47">
        <f t="shared" si="33"/>
        <v>56</v>
      </c>
      <c r="AF17" s="47">
        <f t="shared" si="49"/>
        <v>56</v>
      </c>
      <c r="AG17" s="47">
        <f t="shared" si="41"/>
        <v>55</v>
      </c>
      <c r="AH17" s="47">
        <f t="shared" si="34"/>
        <v>52</v>
      </c>
      <c r="AI17" s="134"/>
      <c r="AJ17" s="58">
        <v>66</v>
      </c>
      <c r="AK17" s="53">
        <v>69</v>
      </c>
      <c r="AL17" s="53">
        <v>70</v>
      </c>
      <c r="AM17" s="53">
        <f t="shared" si="42"/>
        <v>71</v>
      </c>
      <c r="AN17" s="53">
        <v>71</v>
      </c>
      <c r="AO17" s="53">
        <v>71</v>
      </c>
      <c r="AP17" s="131">
        <v>69</v>
      </c>
      <c r="AQ17" s="53">
        <v>71</v>
      </c>
      <c r="AR17" s="53">
        <v>69</v>
      </c>
      <c r="AS17" s="53">
        <v>68</v>
      </c>
      <c r="AT17" s="53">
        <v>68</v>
      </c>
      <c r="AU17" s="53">
        <v>69</v>
      </c>
      <c r="AV17" s="53">
        <v>71</v>
      </c>
      <c r="AW17" s="53">
        <v>74</v>
      </c>
      <c r="AX17" s="68">
        <v>80</v>
      </c>
      <c r="AY17" s="69">
        <v>81</v>
      </c>
      <c r="AZ17" s="69">
        <v>81</v>
      </c>
      <c r="BA17" s="69">
        <v>81</v>
      </c>
      <c r="BB17" s="69">
        <f t="shared" si="25"/>
        <v>81</v>
      </c>
      <c r="BC17" s="69">
        <v>81</v>
      </c>
      <c r="BD17" s="70">
        <f t="shared" si="1"/>
        <v>80</v>
      </c>
      <c r="BE17" s="69">
        <v>82</v>
      </c>
      <c r="BF17" s="69">
        <v>81</v>
      </c>
      <c r="BG17" s="69">
        <v>80</v>
      </c>
      <c r="BH17" s="69">
        <v>81</v>
      </c>
      <c r="BI17" s="69">
        <f t="shared" si="2"/>
        <v>82</v>
      </c>
      <c r="BJ17" s="69">
        <f t="shared" si="3"/>
        <v>84</v>
      </c>
      <c r="BK17" s="70">
        <f t="shared" si="4"/>
        <v>86</v>
      </c>
      <c r="BL17" s="30">
        <f t="shared" si="35"/>
        <v>61</v>
      </c>
      <c r="BM17" s="31">
        <f t="shared" si="36"/>
        <v>64</v>
      </c>
      <c r="BN17" s="31">
        <f t="shared" si="5"/>
        <v>66</v>
      </c>
      <c r="BO17" s="31">
        <f t="shared" si="6"/>
        <v>67</v>
      </c>
      <c r="BP17" s="31">
        <f t="shared" si="7"/>
        <v>67</v>
      </c>
      <c r="BQ17" s="31">
        <v>67</v>
      </c>
      <c r="BR17" s="32">
        <f t="shared" si="26"/>
        <v>65</v>
      </c>
      <c r="BS17" s="31">
        <f t="shared" si="27"/>
        <v>62</v>
      </c>
      <c r="BT17" s="31">
        <f t="shared" si="28"/>
        <v>61</v>
      </c>
      <c r="BU17" s="31">
        <f t="shared" si="29"/>
        <v>62</v>
      </c>
      <c r="BV17" s="31">
        <f t="shared" si="9"/>
        <v>64</v>
      </c>
      <c r="BW17" s="31">
        <f t="shared" si="10"/>
        <v>68</v>
      </c>
      <c r="BX17" s="31">
        <f t="shared" si="37"/>
        <v>72</v>
      </c>
      <c r="BY17" s="31">
        <v>76</v>
      </c>
      <c r="BZ17" s="37">
        <v>54</v>
      </c>
      <c r="CA17" s="47">
        <f t="shared" si="12"/>
        <v>61</v>
      </c>
      <c r="CB17" s="47">
        <f t="shared" si="13"/>
        <v>64</v>
      </c>
      <c r="CC17" s="47">
        <f t="shared" si="14"/>
        <v>65</v>
      </c>
      <c r="CD17" s="47">
        <v>64</v>
      </c>
      <c r="CE17" s="47">
        <f t="shared" si="38"/>
        <v>62</v>
      </c>
      <c r="CF17" s="133"/>
      <c r="CG17" s="37">
        <f t="shared" si="15"/>
        <v>57</v>
      </c>
      <c r="CH17" s="47">
        <f t="shared" si="16"/>
        <v>61</v>
      </c>
      <c r="CI17" s="47">
        <f t="shared" si="31"/>
        <v>63</v>
      </c>
      <c r="CJ17" s="47">
        <f t="shared" si="17"/>
        <v>63</v>
      </c>
      <c r="CK17" s="47">
        <f t="shared" si="18"/>
        <v>62</v>
      </c>
      <c r="CL17" s="47">
        <f t="shared" si="19"/>
        <v>60</v>
      </c>
      <c r="CM17" s="134"/>
    </row>
    <row r="18" spans="1:91">
      <c r="A18" s="1" t="s">
        <v>2</v>
      </c>
      <c r="B18" s="1">
        <v>0</v>
      </c>
      <c r="D18" s="135"/>
      <c r="G18" s="84">
        <v>14</v>
      </c>
      <c r="H18" s="30">
        <v>49</v>
      </c>
      <c r="I18" s="31">
        <v>54</v>
      </c>
      <c r="J18" s="31">
        <f t="shared" si="20"/>
        <v>56</v>
      </c>
      <c r="K18" s="31">
        <f t="shared" si="46"/>
        <v>57</v>
      </c>
      <c r="L18" s="31">
        <f t="shared" si="46"/>
        <v>57</v>
      </c>
      <c r="M18" s="31">
        <f t="shared" si="21"/>
        <v>56</v>
      </c>
      <c r="N18" s="32">
        <f t="shared" si="21"/>
        <v>54</v>
      </c>
      <c r="O18" s="31">
        <f t="shared" si="39"/>
        <v>53</v>
      </c>
      <c r="P18" s="31">
        <f t="shared" si="44"/>
        <v>52</v>
      </c>
      <c r="Q18" s="31">
        <f t="shared" si="43"/>
        <v>53</v>
      </c>
      <c r="R18" s="31">
        <f t="shared" si="22"/>
        <v>55</v>
      </c>
      <c r="S18" s="31">
        <f t="shared" si="22"/>
        <v>58</v>
      </c>
      <c r="T18" s="31">
        <f t="shared" si="48"/>
        <v>63</v>
      </c>
      <c r="U18" s="31">
        <f t="shared" si="32"/>
        <v>67</v>
      </c>
      <c r="V18" s="37">
        <v>47</v>
      </c>
      <c r="W18" s="47">
        <f t="shared" si="23"/>
        <v>54</v>
      </c>
      <c r="X18" s="47">
        <f t="shared" si="23"/>
        <v>57</v>
      </c>
      <c r="Y18" s="47">
        <f t="shared" si="24"/>
        <v>57</v>
      </c>
      <c r="Z18" s="47">
        <f t="shared" si="47"/>
        <v>55</v>
      </c>
      <c r="AA18" s="47">
        <f t="shared" si="45"/>
        <v>50</v>
      </c>
      <c r="AB18" s="133"/>
      <c r="AC18" s="37">
        <f t="shared" si="33"/>
        <v>52</v>
      </c>
      <c r="AD18" s="47">
        <v>55</v>
      </c>
      <c r="AE18" s="47">
        <f t="shared" ref="AE18:AG81" si="50">AE16+1</f>
        <v>57</v>
      </c>
      <c r="AF18" s="47">
        <f t="shared" si="49"/>
        <v>57</v>
      </c>
      <c r="AG18" s="47">
        <f t="shared" si="41"/>
        <v>55</v>
      </c>
      <c r="AH18" s="47">
        <f t="shared" si="34"/>
        <v>52</v>
      </c>
      <c r="AI18" s="134"/>
      <c r="AJ18" s="58">
        <v>68</v>
      </c>
      <c r="AK18" s="53">
        <v>70</v>
      </c>
      <c r="AL18" s="53">
        <v>72</v>
      </c>
      <c r="AM18" s="53">
        <f t="shared" si="42"/>
        <v>72</v>
      </c>
      <c r="AN18" s="53">
        <v>73</v>
      </c>
      <c r="AO18" s="53">
        <v>72</v>
      </c>
      <c r="AP18" s="131">
        <v>71</v>
      </c>
      <c r="AQ18" s="53">
        <v>72</v>
      </c>
      <c r="AR18" s="53">
        <v>71</v>
      </c>
      <c r="AS18" s="53">
        <v>70</v>
      </c>
      <c r="AT18" s="53">
        <v>70</v>
      </c>
      <c r="AU18" s="53">
        <v>71</v>
      </c>
      <c r="AV18" s="53">
        <v>73</v>
      </c>
      <c r="AW18" s="53">
        <v>75</v>
      </c>
      <c r="AX18" s="68">
        <f t="shared" si="0"/>
        <v>83</v>
      </c>
      <c r="AY18" s="69">
        <v>83</v>
      </c>
      <c r="AZ18" s="69">
        <v>83</v>
      </c>
      <c r="BA18" s="69">
        <v>83</v>
      </c>
      <c r="BB18" s="69">
        <f t="shared" si="25"/>
        <v>83</v>
      </c>
      <c r="BC18" s="69">
        <v>83</v>
      </c>
      <c r="BD18" s="70">
        <f t="shared" si="1"/>
        <v>82</v>
      </c>
      <c r="BE18" s="69">
        <v>84</v>
      </c>
      <c r="BF18" s="69">
        <v>83</v>
      </c>
      <c r="BG18" s="69">
        <v>83</v>
      </c>
      <c r="BH18" s="69">
        <v>83</v>
      </c>
      <c r="BI18" s="69">
        <f t="shared" si="2"/>
        <v>84</v>
      </c>
      <c r="BJ18" s="69">
        <f t="shared" si="3"/>
        <v>86</v>
      </c>
      <c r="BK18" s="70">
        <f t="shared" si="4"/>
        <v>88</v>
      </c>
      <c r="BL18" s="30">
        <v>63</v>
      </c>
      <c r="BM18" s="31">
        <v>66</v>
      </c>
      <c r="BN18" s="31">
        <f t="shared" si="5"/>
        <v>67</v>
      </c>
      <c r="BO18" s="31">
        <f t="shared" si="6"/>
        <v>68</v>
      </c>
      <c r="BP18" s="31">
        <f t="shared" si="7"/>
        <v>68</v>
      </c>
      <c r="BQ18" s="31">
        <f t="shared" si="8"/>
        <v>68</v>
      </c>
      <c r="BR18" s="32">
        <f t="shared" si="26"/>
        <v>66</v>
      </c>
      <c r="BS18" s="31">
        <f t="shared" si="27"/>
        <v>63</v>
      </c>
      <c r="BT18" s="31">
        <f t="shared" si="28"/>
        <v>62</v>
      </c>
      <c r="BU18" s="31">
        <f t="shared" si="29"/>
        <v>63</v>
      </c>
      <c r="BV18" s="31">
        <f t="shared" si="9"/>
        <v>65</v>
      </c>
      <c r="BW18" s="31">
        <f t="shared" si="10"/>
        <v>69</v>
      </c>
      <c r="BX18" s="31">
        <f t="shared" si="37"/>
        <v>73</v>
      </c>
      <c r="BY18" s="31">
        <f t="shared" si="11"/>
        <v>77</v>
      </c>
      <c r="BZ18" s="37">
        <f t="shared" si="40"/>
        <v>55</v>
      </c>
      <c r="CA18" s="47">
        <f t="shared" si="12"/>
        <v>62</v>
      </c>
      <c r="CB18" s="47">
        <f t="shared" si="13"/>
        <v>65</v>
      </c>
      <c r="CC18" s="47">
        <f t="shared" si="14"/>
        <v>66</v>
      </c>
      <c r="CD18" s="47">
        <f t="shared" si="30"/>
        <v>65</v>
      </c>
      <c r="CE18" s="47">
        <f t="shared" si="38"/>
        <v>63</v>
      </c>
      <c r="CF18" s="133"/>
      <c r="CG18" s="37">
        <f t="shared" si="15"/>
        <v>58</v>
      </c>
      <c r="CH18" s="47">
        <f t="shared" si="16"/>
        <v>62</v>
      </c>
      <c r="CI18" s="47">
        <v>63</v>
      </c>
      <c r="CJ18" s="47">
        <f t="shared" si="17"/>
        <v>64</v>
      </c>
      <c r="CK18" s="47">
        <f t="shared" si="18"/>
        <v>63</v>
      </c>
      <c r="CL18" s="47">
        <f t="shared" si="19"/>
        <v>61</v>
      </c>
      <c r="CM18" s="134"/>
    </row>
    <row r="19" spans="1:91">
      <c r="A19" s="1" t="s">
        <v>77</v>
      </c>
      <c r="B19" s="1">
        <v>1</v>
      </c>
      <c r="D19" s="135"/>
      <c r="G19" s="84">
        <v>15</v>
      </c>
      <c r="H19" s="30">
        <v>50</v>
      </c>
      <c r="I19" s="31">
        <v>54</v>
      </c>
      <c r="J19" s="31">
        <f t="shared" si="20"/>
        <v>57</v>
      </c>
      <c r="K19" s="31">
        <f t="shared" si="46"/>
        <v>58</v>
      </c>
      <c r="L19" s="31">
        <f t="shared" si="46"/>
        <v>58</v>
      </c>
      <c r="M19" s="31">
        <f t="shared" si="21"/>
        <v>56</v>
      </c>
      <c r="N19" s="32">
        <f t="shared" si="21"/>
        <v>54</v>
      </c>
      <c r="O19" s="31">
        <v>54</v>
      </c>
      <c r="P19" s="31">
        <f t="shared" si="44"/>
        <v>52</v>
      </c>
      <c r="Q19" s="31">
        <f t="shared" si="43"/>
        <v>53</v>
      </c>
      <c r="R19" s="31">
        <f t="shared" si="22"/>
        <v>55</v>
      </c>
      <c r="S19" s="31">
        <f t="shared" si="22"/>
        <v>59</v>
      </c>
      <c r="T19" s="31">
        <f t="shared" si="48"/>
        <v>63</v>
      </c>
      <c r="U19" s="31">
        <f t="shared" si="32"/>
        <v>68</v>
      </c>
      <c r="V19" s="37">
        <v>47</v>
      </c>
      <c r="W19" s="47">
        <f t="shared" si="23"/>
        <v>54</v>
      </c>
      <c r="X19" s="47">
        <f t="shared" si="23"/>
        <v>57</v>
      </c>
      <c r="Y19" s="47">
        <f t="shared" si="24"/>
        <v>58</v>
      </c>
      <c r="Z19" s="47">
        <f t="shared" si="47"/>
        <v>56</v>
      </c>
      <c r="AA19" s="47">
        <f t="shared" si="45"/>
        <v>51</v>
      </c>
      <c r="AB19" s="133"/>
      <c r="AC19" s="37">
        <f t="shared" si="33"/>
        <v>53</v>
      </c>
      <c r="AD19" s="47">
        <f t="shared" si="33"/>
        <v>56</v>
      </c>
      <c r="AE19" s="47">
        <f t="shared" si="50"/>
        <v>57</v>
      </c>
      <c r="AF19" s="47">
        <f t="shared" si="49"/>
        <v>57</v>
      </c>
      <c r="AG19" s="47">
        <f t="shared" si="41"/>
        <v>56</v>
      </c>
      <c r="AH19" s="47">
        <f t="shared" si="34"/>
        <v>53</v>
      </c>
      <c r="AI19" s="134"/>
      <c r="AJ19" s="58">
        <v>69</v>
      </c>
      <c r="AK19" s="53">
        <v>72</v>
      </c>
      <c r="AL19" s="53">
        <v>73</v>
      </c>
      <c r="AM19" s="53">
        <f t="shared" si="42"/>
        <v>74</v>
      </c>
      <c r="AN19" s="53">
        <v>74</v>
      </c>
      <c r="AO19" s="53">
        <v>74</v>
      </c>
      <c r="AP19" s="131">
        <v>73</v>
      </c>
      <c r="AQ19" s="53">
        <v>74</v>
      </c>
      <c r="AR19" s="53">
        <v>72</v>
      </c>
      <c r="AS19" s="53">
        <v>71</v>
      </c>
      <c r="AT19" s="53">
        <v>71</v>
      </c>
      <c r="AU19" s="53">
        <v>72</v>
      </c>
      <c r="AV19" s="53">
        <v>74</v>
      </c>
      <c r="AW19" s="53">
        <v>77</v>
      </c>
      <c r="AX19" s="68">
        <v>85</v>
      </c>
      <c r="AY19" s="69">
        <v>86</v>
      </c>
      <c r="AZ19" s="69">
        <v>86</v>
      </c>
      <c r="BA19" s="69">
        <v>86</v>
      </c>
      <c r="BB19" s="69">
        <v>86</v>
      </c>
      <c r="BC19" s="69">
        <v>85</v>
      </c>
      <c r="BD19" s="70">
        <v>85</v>
      </c>
      <c r="BE19" s="69">
        <v>86</v>
      </c>
      <c r="BF19" s="69">
        <v>85</v>
      </c>
      <c r="BG19" s="69">
        <v>85</v>
      </c>
      <c r="BH19" s="69">
        <v>85</v>
      </c>
      <c r="BI19" s="69">
        <f t="shared" si="2"/>
        <v>86</v>
      </c>
      <c r="BJ19" s="69">
        <f t="shared" si="3"/>
        <v>88</v>
      </c>
      <c r="BK19" s="70">
        <v>89</v>
      </c>
      <c r="BL19" s="30">
        <f t="shared" si="35"/>
        <v>64</v>
      </c>
      <c r="BM19" s="31">
        <f t="shared" si="36"/>
        <v>67</v>
      </c>
      <c r="BN19" s="31">
        <f t="shared" si="5"/>
        <v>68</v>
      </c>
      <c r="BO19" s="31">
        <f t="shared" si="6"/>
        <v>69</v>
      </c>
      <c r="BP19" s="31">
        <f t="shared" si="7"/>
        <v>69</v>
      </c>
      <c r="BQ19" s="31">
        <f t="shared" si="8"/>
        <v>69</v>
      </c>
      <c r="BR19" s="32">
        <v>68</v>
      </c>
      <c r="BS19" s="31">
        <v>65</v>
      </c>
      <c r="BT19" s="31">
        <f t="shared" si="28"/>
        <v>63</v>
      </c>
      <c r="BU19" s="31">
        <f t="shared" si="29"/>
        <v>64</v>
      </c>
      <c r="BV19" s="31">
        <f t="shared" si="9"/>
        <v>66</v>
      </c>
      <c r="BW19" s="31">
        <f t="shared" si="10"/>
        <v>70</v>
      </c>
      <c r="BX19" s="31">
        <f t="shared" si="37"/>
        <v>74</v>
      </c>
      <c r="BY19" s="31">
        <f t="shared" si="11"/>
        <v>78</v>
      </c>
      <c r="BZ19" s="37">
        <f t="shared" si="40"/>
        <v>56</v>
      </c>
      <c r="CA19" s="47">
        <f t="shared" si="12"/>
        <v>63</v>
      </c>
      <c r="CB19" s="47">
        <f t="shared" si="13"/>
        <v>66</v>
      </c>
      <c r="CC19" s="47">
        <f t="shared" si="14"/>
        <v>67</v>
      </c>
      <c r="CD19" s="47">
        <f t="shared" si="30"/>
        <v>66</v>
      </c>
      <c r="CE19" s="47">
        <f t="shared" si="38"/>
        <v>64</v>
      </c>
      <c r="CF19" s="133"/>
      <c r="CG19" s="37">
        <f t="shared" si="15"/>
        <v>59</v>
      </c>
      <c r="CH19" s="47">
        <f t="shared" si="16"/>
        <v>63</v>
      </c>
      <c r="CI19" s="47">
        <f t="shared" si="31"/>
        <v>64</v>
      </c>
      <c r="CJ19" s="47">
        <f t="shared" si="17"/>
        <v>65</v>
      </c>
      <c r="CK19" s="47">
        <f t="shared" si="18"/>
        <v>64</v>
      </c>
      <c r="CL19" s="47">
        <f t="shared" si="19"/>
        <v>62</v>
      </c>
      <c r="CM19" s="134"/>
    </row>
    <row r="20" spans="1:91">
      <c r="A20" s="1" t="s">
        <v>78</v>
      </c>
      <c r="B20" s="1">
        <v>2</v>
      </c>
      <c r="D20" s="135"/>
      <c r="G20" s="84">
        <v>16</v>
      </c>
      <c r="H20" s="30">
        <v>51</v>
      </c>
      <c r="I20" s="31">
        <v>55</v>
      </c>
      <c r="J20" s="31">
        <f t="shared" si="20"/>
        <v>57</v>
      </c>
      <c r="K20" s="31">
        <f t="shared" si="46"/>
        <v>58</v>
      </c>
      <c r="L20" s="31">
        <f t="shared" si="46"/>
        <v>58</v>
      </c>
      <c r="M20" s="31">
        <f t="shared" si="21"/>
        <v>57</v>
      </c>
      <c r="N20" s="32">
        <f t="shared" si="21"/>
        <v>55</v>
      </c>
      <c r="O20" s="31">
        <f t="shared" si="39"/>
        <v>54</v>
      </c>
      <c r="P20" s="31">
        <f t="shared" si="44"/>
        <v>53</v>
      </c>
      <c r="Q20" s="31">
        <f t="shared" si="43"/>
        <v>54</v>
      </c>
      <c r="R20" s="31">
        <f t="shared" si="22"/>
        <v>56</v>
      </c>
      <c r="S20" s="31">
        <f t="shared" si="22"/>
        <v>59</v>
      </c>
      <c r="T20" s="31">
        <v>63</v>
      </c>
      <c r="U20" s="31">
        <f t="shared" si="32"/>
        <v>68</v>
      </c>
      <c r="V20" s="37">
        <v>48</v>
      </c>
      <c r="W20" s="47">
        <f t="shared" si="23"/>
        <v>55</v>
      </c>
      <c r="X20" s="47">
        <f t="shared" si="23"/>
        <v>58</v>
      </c>
      <c r="Y20" s="47">
        <f t="shared" si="24"/>
        <v>58</v>
      </c>
      <c r="Z20" s="47">
        <f t="shared" si="47"/>
        <v>56</v>
      </c>
      <c r="AA20" s="47">
        <f t="shared" si="45"/>
        <v>51</v>
      </c>
      <c r="AB20" s="133"/>
      <c r="AC20" s="37">
        <f t="shared" si="33"/>
        <v>53</v>
      </c>
      <c r="AD20" s="47">
        <f t="shared" si="33"/>
        <v>56</v>
      </c>
      <c r="AE20" s="47">
        <f t="shared" si="50"/>
        <v>58</v>
      </c>
      <c r="AF20" s="47">
        <f t="shared" si="49"/>
        <v>58</v>
      </c>
      <c r="AG20" s="47">
        <f t="shared" si="41"/>
        <v>56</v>
      </c>
      <c r="AH20" s="47">
        <f t="shared" si="34"/>
        <v>53</v>
      </c>
      <c r="AI20" s="134"/>
      <c r="AJ20" s="58">
        <v>71</v>
      </c>
      <c r="AK20" s="53">
        <v>74</v>
      </c>
      <c r="AL20" s="53">
        <v>75</v>
      </c>
      <c r="AM20" s="53">
        <f t="shared" si="42"/>
        <v>75</v>
      </c>
      <c r="AN20" s="53">
        <v>75</v>
      </c>
      <c r="AO20" s="53">
        <v>75</v>
      </c>
      <c r="AP20" s="131">
        <v>74</v>
      </c>
      <c r="AQ20" s="53">
        <v>75</v>
      </c>
      <c r="AR20" s="53">
        <v>74</v>
      </c>
      <c r="AS20" s="53">
        <v>73</v>
      </c>
      <c r="AT20" s="53">
        <v>73</v>
      </c>
      <c r="AU20" s="53">
        <v>74</v>
      </c>
      <c r="AV20" s="53">
        <v>75</v>
      </c>
      <c r="AW20" s="53">
        <v>78</v>
      </c>
      <c r="AX20" s="68">
        <f t="shared" si="0"/>
        <v>88</v>
      </c>
      <c r="AY20" s="69">
        <v>88</v>
      </c>
      <c r="AZ20" s="69">
        <v>88</v>
      </c>
      <c r="BA20" s="69">
        <v>88</v>
      </c>
      <c r="BB20" s="69">
        <f t="shared" si="25"/>
        <v>88</v>
      </c>
      <c r="BC20" s="69">
        <v>87</v>
      </c>
      <c r="BD20" s="70">
        <f t="shared" si="1"/>
        <v>87</v>
      </c>
      <c r="BE20" s="69">
        <v>88</v>
      </c>
      <c r="BF20" s="69">
        <v>87</v>
      </c>
      <c r="BG20" s="69">
        <v>87</v>
      </c>
      <c r="BH20" s="69">
        <v>87</v>
      </c>
      <c r="BI20" s="69">
        <f t="shared" si="2"/>
        <v>88</v>
      </c>
      <c r="BJ20" s="69">
        <f t="shared" si="3"/>
        <v>90</v>
      </c>
      <c r="BK20" s="70">
        <f t="shared" si="4"/>
        <v>91</v>
      </c>
      <c r="BL20" s="30">
        <v>66</v>
      </c>
      <c r="BM20" s="31">
        <f t="shared" si="36"/>
        <v>68</v>
      </c>
      <c r="BN20" s="31">
        <f t="shared" si="5"/>
        <v>69</v>
      </c>
      <c r="BO20" s="31">
        <f t="shared" si="6"/>
        <v>70</v>
      </c>
      <c r="BP20" s="31">
        <f t="shared" si="7"/>
        <v>70</v>
      </c>
      <c r="BQ20" s="31">
        <f t="shared" si="8"/>
        <v>70</v>
      </c>
      <c r="BR20" s="32">
        <f t="shared" si="26"/>
        <v>69</v>
      </c>
      <c r="BS20" s="31">
        <f t="shared" si="27"/>
        <v>66</v>
      </c>
      <c r="BT20" s="31">
        <v>65</v>
      </c>
      <c r="BU20" s="31">
        <f t="shared" si="29"/>
        <v>65</v>
      </c>
      <c r="BV20" s="31">
        <v>68</v>
      </c>
      <c r="BW20" s="31">
        <f t="shared" si="10"/>
        <v>71</v>
      </c>
      <c r="BX20" s="31">
        <f t="shared" si="37"/>
        <v>75</v>
      </c>
      <c r="BY20" s="31">
        <f t="shared" si="11"/>
        <v>79</v>
      </c>
      <c r="BZ20" s="37">
        <f t="shared" si="40"/>
        <v>57</v>
      </c>
      <c r="CA20" s="47">
        <f t="shared" si="12"/>
        <v>64</v>
      </c>
      <c r="CB20" s="47">
        <v>66</v>
      </c>
      <c r="CC20" s="47">
        <v>67</v>
      </c>
      <c r="CD20" s="47">
        <f t="shared" si="30"/>
        <v>67</v>
      </c>
      <c r="CE20" s="47">
        <f t="shared" si="38"/>
        <v>65</v>
      </c>
      <c r="CF20" s="133"/>
      <c r="CG20" s="37">
        <f t="shared" si="15"/>
        <v>60</v>
      </c>
      <c r="CH20" s="47">
        <f t="shared" si="16"/>
        <v>64</v>
      </c>
      <c r="CI20" s="47">
        <f t="shared" si="31"/>
        <v>65</v>
      </c>
      <c r="CJ20" s="47">
        <v>65</v>
      </c>
      <c r="CK20" s="47">
        <f t="shared" si="18"/>
        <v>65</v>
      </c>
      <c r="CL20" s="47">
        <f t="shared" si="19"/>
        <v>63</v>
      </c>
      <c r="CM20" s="134"/>
    </row>
    <row r="21" spans="1:91">
      <c r="A21" s="1" t="s">
        <v>79</v>
      </c>
      <c r="B21" s="1">
        <v>3</v>
      </c>
      <c r="D21" s="135"/>
      <c r="G21" s="84">
        <v>17</v>
      </c>
      <c r="H21" s="30">
        <v>51</v>
      </c>
      <c r="I21" s="31">
        <v>55</v>
      </c>
      <c r="J21" s="31">
        <f t="shared" si="20"/>
        <v>58</v>
      </c>
      <c r="K21" s="31">
        <f t="shared" si="46"/>
        <v>59</v>
      </c>
      <c r="L21" s="31">
        <f t="shared" si="46"/>
        <v>59</v>
      </c>
      <c r="M21" s="31">
        <f t="shared" si="21"/>
        <v>57</v>
      </c>
      <c r="N21" s="32">
        <f t="shared" si="21"/>
        <v>55</v>
      </c>
      <c r="O21" s="31">
        <f t="shared" si="39"/>
        <v>55</v>
      </c>
      <c r="P21" s="31">
        <v>54</v>
      </c>
      <c r="Q21" s="31">
        <f t="shared" si="43"/>
        <v>54</v>
      </c>
      <c r="R21" s="31">
        <f t="shared" si="22"/>
        <v>56</v>
      </c>
      <c r="S21" s="31">
        <f t="shared" si="22"/>
        <v>60</v>
      </c>
      <c r="T21" s="31">
        <f t="shared" si="48"/>
        <v>64</v>
      </c>
      <c r="U21" s="31">
        <v>68</v>
      </c>
      <c r="V21" s="37">
        <v>49</v>
      </c>
      <c r="W21" s="47">
        <f t="shared" si="23"/>
        <v>55</v>
      </c>
      <c r="X21" s="47">
        <f t="shared" si="23"/>
        <v>58</v>
      </c>
      <c r="Y21" s="47">
        <f t="shared" si="24"/>
        <v>59</v>
      </c>
      <c r="Z21" s="47">
        <f t="shared" si="47"/>
        <v>57</v>
      </c>
      <c r="AA21" s="47">
        <f t="shared" si="45"/>
        <v>52</v>
      </c>
      <c r="AB21" s="133"/>
      <c r="AC21" s="37">
        <f t="shared" si="33"/>
        <v>54</v>
      </c>
      <c r="AD21" s="47">
        <f t="shared" si="33"/>
        <v>57</v>
      </c>
      <c r="AE21" s="47">
        <f t="shared" si="50"/>
        <v>58</v>
      </c>
      <c r="AF21" s="47">
        <f t="shared" si="49"/>
        <v>58</v>
      </c>
      <c r="AG21" s="47">
        <f t="shared" si="41"/>
        <v>57</v>
      </c>
      <c r="AH21" s="47">
        <f t="shared" si="34"/>
        <v>54</v>
      </c>
      <c r="AI21" s="134"/>
      <c r="AJ21" s="58">
        <v>73</v>
      </c>
      <c r="AK21" s="53">
        <v>75</v>
      </c>
      <c r="AL21" s="53">
        <v>76</v>
      </c>
      <c r="AM21" s="53">
        <f t="shared" si="42"/>
        <v>77</v>
      </c>
      <c r="AN21" s="53">
        <v>77</v>
      </c>
      <c r="AO21" s="53">
        <v>77</v>
      </c>
      <c r="AP21" s="131">
        <v>76</v>
      </c>
      <c r="AQ21" s="53">
        <v>77</v>
      </c>
      <c r="AR21" s="53">
        <v>75</v>
      </c>
      <c r="AS21" s="53">
        <v>74</v>
      </c>
      <c r="AT21" s="53">
        <v>74</v>
      </c>
      <c r="AU21" s="53">
        <v>75</v>
      </c>
      <c r="AV21" s="53">
        <v>77</v>
      </c>
      <c r="AW21" s="53">
        <v>79</v>
      </c>
      <c r="AX21" s="68">
        <v>90</v>
      </c>
      <c r="AY21" s="69">
        <v>90</v>
      </c>
      <c r="AZ21" s="69">
        <v>90</v>
      </c>
      <c r="BA21" s="69">
        <v>90</v>
      </c>
      <c r="BB21" s="69">
        <f t="shared" si="25"/>
        <v>90</v>
      </c>
      <c r="BC21" s="69">
        <v>90</v>
      </c>
      <c r="BD21" s="70">
        <f t="shared" si="1"/>
        <v>89</v>
      </c>
      <c r="BE21" s="69">
        <v>90</v>
      </c>
      <c r="BF21" s="69">
        <v>89</v>
      </c>
      <c r="BG21" s="69">
        <v>89</v>
      </c>
      <c r="BH21" s="69">
        <v>90</v>
      </c>
      <c r="BI21" s="69">
        <f t="shared" si="2"/>
        <v>90</v>
      </c>
      <c r="BJ21" s="69">
        <f t="shared" si="3"/>
        <v>92</v>
      </c>
      <c r="BK21" s="70">
        <f t="shared" si="4"/>
        <v>93</v>
      </c>
      <c r="BL21" s="30">
        <f t="shared" si="35"/>
        <v>67</v>
      </c>
      <c r="BM21" s="31">
        <f t="shared" si="36"/>
        <v>69</v>
      </c>
      <c r="BN21" s="31">
        <f t="shared" si="5"/>
        <v>70</v>
      </c>
      <c r="BO21" s="31">
        <f t="shared" si="6"/>
        <v>71</v>
      </c>
      <c r="BP21" s="31">
        <f t="shared" si="7"/>
        <v>71</v>
      </c>
      <c r="BQ21" s="31">
        <f t="shared" si="8"/>
        <v>71</v>
      </c>
      <c r="BR21" s="32">
        <f t="shared" si="26"/>
        <v>70</v>
      </c>
      <c r="BS21" s="31">
        <f t="shared" si="27"/>
        <v>67</v>
      </c>
      <c r="BT21" s="31">
        <f t="shared" si="28"/>
        <v>66</v>
      </c>
      <c r="BU21" s="31">
        <v>67</v>
      </c>
      <c r="BV21" s="31">
        <f t="shared" si="9"/>
        <v>69</v>
      </c>
      <c r="BW21" s="31">
        <f t="shared" si="10"/>
        <v>72</v>
      </c>
      <c r="BX21" s="31">
        <f t="shared" si="37"/>
        <v>76</v>
      </c>
      <c r="BY21" s="31">
        <v>79</v>
      </c>
      <c r="BZ21" s="37">
        <v>59</v>
      </c>
      <c r="CA21" s="47">
        <f t="shared" si="12"/>
        <v>65</v>
      </c>
      <c r="CB21" s="47">
        <f t="shared" si="13"/>
        <v>67</v>
      </c>
      <c r="CC21" s="47">
        <f t="shared" si="14"/>
        <v>68</v>
      </c>
      <c r="CD21" s="47">
        <f t="shared" si="30"/>
        <v>68</v>
      </c>
      <c r="CE21" s="47">
        <f t="shared" si="38"/>
        <v>66</v>
      </c>
      <c r="CF21" s="133"/>
      <c r="CG21" s="37">
        <f t="shared" si="15"/>
        <v>61</v>
      </c>
      <c r="CH21" s="47">
        <v>64</v>
      </c>
      <c r="CI21" s="47">
        <f t="shared" si="31"/>
        <v>66</v>
      </c>
      <c r="CJ21" s="47">
        <f t="shared" si="17"/>
        <v>66</v>
      </c>
      <c r="CK21" s="47">
        <f t="shared" si="18"/>
        <v>66</v>
      </c>
      <c r="CL21" s="47">
        <f t="shared" si="19"/>
        <v>64</v>
      </c>
      <c r="CM21" s="134"/>
    </row>
    <row r="22" spans="1:91">
      <c r="A22" s="1" t="s">
        <v>80</v>
      </c>
      <c r="B22" s="1">
        <v>4</v>
      </c>
      <c r="D22" s="135"/>
      <c r="G22" s="84">
        <v>18</v>
      </c>
      <c r="H22" s="30">
        <v>52</v>
      </c>
      <c r="I22" s="31">
        <v>56</v>
      </c>
      <c r="J22" s="31">
        <f t="shared" si="20"/>
        <v>58</v>
      </c>
      <c r="K22" s="31">
        <f t="shared" si="46"/>
        <v>59</v>
      </c>
      <c r="L22" s="31">
        <f t="shared" si="46"/>
        <v>59</v>
      </c>
      <c r="M22" s="31">
        <f t="shared" si="21"/>
        <v>58</v>
      </c>
      <c r="N22" s="32">
        <f t="shared" si="21"/>
        <v>56</v>
      </c>
      <c r="O22" s="31">
        <f t="shared" si="39"/>
        <v>55</v>
      </c>
      <c r="P22" s="31">
        <f t="shared" si="44"/>
        <v>54</v>
      </c>
      <c r="Q22" s="31">
        <f t="shared" si="43"/>
        <v>55</v>
      </c>
      <c r="R22" s="31">
        <f t="shared" si="22"/>
        <v>57</v>
      </c>
      <c r="S22" s="31">
        <f t="shared" si="22"/>
        <v>60</v>
      </c>
      <c r="T22" s="31">
        <f t="shared" si="48"/>
        <v>64</v>
      </c>
      <c r="U22" s="31">
        <f t="shared" si="32"/>
        <v>69</v>
      </c>
      <c r="V22" s="37">
        <v>49</v>
      </c>
      <c r="W22" s="47">
        <f t="shared" si="23"/>
        <v>56</v>
      </c>
      <c r="X22" s="47">
        <f t="shared" si="23"/>
        <v>59</v>
      </c>
      <c r="Y22" s="47">
        <f t="shared" si="24"/>
        <v>59</v>
      </c>
      <c r="Z22" s="47">
        <f t="shared" si="47"/>
        <v>57</v>
      </c>
      <c r="AA22" s="47">
        <f t="shared" si="45"/>
        <v>52</v>
      </c>
      <c r="AB22" s="133"/>
      <c r="AC22" s="37">
        <f t="shared" si="33"/>
        <v>54</v>
      </c>
      <c r="AD22" s="47">
        <f t="shared" si="33"/>
        <v>57</v>
      </c>
      <c r="AE22" s="47">
        <f t="shared" si="50"/>
        <v>59</v>
      </c>
      <c r="AF22" s="47">
        <v>58</v>
      </c>
      <c r="AG22" s="47">
        <f t="shared" si="41"/>
        <v>57</v>
      </c>
      <c r="AH22" s="47">
        <f t="shared" si="34"/>
        <v>54</v>
      </c>
      <c r="AI22" s="134"/>
      <c r="AJ22" s="58">
        <v>75</v>
      </c>
      <c r="AK22" s="53">
        <v>77</v>
      </c>
      <c r="AL22" s="53">
        <v>78</v>
      </c>
      <c r="AM22" s="53">
        <f t="shared" si="42"/>
        <v>78</v>
      </c>
      <c r="AN22" s="53">
        <v>78</v>
      </c>
      <c r="AO22" s="53">
        <v>78</v>
      </c>
      <c r="AP22" s="131">
        <v>77</v>
      </c>
      <c r="AQ22" s="53">
        <v>78</v>
      </c>
      <c r="AR22" s="53">
        <v>77</v>
      </c>
      <c r="AS22" s="53">
        <v>76</v>
      </c>
      <c r="AT22" s="53">
        <v>76</v>
      </c>
      <c r="AU22" s="53">
        <v>77</v>
      </c>
      <c r="AV22" s="53">
        <v>78</v>
      </c>
      <c r="AW22" s="53">
        <v>81</v>
      </c>
      <c r="AX22" s="68">
        <f t="shared" si="0"/>
        <v>93</v>
      </c>
      <c r="AY22" s="69">
        <v>93</v>
      </c>
      <c r="AZ22" s="69">
        <v>93</v>
      </c>
      <c r="BA22" s="69">
        <v>93</v>
      </c>
      <c r="BB22" s="69">
        <f t="shared" si="25"/>
        <v>92</v>
      </c>
      <c r="BC22" s="69">
        <v>92</v>
      </c>
      <c r="BD22" s="70">
        <f t="shared" si="1"/>
        <v>91</v>
      </c>
      <c r="BE22" s="69">
        <v>92</v>
      </c>
      <c r="BF22" s="69">
        <v>92</v>
      </c>
      <c r="BG22" s="69">
        <v>92</v>
      </c>
      <c r="BH22" s="69">
        <v>92</v>
      </c>
      <c r="BI22" s="69">
        <v>93</v>
      </c>
      <c r="BJ22" s="69">
        <f t="shared" si="3"/>
        <v>94</v>
      </c>
      <c r="BK22" s="70">
        <f t="shared" si="4"/>
        <v>95</v>
      </c>
      <c r="BL22" s="30">
        <f t="shared" si="35"/>
        <v>68</v>
      </c>
      <c r="BM22" s="31">
        <f t="shared" si="36"/>
        <v>70</v>
      </c>
      <c r="BN22" s="31">
        <f t="shared" si="5"/>
        <v>71</v>
      </c>
      <c r="BO22" s="31">
        <f t="shared" si="6"/>
        <v>72</v>
      </c>
      <c r="BP22" s="31">
        <f t="shared" si="7"/>
        <v>72</v>
      </c>
      <c r="BQ22" s="31">
        <f t="shared" si="8"/>
        <v>72</v>
      </c>
      <c r="BR22" s="32">
        <f t="shared" si="26"/>
        <v>71</v>
      </c>
      <c r="BS22" s="31">
        <v>69</v>
      </c>
      <c r="BT22" s="31">
        <f t="shared" si="28"/>
        <v>67</v>
      </c>
      <c r="BU22" s="31">
        <f t="shared" si="29"/>
        <v>68</v>
      </c>
      <c r="BV22" s="31">
        <f t="shared" si="9"/>
        <v>70</v>
      </c>
      <c r="BW22" s="31">
        <f t="shared" si="10"/>
        <v>73</v>
      </c>
      <c r="BX22" s="31">
        <v>76</v>
      </c>
      <c r="BY22" s="31">
        <f t="shared" si="11"/>
        <v>80</v>
      </c>
      <c r="BZ22" s="37">
        <f t="shared" si="40"/>
        <v>60</v>
      </c>
      <c r="CA22" s="47">
        <f t="shared" si="12"/>
        <v>66</v>
      </c>
      <c r="CB22" s="47">
        <f t="shared" si="13"/>
        <v>68</v>
      </c>
      <c r="CC22" s="47">
        <f t="shared" si="14"/>
        <v>69</v>
      </c>
      <c r="CD22" s="47">
        <f t="shared" si="30"/>
        <v>69</v>
      </c>
      <c r="CE22" s="47">
        <f t="shared" si="38"/>
        <v>67</v>
      </c>
      <c r="CF22" s="133"/>
      <c r="CG22" s="37">
        <f t="shared" si="15"/>
        <v>62</v>
      </c>
      <c r="CH22" s="47">
        <f t="shared" si="16"/>
        <v>65</v>
      </c>
      <c r="CI22" s="47">
        <f t="shared" si="31"/>
        <v>67</v>
      </c>
      <c r="CJ22" s="47">
        <f t="shared" si="17"/>
        <v>67</v>
      </c>
      <c r="CK22" s="47">
        <v>66</v>
      </c>
      <c r="CL22" s="47">
        <f t="shared" si="19"/>
        <v>65</v>
      </c>
      <c r="CM22" s="134"/>
    </row>
    <row r="23" spans="1:91">
      <c r="A23" s="1" t="s">
        <v>81</v>
      </c>
      <c r="B23" s="1">
        <v>5</v>
      </c>
      <c r="G23" s="84">
        <v>19</v>
      </c>
      <c r="H23" s="30">
        <v>53</v>
      </c>
      <c r="I23" s="31">
        <v>57</v>
      </c>
      <c r="J23" s="31">
        <f t="shared" si="20"/>
        <v>59</v>
      </c>
      <c r="K23" s="31">
        <f t="shared" si="46"/>
        <v>60</v>
      </c>
      <c r="L23" s="31">
        <f t="shared" si="46"/>
        <v>60</v>
      </c>
      <c r="M23" s="31">
        <f t="shared" si="21"/>
        <v>58</v>
      </c>
      <c r="N23" s="32">
        <f t="shared" si="21"/>
        <v>56</v>
      </c>
      <c r="O23" s="31">
        <f t="shared" si="39"/>
        <v>56</v>
      </c>
      <c r="P23" s="31">
        <f t="shared" si="44"/>
        <v>55</v>
      </c>
      <c r="Q23" s="31">
        <f t="shared" si="43"/>
        <v>55</v>
      </c>
      <c r="R23" s="31">
        <f t="shared" si="22"/>
        <v>57</v>
      </c>
      <c r="S23" s="31">
        <f t="shared" si="22"/>
        <v>61</v>
      </c>
      <c r="T23" s="31">
        <f t="shared" si="48"/>
        <v>65</v>
      </c>
      <c r="U23" s="31">
        <f t="shared" si="32"/>
        <v>69</v>
      </c>
      <c r="V23" s="37">
        <v>50</v>
      </c>
      <c r="W23" s="47">
        <f t="shared" si="23"/>
        <v>56</v>
      </c>
      <c r="X23" s="47">
        <f t="shared" si="23"/>
        <v>59</v>
      </c>
      <c r="Y23" s="47">
        <v>59</v>
      </c>
      <c r="Z23" s="47">
        <f t="shared" si="47"/>
        <v>58</v>
      </c>
      <c r="AA23" s="47">
        <f t="shared" si="45"/>
        <v>53</v>
      </c>
      <c r="AB23" s="133"/>
      <c r="AC23" s="37">
        <f t="shared" si="33"/>
        <v>55</v>
      </c>
      <c r="AD23" s="47">
        <f t="shared" si="33"/>
        <v>58</v>
      </c>
      <c r="AE23" s="47">
        <f t="shared" si="50"/>
        <v>59</v>
      </c>
      <c r="AF23" s="47">
        <f t="shared" si="49"/>
        <v>59</v>
      </c>
      <c r="AG23" s="47">
        <f t="shared" si="41"/>
        <v>58</v>
      </c>
      <c r="AH23" s="47">
        <f t="shared" si="34"/>
        <v>55</v>
      </c>
      <c r="AI23" s="134"/>
      <c r="AJ23" s="58">
        <v>77</v>
      </c>
      <c r="AK23" s="53">
        <v>79</v>
      </c>
      <c r="AL23" s="53">
        <v>79</v>
      </c>
      <c r="AM23" s="53">
        <f t="shared" si="42"/>
        <v>80</v>
      </c>
      <c r="AN23" s="53">
        <v>80</v>
      </c>
      <c r="AO23" s="53">
        <v>80</v>
      </c>
      <c r="AP23" s="131">
        <v>79</v>
      </c>
      <c r="AQ23" s="53">
        <v>80</v>
      </c>
      <c r="AR23" s="53">
        <v>78</v>
      </c>
      <c r="AS23" s="53">
        <v>77</v>
      </c>
      <c r="AT23" s="53">
        <v>77</v>
      </c>
      <c r="AU23" s="53">
        <v>78</v>
      </c>
      <c r="AV23" s="53">
        <v>80</v>
      </c>
      <c r="AW23" s="53">
        <v>82</v>
      </c>
      <c r="AX23" s="68">
        <v>95</v>
      </c>
      <c r="AY23" s="69">
        <v>95</v>
      </c>
      <c r="AZ23" s="69">
        <v>95</v>
      </c>
      <c r="BA23" s="69">
        <v>95</v>
      </c>
      <c r="BB23" s="69">
        <f t="shared" si="25"/>
        <v>94</v>
      </c>
      <c r="BC23" s="69">
        <v>94</v>
      </c>
      <c r="BD23" s="70">
        <f t="shared" si="1"/>
        <v>93</v>
      </c>
      <c r="BE23" s="69">
        <v>95</v>
      </c>
      <c r="BF23" s="69">
        <v>94</v>
      </c>
      <c r="BG23" s="69">
        <v>94</v>
      </c>
      <c r="BH23" s="69">
        <v>94</v>
      </c>
      <c r="BI23" s="69">
        <f t="shared" si="2"/>
        <v>95</v>
      </c>
      <c r="BJ23" s="69">
        <f t="shared" si="3"/>
        <v>96</v>
      </c>
      <c r="BK23" s="70">
        <f t="shared" si="4"/>
        <v>97</v>
      </c>
      <c r="BL23" s="30">
        <v>70</v>
      </c>
      <c r="BM23" s="31">
        <v>72</v>
      </c>
      <c r="BN23" s="31">
        <v>73</v>
      </c>
      <c r="BO23" s="31">
        <f t="shared" si="6"/>
        <v>73</v>
      </c>
      <c r="BP23" s="31">
        <f t="shared" si="7"/>
        <v>73</v>
      </c>
      <c r="BQ23" s="31">
        <f t="shared" si="8"/>
        <v>73</v>
      </c>
      <c r="BR23" s="32">
        <f t="shared" si="26"/>
        <v>72</v>
      </c>
      <c r="BS23" s="31">
        <f t="shared" si="27"/>
        <v>70</v>
      </c>
      <c r="BT23" s="31">
        <v>69</v>
      </c>
      <c r="BU23" s="31">
        <f t="shared" si="29"/>
        <v>69</v>
      </c>
      <c r="BV23" s="31">
        <f t="shared" si="9"/>
        <v>71</v>
      </c>
      <c r="BW23" s="31">
        <f t="shared" si="10"/>
        <v>74</v>
      </c>
      <c r="BX23" s="31">
        <f t="shared" si="37"/>
        <v>77</v>
      </c>
      <c r="BY23" s="31">
        <f t="shared" si="11"/>
        <v>81</v>
      </c>
      <c r="BZ23" s="37">
        <f t="shared" si="40"/>
        <v>61</v>
      </c>
      <c r="CA23" s="47">
        <f t="shared" si="12"/>
        <v>67</v>
      </c>
      <c r="CB23" s="47">
        <f t="shared" si="13"/>
        <v>69</v>
      </c>
      <c r="CC23" s="47">
        <f t="shared" si="14"/>
        <v>70</v>
      </c>
      <c r="CD23" s="47">
        <v>69</v>
      </c>
      <c r="CE23" s="47">
        <f t="shared" si="38"/>
        <v>68</v>
      </c>
      <c r="CF23" s="133"/>
      <c r="CG23" s="37">
        <f t="shared" si="15"/>
        <v>63</v>
      </c>
      <c r="CH23" s="47">
        <f t="shared" si="16"/>
        <v>66</v>
      </c>
      <c r="CI23" s="47">
        <f t="shared" si="31"/>
        <v>68</v>
      </c>
      <c r="CJ23" s="47">
        <f t="shared" si="17"/>
        <v>68</v>
      </c>
      <c r="CK23" s="47">
        <f t="shared" si="18"/>
        <v>67</v>
      </c>
      <c r="CL23" s="47">
        <f t="shared" si="19"/>
        <v>66</v>
      </c>
      <c r="CM23" s="134"/>
    </row>
    <row r="24" spans="1:91">
      <c r="A24" s="1" t="s">
        <v>82</v>
      </c>
      <c r="B24" s="1">
        <v>6</v>
      </c>
      <c r="G24" s="84">
        <v>20</v>
      </c>
      <c r="H24" s="30">
        <v>53</v>
      </c>
      <c r="I24" s="31">
        <v>57</v>
      </c>
      <c r="J24" s="31">
        <f t="shared" si="20"/>
        <v>59</v>
      </c>
      <c r="K24" s="31">
        <f t="shared" si="46"/>
        <v>60</v>
      </c>
      <c r="L24" s="31">
        <f t="shared" si="46"/>
        <v>60</v>
      </c>
      <c r="M24" s="31">
        <f t="shared" si="21"/>
        <v>59</v>
      </c>
      <c r="N24" s="32">
        <f t="shared" si="21"/>
        <v>57</v>
      </c>
      <c r="O24" s="31">
        <f t="shared" si="39"/>
        <v>56</v>
      </c>
      <c r="P24" s="31">
        <f t="shared" si="44"/>
        <v>55</v>
      </c>
      <c r="Q24" s="31">
        <f t="shared" si="43"/>
        <v>56</v>
      </c>
      <c r="R24" s="31">
        <f t="shared" si="22"/>
        <v>58</v>
      </c>
      <c r="S24" s="31">
        <f t="shared" si="22"/>
        <v>61</v>
      </c>
      <c r="T24" s="31">
        <f t="shared" si="48"/>
        <v>65</v>
      </c>
      <c r="U24" s="31">
        <f t="shared" si="32"/>
        <v>70</v>
      </c>
      <c r="V24" s="37">
        <v>50</v>
      </c>
      <c r="W24" s="47">
        <f t="shared" si="23"/>
        <v>57</v>
      </c>
      <c r="X24" s="47">
        <f t="shared" si="23"/>
        <v>60</v>
      </c>
      <c r="Y24" s="47">
        <f t="shared" si="24"/>
        <v>60</v>
      </c>
      <c r="Z24" s="47">
        <f t="shared" si="47"/>
        <v>58</v>
      </c>
      <c r="AA24" s="47">
        <f t="shared" si="45"/>
        <v>53</v>
      </c>
      <c r="AB24" s="133"/>
      <c r="AC24" s="37">
        <f t="shared" si="33"/>
        <v>55</v>
      </c>
      <c r="AD24" s="47">
        <f t="shared" si="33"/>
        <v>58</v>
      </c>
      <c r="AE24" s="47">
        <v>59</v>
      </c>
      <c r="AF24" s="47">
        <f t="shared" si="49"/>
        <v>59</v>
      </c>
      <c r="AG24" s="47">
        <f t="shared" si="41"/>
        <v>58</v>
      </c>
      <c r="AH24" s="47">
        <f t="shared" si="34"/>
        <v>55</v>
      </c>
      <c r="AI24" s="134"/>
      <c r="AJ24" s="58">
        <v>79</v>
      </c>
      <c r="AK24" s="53">
        <v>80</v>
      </c>
      <c r="AL24" s="53">
        <v>81</v>
      </c>
      <c r="AM24" s="53">
        <f t="shared" si="42"/>
        <v>81</v>
      </c>
      <c r="AN24" s="53">
        <v>81</v>
      </c>
      <c r="AO24" s="53">
        <v>81</v>
      </c>
      <c r="AP24" s="131">
        <v>80</v>
      </c>
      <c r="AQ24" s="53">
        <v>82</v>
      </c>
      <c r="AR24" s="53">
        <v>80</v>
      </c>
      <c r="AS24" s="53">
        <v>79</v>
      </c>
      <c r="AT24" s="53">
        <v>79</v>
      </c>
      <c r="AU24" s="53">
        <v>79</v>
      </c>
      <c r="AV24" s="53">
        <v>81</v>
      </c>
      <c r="AW24" s="53">
        <v>84</v>
      </c>
      <c r="AX24" s="68">
        <v>97</v>
      </c>
      <c r="AY24" s="69">
        <v>97</v>
      </c>
      <c r="AZ24" s="69">
        <v>97</v>
      </c>
      <c r="BA24" s="69">
        <v>97</v>
      </c>
      <c r="BB24" s="69">
        <v>97</v>
      </c>
      <c r="BC24" s="69">
        <v>96</v>
      </c>
      <c r="BD24" s="70">
        <v>96</v>
      </c>
      <c r="BE24" s="69">
        <v>97</v>
      </c>
      <c r="BF24" s="69">
        <v>96</v>
      </c>
      <c r="BG24" s="69">
        <v>96</v>
      </c>
      <c r="BH24" s="69">
        <v>96</v>
      </c>
      <c r="BI24" s="69">
        <f t="shared" si="2"/>
        <v>97</v>
      </c>
      <c r="BJ24" s="69">
        <f t="shared" si="3"/>
        <v>98</v>
      </c>
      <c r="BK24" s="70">
        <f t="shared" si="4"/>
        <v>99</v>
      </c>
      <c r="BL24" s="30">
        <f t="shared" si="35"/>
        <v>71</v>
      </c>
      <c r="BM24" s="31">
        <f t="shared" si="36"/>
        <v>73</v>
      </c>
      <c r="BN24" s="31">
        <f t="shared" si="5"/>
        <v>74</v>
      </c>
      <c r="BO24" s="31">
        <f t="shared" si="6"/>
        <v>74</v>
      </c>
      <c r="BP24" s="31">
        <f t="shared" si="7"/>
        <v>74</v>
      </c>
      <c r="BQ24" s="31">
        <f t="shared" si="8"/>
        <v>74</v>
      </c>
      <c r="BR24" s="32">
        <f t="shared" si="26"/>
        <v>73</v>
      </c>
      <c r="BS24" s="31">
        <f t="shared" si="27"/>
        <v>71</v>
      </c>
      <c r="BT24" s="31">
        <f t="shared" si="28"/>
        <v>70</v>
      </c>
      <c r="BU24" s="31">
        <f t="shared" si="29"/>
        <v>70</v>
      </c>
      <c r="BV24" s="31">
        <f t="shared" si="9"/>
        <v>72</v>
      </c>
      <c r="BW24" s="31">
        <f t="shared" si="10"/>
        <v>75</v>
      </c>
      <c r="BX24" s="31">
        <f t="shared" si="37"/>
        <v>78</v>
      </c>
      <c r="BY24" s="31">
        <f t="shared" si="11"/>
        <v>82</v>
      </c>
      <c r="BZ24" s="37">
        <f t="shared" si="40"/>
        <v>62</v>
      </c>
      <c r="CA24" s="47">
        <f t="shared" si="12"/>
        <v>68</v>
      </c>
      <c r="CB24" s="47">
        <f t="shared" si="13"/>
        <v>70</v>
      </c>
      <c r="CC24" s="47">
        <f t="shared" si="14"/>
        <v>71</v>
      </c>
      <c r="CD24" s="47">
        <f t="shared" si="30"/>
        <v>70</v>
      </c>
      <c r="CE24" s="47">
        <v>68</v>
      </c>
      <c r="CF24" s="133"/>
      <c r="CG24" s="37">
        <v>65</v>
      </c>
      <c r="CH24" s="47">
        <f t="shared" si="16"/>
        <v>67</v>
      </c>
      <c r="CI24" s="47">
        <v>68</v>
      </c>
      <c r="CJ24" s="47">
        <f t="shared" si="17"/>
        <v>69</v>
      </c>
      <c r="CK24" s="47">
        <f t="shared" si="18"/>
        <v>68</v>
      </c>
      <c r="CL24" s="47">
        <v>66</v>
      </c>
      <c r="CM24" s="134"/>
    </row>
    <row r="25" spans="1:91">
      <c r="G25" s="84">
        <v>21</v>
      </c>
      <c r="H25" s="30">
        <v>54</v>
      </c>
      <c r="I25" s="31">
        <v>58</v>
      </c>
      <c r="J25" s="31">
        <f t="shared" si="20"/>
        <v>60</v>
      </c>
      <c r="K25" s="31">
        <f t="shared" si="46"/>
        <v>61</v>
      </c>
      <c r="L25" s="31">
        <v>60</v>
      </c>
      <c r="M25" s="31">
        <f t="shared" si="21"/>
        <v>59</v>
      </c>
      <c r="N25" s="32">
        <f t="shared" si="21"/>
        <v>57</v>
      </c>
      <c r="O25" s="31">
        <f t="shared" si="39"/>
        <v>57</v>
      </c>
      <c r="P25" s="31">
        <f t="shared" si="44"/>
        <v>56</v>
      </c>
      <c r="Q25" s="31">
        <f t="shared" si="43"/>
        <v>56</v>
      </c>
      <c r="R25" s="31">
        <f t="shared" si="22"/>
        <v>58</v>
      </c>
      <c r="S25" s="31">
        <f t="shared" si="22"/>
        <v>62</v>
      </c>
      <c r="T25" s="31">
        <f t="shared" si="48"/>
        <v>66</v>
      </c>
      <c r="U25" s="31">
        <f t="shared" si="32"/>
        <v>70</v>
      </c>
      <c r="V25" s="37">
        <v>51</v>
      </c>
      <c r="W25" s="47">
        <f t="shared" si="23"/>
        <v>57</v>
      </c>
      <c r="X25" s="47">
        <f t="shared" si="23"/>
        <v>60</v>
      </c>
      <c r="Y25" s="47">
        <f t="shared" si="24"/>
        <v>60</v>
      </c>
      <c r="Z25" s="47">
        <f t="shared" si="47"/>
        <v>59</v>
      </c>
      <c r="AA25" s="47">
        <f t="shared" si="45"/>
        <v>54</v>
      </c>
      <c r="AB25" s="133"/>
      <c r="AC25" s="37">
        <f t="shared" si="33"/>
        <v>56</v>
      </c>
      <c r="AD25" s="47">
        <f t="shared" si="33"/>
        <v>59</v>
      </c>
      <c r="AE25" s="47">
        <f t="shared" si="50"/>
        <v>60</v>
      </c>
      <c r="AF25" s="47">
        <f t="shared" si="49"/>
        <v>60</v>
      </c>
      <c r="AG25" s="47">
        <v>58</v>
      </c>
      <c r="AH25" s="47">
        <f t="shared" si="34"/>
        <v>56</v>
      </c>
      <c r="AI25" s="134"/>
      <c r="AJ25" s="58">
        <v>81</v>
      </c>
      <c r="AK25" s="53">
        <v>82</v>
      </c>
      <c r="AL25" s="53">
        <v>83</v>
      </c>
      <c r="AM25" s="53">
        <f t="shared" si="42"/>
        <v>83</v>
      </c>
      <c r="AN25" s="53">
        <v>83</v>
      </c>
      <c r="AO25" s="53">
        <v>82</v>
      </c>
      <c r="AP25" s="131">
        <v>82</v>
      </c>
      <c r="AQ25" s="53">
        <v>83</v>
      </c>
      <c r="AR25" s="53">
        <v>81</v>
      </c>
      <c r="AS25" s="53">
        <v>80</v>
      </c>
      <c r="AT25" s="53">
        <v>80</v>
      </c>
      <c r="AU25" s="53">
        <v>81</v>
      </c>
      <c r="AV25" s="53">
        <v>83</v>
      </c>
      <c r="AW25" s="53">
        <v>85</v>
      </c>
      <c r="AX25" s="68">
        <f t="shared" si="0"/>
        <v>100</v>
      </c>
      <c r="AY25" s="69">
        <v>100</v>
      </c>
      <c r="AZ25" s="69">
        <v>100</v>
      </c>
      <c r="BA25" s="69">
        <v>99</v>
      </c>
      <c r="BB25" s="69">
        <f t="shared" si="25"/>
        <v>99</v>
      </c>
      <c r="BC25" s="69">
        <v>98</v>
      </c>
      <c r="BD25" s="70">
        <f t="shared" si="1"/>
        <v>98</v>
      </c>
      <c r="BE25" s="69">
        <v>99</v>
      </c>
      <c r="BF25" s="69">
        <v>98</v>
      </c>
      <c r="BG25" s="69">
        <v>98</v>
      </c>
      <c r="BH25" s="69">
        <v>98</v>
      </c>
      <c r="BI25" s="69">
        <f t="shared" si="2"/>
        <v>99</v>
      </c>
      <c r="BJ25" s="69">
        <f t="shared" si="3"/>
        <v>100</v>
      </c>
      <c r="BK25" s="70">
        <f t="shared" si="4"/>
        <v>101</v>
      </c>
      <c r="BL25" s="30">
        <f t="shared" si="35"/>
        <v>72</v>
      </c>
      <c r="BM25" s="31">
        <f t="shared" si="36"/>
        <v>74</v>
      </c>
      <c r="BN25" s="31">
        <f t="shared" si="5"/>
        <v>75</v>
      </c>
      <c r="BO25" s="31">
        <f t="shared" si="6"/>
        <v>75</v>
      </c>
      <c r="BP25" s="31">
        <f t="shared" si="7"/>
        <v>75</v>
      </c>
      <c r="BQ25" s="31">
        <f t="shared" si="8"/>
        <v>75</v>
      </c>
      <c r="BR25" s="32">
        <f t="shared" si="26"/>
        <v>74</v>
      </c>
      <c r="BS25" s="31">
        <v>73</v>
      </c>
      <c r="BT25" s="31">
        <f t="shared" si="28"/>
        <v>71</v>
      </c>
      <c r="BU25" s="31">
        <f t="shared" si="29"/>
        <v>71</v>
      </c>
      <c r="BV25" s="31">
        <f t="shared" si="9"/>
        <v>73</v>
      </c>
      <c r="BW25" s="31">
        <f t="shared" si="10"/>
        <v>76</v>
      </c>
      <c r="BX25" s="31">
        <f t="shared" si="37"/>
        <v>79</v>
      </c>
      <c r="BY25" s="31">
        <f t="shared" si="11"/>
        <v>83</v>
      </c>
      <c r="BZ25" s="37">
        <f t="shared" si="40"/>
        <v>63</v>
      </c>
      <c r="CA25" s="47">
        <f t="shared" si="12"/>
        <v>69</v>
      </c>
      <c r="CB25" s="47">
        <f t="shared" si="13"/>
        <v>71</v>
      </c>
      <c r="CC25" s="47">
        <f t="shared" si="14"/>
        <v>72</v>
      </c>
      <c r="CD25" s="47">
        <f t="shared" si="30"/>
        <v>71</v>
      </c>
      <c r="CE25" s="47">
        <f t="shared" si="38"/>
        <v>69</v>
      </c>
      <c r="CF25" s="133"/>
      <c r="CG25" s="37">
        <f t="shared" si="15"/>
        <v>66</v>
      </c>
      <c r="CH25" s="47">
        <f t="shared" si="16"/>
        <v>68</v>
      </c>
      <c r="CI25" s="47">
        <f t="shared" si="31"/>
        <v>69</v>
      </c>
      <c r="CJ25" s="47">
        <v>69</v>
      </c>
      <c r="CK25" s="47">
        <f t="shared" si="18"/>
        <v>69</v>
      </c>
      <c r="CL25" s="47">
        <f t="shared" si="19"/>
        <v>67</v>
      </c>
      <c r="CM25" s="134"/>
    </row>
    <row r="26" spans="1:91">
      <c r="A26" s="86" t="s">
        <v>25</v>
      </c>
      <c r="B26" s="87"/>
      <c r="C26" s="4" t="s">
        <v>111</v>
      </c>
      <c r="G26" s="84">
        <v>22</v>
      </c>
      <c r="H26" s="30">
        <v>55</v>
      </c>
      <c r="I26" s="31">
        <v>58</v>
      </c>
      <c r="J26" s="31">
        <f t="shared" si="20"/>
        <v>60</v>
      </c>
      <c r="K26" s="31">
        <f t="shared" si="46"/>
        <v>61</v>
      </c>
      <c r="L26" s="31">
        <f t="shared" si="46"/>
        <v>61</v>
      </c>
      <c r="M26" s="31">
        <f t="shared" si="21"/>
        <v>60</v>
      </c>
      <c r="N26" s="32">
        <f t="shared" si="21"/>
        <v>58</v>
      </c>
      <c r="O26" s="31">
        <f t="shared" si="39"/>
        <v>57</v>
      </c>
      <c r="P26" s="31">
        <f t="shared" si="44"/>
        <v>56</v>
      </c>
      <c r="Q26" s="31">
        <f t="shared" si="43"/>
        <v>57</v>
      </c>
      <c r="R26" s="31">
        <f t="shared" si="22"/>
        <v>59</v>
      </c>
      <c r="S26" s="31">
        <f t="shared" si="22"/>
        <v>62</v>
      </c>
      <c r="T26" s="31">
        <f t="shared" si="48"/>
        <v>66</v>
      </c>
      <c r="U26" s="31">
        <v>70</v>
      </c>
      <c r="V26" s="37">
        <v>52</v>
      </c>
      <c r="W26" s="47">
        <f t="shared" si="23"/>
        <v>58</v>
      </c>
      <c r="X26" s="47">
        <f t="shared" si="23"/>
        <v>61</v>
      </c>
      <c r="Y26" s="47">
        <f t="shared" si="24"/>
        <v>61</v>
      </c>
      <c r="Z26" s="47">
        <f t="shared" si="47"/>
        <v>59</v>
      </c>
      <c r="AA26" s="47">
        <f t="shared" si="45"/>
        <v>54</v>
      </c>
      <c r="AB26" s="133"/>
      <c r="AC26" s="37">
        <f t="shared" si="33"/>
        <v>56</v>
      </c>
      <c r="AD26" s="47">
        <f t="shared" si="33"/>
        <v>59</v>
      </c>
      <c r="AE26" s="47">
        <f t="shared" si="50"/>
        <v>60</v>
      </c>
      <c r="AF26" s="47">
        <f t="shared" si="49"/>
        <v>60</v>
      </c>
      <c r="AG26" s="47">
        <f t="shared" si="41"/>
        <v>59</v>
      </c>
      <c r="AH26" s="47">
        <f t="shared" si="34"/>
        <v>56</v>
      </c>
      <c r="AI26" s="134"/>
      <c r="AJ26" s="58">
        <f>AJ25+2</f>
        <v>83</v>
      </c>
      <c r="AK26" s="53">
        <v>84</v>
      </c>
      <c r="AL26" s="53">
        <v>84</v>
      </c>
      <c r="AM26" s="53">
        <f t="shared" si="42"/>
        <v>84</v>
      </c>
      <c r="AN26" s="53">
        <v>84</v>
      </c>
      <c r="AO26" s="53">
        <v>84</v>
      </c>
      <c r="AP26" s="131">
        <v>83</v>
      </c>
      <c r="AQ26" s="53">
        <v>85</v>
      </c>
      <c r="AR26" s="53">
        <v>83</v>
      </c>
      <c r="AS26" s="53">
        <v>82</v>
      </c>
      <c r="AT26" s="53">
        <v>81</v>
      </c>
      <c r="AU26" s="53">
        <v>82</v>
      </c>
      <c r="AV26" s="53">
        <v>84</v>
      </c>
      <c r="AW26" s="53">
        <v>86</v>
      </c>
      <c r="AX26" s="68">
        <f t="shared" si="0"/>
        <v>103</v>
      </c>
      <c r="AY26" s="69">
        <v>103</v>
      </c>
      <c r="AZ26" s="69">
        <v>103</v>
      </c>
      <c r="BA26" s="69">
        <v>102</v>
      </c>
      <c r="BB26" s="69">
        <f t="shared" si="25"/>
        <v>101</v>
      </c>
      <c r="BC26" s="69">
        <v>101</v>
      </c>
      <c r="BD26" s="70">
        <f t="shared" si="1"/>
        <v>100</v>
      </c>
      <c r="BE26" s="69">
        <v>102</v>
      </c>
      <c r="BF26" s="69">
        <v>101</v>
      </c>
      <c r="BG26" s="69">
        <v>101</v>
      </c>
      <c r="BH26" s="69">
        <v>101</v>
      </c>
      <c r="BI26" s="69">
        <v>102</v>
      </c>
      <c r="BJ26" s="69">
        <f t="shared" si="3"/>
        <v>102</v>
      </c>
      <c r="BK26" s="70">
        <f t="shared" si="4"/>
        <v>103</v>
      </c>
      <c r="BL26" s="30">
        <v>74</v>
      </c>
      <c r="BM26" s="31">
        <f t="shared" si="36"/>
        <v>75</v>
      </c>
      <c r="BN26" s="31">
        <f t="shared" si="5"/>
        <v>76</v>
      </c>
      <c r="BO26" s="31">
        <f t="shared" si="6"/>
        <v>76</v>
      </c>
      <c r="BP26" s="31">
        <f t="shared" si="7"/>
        <v>76</v>
      </c>
      <c r="BQ26" s="31">
        <f t="shared" si="8"/>
        <v>76</v>
      </c>
      <c r="BR26" s="32">
        <v>76</v>
      </c>
      <c r="BS26" s="31">
        <f t="shared" si="27"/>
        <v>74</v>
      </c>
      <c r="BT26" s="31">
        <f t="shared" si="28"/>
        <v>72</v>
      </c>
      <c r="BU26" s="31">
        <f t="shared" si="29"/>
        <v>72</v>
      </c>
      <c r="BV26" s="31">
        <f t="shared" si="9"/>
        <v>74</v>
      </c>
      <c r="BW26" s="31">
        <f t="shared" si="10"/>
        <v>77</v>
      </c>
      <c r="BX26" s="31">
        <f t="shared" si="37"/>
        <v>80</v>
      </c>
      <c r="BY26" s="31">
        <v>83</v>
      </c>
      <c r="BZ26" s="37">
        <v>65</v>
      </c>
      <c r="CA26" s="47">
        <f t="shared" si="12"/>
        <v>70</v>
      </c>
      <c r="CB26" s="47">
        <f t="shared" si="13"/>
        <v>72</v>
      </c>
      <c r="CC26" s="47">
        <v>72</v>
      </c>
      <c r="CD26" s="47">
        <f t="shared" si="30"/>
        <v>72</v>
      </c>
      <c r="CE26" s="47">
        <f t="shared" si="38"/>
        <v>70</v>
      </c>
      <c r="CF26" s="133"/>
      <c r="CG26" s="37">
        <f t="shared" si="15"/>
        <v>67</v>
      </c>
      <c r="CH26" s="47">
        <f t="shared" si="16"/>
        <v>69</v>
      </c>
      <c r="CI26" s="47">
        <f t="shared" si="31"/>
        <v>70</v>
      </c>
      <c r="CJ26" s="47">
        <f t="shared" si="17"/>
        <v>70</v>
      </c>
      <c r="CK26" s="47">
        <f t="shared" si="18"/>
        <v>70</v>
      </c>
      <c r="CL26" s="47">
        <f t="shared" si="19"/>
        <v>68</v>
      </c>
      <c r="CM26" s="134"/>
    </row>
    <row r="27" spans="1:91">
      <c r="A27" s="273" t="s">
        <v>105</v>
      </c>
      <c r="B27" s="273"/>
      <c r="C27" s="1">
        <f>VLOOKUP(B6,G144:CM146,SUM(C4:C5,E10),FALSE)</f>
        <v>4</v>
      </c>
      <c r="G27" s="84">
        <v>23</v>
      </c>
      <c r="H27" s="30">
        <v>55</v>
      </c>
      <c r="I27" s="31">
        <v>59</v>
      </c>
      <c r="J27" s="31">
        <f t="shared" si="20"/>
        <v>61</v>
      </c>
      <c r="K27" s="31">
        <f t="shared" si="46"/>
        <v>62</v>
      </c>
      <c r="L27" s="31">
        <f t="shared" si="46"/>
        <v>61</v>
      </c>
      <c r="M27" s="31">
        <f t="shared" si="21"/>
        <v>60</v>
      </c>
      <c r="N27" s="32">
        <f t="shared" si="21"/>
        <v>58</v>
      </c>
      <c r="O27" s="31">
        <f t="shared" si="39"/>
        <v>58</v>
      </c>
      <c r="P27" s="31">
        <f t="shared" si="44"/>
        <v>57</v>
      </c>
      <c r="Q27" s="31">
        <f t="shared" si="43"/>
        <v>57</v>
      </c>
      <c r="R27" s="31">
        <v>60</v>
      </c>
      <c r="S27" s="31">
        <f t="shared" ref="S27:T89" si="51">S25+1</f>
        <v>63</v>
      </c>
      <c r="T27" s="31">
        <f t="shared" si="48"/>
        <v>67</v>
      </c>
      <c r="U27" s="31">
        <f t="shared" si="32"/>
        <v>71</v>
      </c>
      <c r="V27" s="37">
        <v>52</v>
      </c>
      <c r="W27" s="47">
        <f t="shared" si="23"/>
        <v>58</v>
      </c>
      <c r="X27" s="47">
        <f t="shared" si="23"/>
        <v>61</v>
      </c>
      <c r="Y27" s="47">
        <f t="shared" si="24"/>
        <v>61</v>
      </c>
      <c r="Z27" s="47">
        <f t="shared" si="47"/>
        <v>60</v>
      </c>
      <c r="AA27" s="47">
        <f t="shared" si="45"/>
        <v>55</v>
      </c>
      <c r="AB27" s="133"/>
      <c r="AC27" s="37">
        <f t="shared" si="33"/>
        <v>57</v>
      </c>
      <c r="AD27" s="47">
        <f t="shared" si="33"/>
        <v>60</v>
      </c>
      <c r="AE27" s="47">
        <f t="shared" si="50"/>
        <v>61</v>
      </c>
      <c r="AF27" s="47">
        <f t="shared" si="49"/>
        <v>61</v>
      </c>
      <c r="AG27" s="47">
        <f t="shared" si="41"/>
        <v>59</v>
      </c>
      <c r="AH27" s="47">
        <f t="shared" si="34"/>
        <v>57</v>
      </c>
      <c r="AI27" s="134"/>
      <c r="AJ27" s="58">
        <f t="shared" ref="AJ27:AJ41" si="52">AJ26+2</f>
        <v>85</v>
      </c>
      <c r="AK27" s="53">
        <v>85</v>
      </c>
      <c r="AL27" s="53">
        <v>86</v>
      </c>
      <c r="AM27" s="53">
        <f t="shared" si="42"/>
        <v>86</v>
      </c>
      <c r="AN27" s="53">
        <v>86</v>
      </c>
      <c r="AO27" s="53">
        <v>85</v>
      </c>
      <c r="AP27" s="131">
        <v>85</v>
      </c>
      <c r="AQ27" s="53">
        <v>86</v>
      </c>
      <c r="AR27" s="53">
        <v>84</v>
      </c>
      <c r="AS27" s="53">
        <v>83</v>
      </c>
      <c r="AT27" s="53">
        <v>83</v>
      </c>
      <c r="AU27" s="53">
        <v>84</v>
      </c>
      <c r="AV27" s="53">
        <v>85</v>
      </c>
      <c r="AW27" s="53">
        <v>88</v>
      </c>
      <c r="AX27" s="68">
        <f t="shared" si="0"/>
        <v>106</v>
      </c>
      <c r="AY27" s="69">
        <v>106</v>
      </c>
      <c r="AZ27" s="69">
        <v>106</v>
      </c>
      <c r="BA27" s="69">
        <v>105</v>
      </c>
      <c r="BB27" s="69">
        <v>105</v>
      </c>
      <c r="BC27" s="69">
        <v>104</v>
      </c>
      <c r="BD27" s="70">
        <v>103</v>
      </c>
      <c r="BE27" s="69">
        <v>106</v>
      </c>
      <c r="BF27" s="69">
        <v>105</v>
      </c>
      <c r="BG27" s="69">
        <v>105</v>
      </c>
      <c r="BH27" s="69">
        <v>105</v>
      </c>
      <c r="BI27" s="69">
        <v>105</v>
      </c>
      <c r="BJ27" s="69">
        <v>105</v>
      </c>
      <c r="BK27" s="70">
        <v>106</v>
      </c>
      <c r="BL27" s="30">
        <f t="shared" si="35"/>
        <v>75</v>
      </c>
      <c r="BM27" s="31">
        <f t="shared" si="36"/>
        <v>76</v>
      </c>
      <c r="BN27" s="31">
        <f t="shared" si="5"/>
        <v>77</v>
      </c>
      <c r="BO27" s="31">
        <f t="shared" si="6"/>
        <v>77</v>
      </c>
      <c r="BP27" s="31">
        <f t="shared" si="7"/>
        <v>77</v>
      </c>
      <c r="BQ27" s="31">
        <f t="shared" si="8"/>
        <v>77</v>
      </c>
      <c r="BR27" s="32">
        <f t="shared" si="26"/>
        <v>77</v>
      </c>
      <c r="BS27" s="31">
        <f t="shared" si="27"/>
        <v>75</v>
      </c>
      <c r="BT27" s="31">
        <v>74</v>
      </c>
      <c r="BU27" s="31">
        <v>74</v>
      </c>
      <c r="BV27" s="31">
        <f t="shared" si="9"/>
        <v>75</v>
      </c>
      <c r="BW27" s="31">
        <f t="shared" si="10"/>
        <v>78</v>
      </c>
      <c r="BX27" s="31">
        <f t="shared" si="37"/>
        <v>81</v>
      </c>
      <c r="BY27" s="31">
        <f t="shared" si="11"/>
        <v>84</v>
      </c>
      <c r="BZ27" s="37">
        <f t="shared" si="40"/>
        <v>66</v>
      </c>
      <c r="CA27" s="47">
        <f t="shared" si="12"/>
        <v>71</v>
      </c>
      <c r="CB27" s="47">
        <f t="shared" si="13"/>
        <v>73</v>
      </c>
      <c r="CC27" s="47">
        <f t="shared" si="14"/>
        <v>73</v>
      </c>
      <c r="CD27" s="47">
        <f t="shared" si="30"/>
        <v>73</v>
      </c>
      <c r="CE27" s="47">
        <f t="shared" si="38"/>
        <v>71</v>
      </c>
      <c r="CF27" s="133"/>
      <c r="CG27" s="37">
        <f t="shared" si="15"/>
        <v>68</v>
      </c>
      <c r="CH27" s="47">
        <f t="shared" si="16"/>
        <v>70</v>
      </c>
      <c r="CI27" s="47">
        <f t="shared" si="31"/>
        <v>71</v>
      </c>
      <c r="CJ27" s="47">
        <f t="shared" si="17"/>
        <v>71</v>
      </c>
      <c r="CK27" s="47">
        <f t="shared" si="18"/>
        <v>71</v>
      </c>
      <c r="CL27" s="47">
        <f t="shared" si="19"/>
        <v>69</v>
      </c>
      <c r="CM27" s="134"/>
    </row>
    <row r="28" spans="1:91">
      <c r="A28" s="273" t="s">
        <v>106</v>
      </c>
      <c r="B28" s="273"/>
      <c r="C28" s="1">
        <f>VLOOKUP(B6,G144:CM146,SUM(C4,C5,E11),FALSE)</f>
        <v>3</v>
      </c>
      <c r="G28" s="84">
        <v>24</v>
      </c>
      <c r="H28" s="30">
        <v>56</v>
      </c>
      <c r="I28" s="31">
        <v>59</v>
      </c>
      <c r="J28" s="31">
        <f t="shared" si="20"/>
        <v>61</v>
      </c>
      <c r="K28" s="31">
        <f t="shared" si="46"/>
        <v>62</v>
      </c>
      <c r="L28" s="31">
        <f t="shared" si="46"/>
        <v>62</v>
      </c>
      <c r="M28" s="31">
        <f t="shared" si="21"/>
        <v>61</v>
      </c>
      <c r="N28" s="32">
        <f t="shared" si="21"/>
        <v>59</v>
      </c>
      <c r="O28" s="31">
        <v>59</v>
      </c>
      <c r="P28" s="31">
        <f t="shared" si="44"/>
        <v>57</v>
      </c>
      <c r="Q28" s="31">
        <f t="shared" si="43"/>
        <v>58</v>
      </c>
      <c r="R28" s="31">
        <f t="shared" si="22"/>
        <v>60</v>
      </c>
      <c r="S28" s="31">
        <f t="shared" si="51"/>
        <v>63</v>
      </c>
      <c r="T28" s="31">
        <f t="shared" si="48"/>
        <v>67</v>
      </c>
      <c r="U28" s="31">
        <f t="shared" si="32"/>
        <v>71</v>
      </c>
      <c r="V28" s="37">
        <v>53</v>
      </c>
      <c r="W28" s="47">
        <f t="shared" si="23"/>
        <v>59</v>
      </c>
      <c r="X28" s="47">
        <v>61</v>
      </c>
      <c r="Y28" s="47">
        <f t="shared" si="24"/>
        <v>62</v>
      </c>
      <c r="Z28" s="47">
        <f t="shared" si="47"/>
        <v>60</v>
      </c>
      <c r="AA28" s="47">
        <v>56</v>
      </c>
      <c r="AB28" s="133"/>
      <c r="AC28" s="37">
        <f t="shared" si="33"/>
        <v>57</v>
      </c>
      <c r="AD28" s="47">
        <f t="shared" si="33"/>
        <v>60</v>
      </c>
      <c r="AE28" s="47">
        <f t="shared" si="50"/>
        <v>61</v>
      </c>
      <c r="AF28" s="47">
        <f t="shared" si="49"/>
        <v>61</v>
      </c>
      <c r="AG28" s="47">
        <f t="shared" si="41"/>
        <v>60</v>
      </c>
      <c r="AH28" s="47">
        <f t="shared" si="34"/>
        <v>57</v>
      </c>
      <c r="AI28" s="134"/>
      <c r="AJ28" s="58">
        <f t="shared" si="52"/>
        <v>87</v>
      </c>
      <c r="AK28" s="53">
        <v>87</v>
      </c>
      <c r="AL28" s="53">
        <v>87</v>
      </c>
      <c r="AM28" s="53">
        <f t="shared" si="42"/>
        <v>87</v>
      </c>
      <c r="AN28" s="53">
        <v>87</v>
      </c>
      <c r="AO28" s="53">
        <v>87</v>
      </c>
      <c r="AP28" s="131">
        <v>87</v>
      </c>
      <c r="AQ28" s="53">
        <v>88</v>
      </c>
      <c r="AR28" s="53">
        <v>86</v>
      </c>
      <c r="AS28" s="53">
        <v>85</v>
      </c>
      <c r="AT28" s="53">
        <v>84</v>
      </c>
      <c r="AU28" s="53">
        <v>85</v>
      </c>
      <c r="AV28" s="53">
        <v>87</v>
      </c>
      <c r="AW28" s="53">
        <v>89</v>
      </c>
      <c r="AX28" s="68">
        <v>109</v>
      </c>
      <c r="AY28" s="69">
        <v>109</v>
      </c>
      <c r="AZ28" s="69">
        <v>109</v>
      </c>
      <c r="BA28" s="69">
        <v>108</v>
      </c>
      <c r="BB28" s="69">
        <v>108</v>
      </c>
      <c r="BC28" s="69">
        <v>107</v>
      </c>
      <c r="BD28" s="70">
        <v>106</v>
      </c>
      <c r="BE28" s="69">
        <v>110</v>
      </c>
      <c r="BF28" s="69">
        <v>109</v>
      </c>
      <c r="BG28" s="69">
        <v>109</v>
      </c>
      <c r="BH28" s="69">
        <v>108</v>
      </c>
      <c r="BI28" s="69">
        <v>108</v>
      </c>
      <c r="BJ28" s="69">
        <v>108</v>
      </c>
      <c r="BK28" s="70">
        <v>109</v>
      </c>
      <c r="BL28" s="30">
        <v>77</v>
      </c>
      <c r="BM28" s="31">
        <f t="shared" si="36"/>
        <v>77</v>
      </c>
      <c r="BN28" s="31">
        <f t="shared" si="5"/>
        <v>78</v>
      </c>
      <c r="BO28" s="31">
        <f t="shared" si="6"/>
        <v>78</v>
      </c>
      <c r="BP28" s="31">
        <f t="shared" si="7"/>
        <v>78</v>
      </c>
      <c r="BQ28" s="31">
        <f t="shared" si="8"/>
        <v>78</v>
      </c>
      <c r="BR28" s="32">
        <f t="shared" si="26"/>
        <v>78</v>
      </c>
      <c r="BS28" s="31">
        <v>77</v>
      </c>
      <c r="BT28" s="31">
        <f t="shared" si="28"/>
        <v>75</v>
      </c>
      <c r="BU28" s="31">
        <f t="shared" si="29"/>
        <v>75</v>
      </c>
      <c r="BV28" s="31">
        <f t="shared" si="9"/>
        <v>76</v>
      </c>
      <c r="BW28" s="31">
        <f t="shared" si="10"/>
        <v>79</v>
      </c>
      <c r="BX28" s="31">
        <f t="shared" si="37"/>
        <v>82</v>
      </c>
      <c r="BY28" s="31">
        <f t="shared" si="11"/>
        <v>85</v>
      </c>
      <c r="BZ28" s="37">
        <f t="shared" si="40"/>
        <v>67</v>
      </c>
      <c r="CA28" s="47">
        <f t="shared" si="12"/>
        <v>72</v>
      </c>
      <c r="CB28" s="47">
        <f t="shared" si="13"/>
        <v>74</v>
      </c>
      <c r="CC28" s="47">
        <f t="shared" si="14"/>
        <v>74</v>
      </c>
      <c r="CD28" s="47">
        <f t="shared" si="30"/>
        <v>74</v>
      </c>
      <c r="CE28" s="47">
        <f t="shared" si="38"/>
        <v>72</v>
      </c>
      <c r="CF28" s="133"/>
      <c r="CG28" s="37">
        <f t="shared" si="15"/>
        <v>69</v>
      </c>
      <c r="CH28" s="47">
        <f t="shared" si="16"/>
        <v>71</v>
      </c>
      <c r="CI28" s="47">
        <f t="shared" si="31"/>
        <v>72</v>
      </c>
      <c r="CJ28" s="47">
        <f t="shared" si="17"/>
        <v>72</v>
      </c>
      <c r="CK28" s="47">
        <v>71</v>
      </c>
      <c r="CL28" s="47">
        <f t="shared" si="19"/>
        <v>70</v>
      </c>
      <c r="CM28" s="134"/>
    </row>
    <row r="29" spans="1:91">
      <c r="A29" s="273" t="s">
        <v>107</v>
      </c>
      <c r="B29" s="273"/>
      <c r="C29" s="1"/>
      <c r="G29" s="84">
        <v>25</v>
      </c>
      <c r="H29" s="30">
        <v>56</v>
      </c>
      <c r="I29" s="31">
        <v>60</v>
      </c>
      <c r="J29" s="31">
        <f t="shared" si="20"/>
        <v>62</v>
      </c>
      <c r="K29" s="31">
        <f t="shared" si="46"/>
        <v>63</v>
      </c>
      <c r="L29" s="31">
        <f t="shared" si="46"/>
        <v>62</v>
      </c>
      <c r="M29" s="31">
        <f t="shared" si="21"/>
        <v>61</v>
      </c>
      <c r="N29" s="32">
        <v>60</v>
      </c>
      <c r="O29" s="31">
        <f t="shared" si="39"/>
        <v>59</v>
      </c>
      <c r="P29" s="31">
        <f t="shared" si="44"/>
        <v>58</v>
      </c>
      <c r="Q29" s="31">
        <v>59</v>
      </c>
      <c r="R29" s="31">
        <f t="shared" si="22"/>
        <v>61</v>
      </c>
      <c r="S29" s="31">
        <f t="shared" si="51"/>
        <v>64</v>
      </c>
      <c r="T29" s="31">
        <v>67</v>
      </c>
      <c r="U29" s="31">
        <f t="shared" si="32"/>
        <v>72</v>
      </c>
      <c r="V29" s="37">
        <v>53</v>
      </c>
      <c r="W29" s="47">
        <f t="shared" si="23"/>
        <v>59</v>
      </c>
      <c r="X29" s="47">
        <f t="shared" si="23"/>
        <v>62</v>
      </c>
      <c r="Y29" s="47">
        <f t="shared" si="24"/>
        <v>62</v>
      </c>
      <c r="Z29" s="47">
        <v>60</v>
      </c>
      <c r="AA29" s="47">
        <f t="shared" si="45"/>
        <v>56</v>
      </c>
      <c r="AB29" s="133"/>
      <c r="AC29" s="37">
        <f t="shared" si="33"/>
        <v>58</v>
      </c>
      <c r="AD29" s="47">
        <v>60</v>
      </c>
      <c r="AE29" s="47">
        <f t="shared" si="50"/>
        <v>62</v>
      </c>
      <c r="AF29" s="47">
        <v>61</v>
      </c>
      <c r="AG29" s="47">
        <f t="shared" si="41"/>
        <v>60</v>
      </c>
      <c r="AH29" s="47">
        <f t="shared" si="34"/>
        <v>58</v>
      </c>
      <c r="AI29" s="134"/>
      <c r="AJ29" s="58">
        <f t="shared" si="52"/>
        <v>89</v>
      </c>
      <c r="AK29" s="53">
        <v>89</v>
      </c>
      <c r="AL29" s="53">
        <v>89</v>
      </c>
      <c r="AM29" s="53">
        <f t="shared" si="42"/>
        <v>89</v>
      </c>
      <c r="AN29" s="53">
        <v>89</v>
      </c>
      <c r="AO29" s="53">
        <v>88</v>
      </c>
      <c r="AP29" s="131">
        <v>88</v>
      </c>
      <c r="AQ29" s="53">
        <v>89</v>
      </c>
      <c r="AR29" s="53">
        <v>87</v>
      </c>
      <c r="AS29" s="53">
        <v>86</v>
      </c>
      <c r="AT29" s="53">
        <v>86</v>
      </c>
      <c r="AU29" s="53">
        <v>87</v>
      </c>
      <c r="AV29" s="53">
        <v>88</v>
      </c>
      <c r="AW29" s="53">
        <v>91</v>
      </c>
      <c r="AX29" s="68">
        <v>113</v>
      </c>
      <c r="AY29" s="69">
        <v>112</v>
      </c>
      <c r="AZ29" s="69">
        <v>112</v>
      </c>
      <c r="BA29" s="69">
        <v>111</v>
      </c>
      <c r="BB29" s="69">
        <v>111</v>
      </c>
      <c r="BC29" s="69">
        <v>110</v>
      </c>
      <c r="BD29" s="70">
        <v>109</v>
      </c>
      <c r="BE29" s="69">
        <v>115</v>
      </c>
      <c r="BF29" s="69">
        <v>113</v>
      </c>
      <c r="BG29" s="69">
        <v>112</v>
      </c>
      <c r="BH29" s="69">
        <v>112</v>
      </c>
      <c r="BI29" s="69">
        <v>111</v>
      </c>
      <c r="BJ29" s="69">
        <v>111</v>
      </c>
      <c r="BK29" s="70">
        <f t="shared" si="4"/>
        <v>111</v>
      </c>
      <c r="BL29" s="30">
        <f t="shared" si="35"/>
        <v>78</v>
      </c>
      <c r="BM29" s="31">
        <v>79</v>
      </c>
      <c r="BN29" s="31">
        <f t="shared" si="5"/>
        <v>79</v>
      </c>
      <c r="BO29" s="31">
        <f t="shared" si="6"/>
        <v>79</v>
      </c>
      <c r="BP29" s="31">
        <f t="shared" si="7"/>
        <v>79</v>
      </c>
      <c r="BQ29" s="31">
        <f t="shared" si="8"/>
        <v>79</v>
      </c>
      <c r="BR29" s="32">
        <f t="shared" si="26"/>
        <v>79</v>
      </c>
      <c r="BS29" s="31">
        <f t="shared" si="27"/>
        <v>78</v>
      </c>
      <c r="BT29" s="31">
        <f t="shared" si="28"/>
        <v>76</v>
      </c>
      <c r="BU29" s="31">
        <f t="shared" si="29"/>
        <v>76</v>
      </c>
      <c r="BV29" s="31">
        <f t="shared" si="9"/>
        <v>77</v>
      </c>
      <c r="BW29" s="31">
        <f t="shared" si="10"/>
        <v>80</v>
      </c>
      <c r="BX29" s="31">
        <f t="shared" si="37"/>
        <v>83</v>
      </c>
      <c r="BY29" s="31">
        <f t="shared" si="11"/>
        <v>86</v>
      </c>
      <c r="BZ29" s="37">
        <f t="shared" si="40"/>
        <v>68</v>
      </c>
      <c r="CA29" s="47">
        <f t="shared" si="12"/>
        <v>73</v>
      </c>
      <c r="CB29" s="47">
        <f t="shared" si="13"/>
        <v>75</v>
      </c>
      <c r="CC29" s="47">
        <f t="shared" si="14"/>
        <v>75</v>
      </c>
      <c r="CD29" s="47">
        <f t="shared" si="30"/>
        <v>75</v>
      </c>
      <c r="CE29" s="47">
        <f t="shared" si="38"/>
        <v>73</v>
      </c>
      <c r="CF29" s="133"/>
      <c r="CG29" s="37">
        <f t="shared" si="15"/>
        <v>70</v>
      </c>
      <c r="CH29" s="47">
        <f t="shared" si="16"/>
        <v>72</v>
      </c>
      <c r="CI29" s="47">
        <f t="shared" si="31"/>
        <v>73</v>
      </c>
      <c r="CJ29" s="47">
        <f t="shared" si="17"/>
        <v>73</v>
      </c>
      <c r="CK29" s="47">
        <f t="shared" si="18"/>
        <v>72</v>
      </c>
      <c r="CL29" s="47">
        <f t="shared" si="19"/>
        <v>71</v>
      </c>
      <c r="CM29" s="134"/>
    </row>
    <row r="30" spans="1:91">
      <c r="A30" s="273" t="s">
        <v>108</v>
      </c>
      <c r="B30" s="273"/>
      <c r="C30" s="1"/>
      <c r="G30" s="84">
        <v>26</v>
      </c>
      <c r="H30" s="30">
        <v>57</v>
      </c>
      <c r="I30" s="31">
        <v>61</v>
      </c>
      <c r="J30" s="31">
        <f t="shared" si="20"/>
        <v>62</v>
      </c>
      <c r="K30" s="31">
        <f t="shared" si="46"/>
        <v>63</v>
      </c>
      <c r="L30" s="31">
        <f t="shared" si="46"/>
        <v>63</v>
      </c>
      <c r="M30" s="31">
        <f t="shared" si="21"/>
        <v>62</v>
      </c>
      <c r="N30" s="32">
        <f t="shared" si="21"/>
        <v>60</v>
      </c>
      <c r="O30" s="31">
        <f t="shared" si="39"/>
        <v>60</v>
      </c>
      <c r="P30" s="31">
        <v>59</v>
      </c>
      <c r="Q30" s="31">
        <f t="shared" si="43"/>
        <v>59</v>
      </c>
      <c r="R30" s="31">
        <f t="shared" si="22"/>
        <v>61</v>
      </c>
      <c r="S30" s="31">
        <f t="shared" si="51"/>
        <v>64</v>
      </c>
      <c r="T30" s="31">
        <f t="shared" si="48"/>
        <v>68</v>
      </c>
      <c r="U30" s="31">
        <f t="shared" si="32"/>
        <v>72</v>
      </c>
      <c r="V30" s="37">
        <v>54</v>
      </c>
      <c r="W30" s="47">
        <f t="shared" si="23"/>
        <v>60</v>
      </c>
      <c r="X30" s="47">
        <f t="shared" si="23"/>
        <v>62</v>
      </c>
      <c r="Y30" s="47">
        <f t="shared" si="24"/>
        <v>63</v>
      </c>
      <c r="Z30" s="47">
        <f t="shared" si="47"/>
        <v>61</v>
      </c>
      <c r="AA30" s="47">
        <f t="shared" si="45"/>
        <v>57</v>
      </c>
      <c r="AB30" s="133"/>
      <c r="AC30" s="37">
        <f t="shared" si="33"/>
        <v>58</v>
      </c>
      <c r="AD30" s="47">
        <f t="shared" si="33"/>
        <v>61</v>
      </c>
      <c r="AE30" s="47">
        <f t="shared" si="50"/>
        <v>62</v>
      </c>
      <c r="AF30" s="47">
        <f t="shared" si="49"/>
        <v>62</v>
      </c>
      <c r="AG30" s="47">
        <f t="shared" si="41"/>
        <v>61</v>
      </c>
      <c r="AH30" s="47">
        <f t="shared" si="34"/>
        <v>58</v>
      </c>
      <c r="AI30" s="134"/>
      <c r="AJ30" s="58">
        <f t="shared" si="52"/>
        <v>91</v>
      </c>
      <c r="AK30" s="53">
        <v>90</v>
      </c>
      <c r="AL30" s="53">
        <v>90</v>
      </c>
      <c r="AM30" s="53">
        <f t="shared" si="42"/>
        <v>90</v>
      </c>
      <c r="AN30" s="53">
        <v>90</v>
      </c>
      <c r="AO30" s="53">
        <v>90</v>
      </c>
      <c r="AP30" s="131">
        <v>90</v>
      </c>
      <c r="AQ30" s="53">
        <v>91</v>
      </c>
      <c r="AR30" s="53">
        <v>89</v>
      </c>
      <c r="AS30" s="53">
        <v>87</v>
      </c>
      <c r="AT30" s="53">
        <v>87</v>
      </c>
      <c r="AU30" s="53">
        <v>88</v>
      </c>
      <c r="AV30" s="53">
        <v>90</v>
      </c>
      <c r="AW30" s="53">
        <v>92</v>
      </c>
      <c r="AX30" s="68">
        <f t="shared" si="0"/>
        <v>116</v>
      </c>
      <c r="AY30" s="69">
        <v>115</v>
      </c>
      <c r="AZ30" s="69">
        <v>115</v>
      </c>
      <c r="BA30" s="69">
        <v>114</v>
      </c>
      <c r="BB30" s="69">
        <v>114</v>
      </c>
      <c r="BC30" s="69">
        <v>113</v>
      </c>
      <c r="BD30" s="70">
        <v>112</v>
      </c>
      <c r="BE30" s="69">
        <v>119</v>
      </c>
      <c r="BF30" s="69">
        <v>117</v>
      </c>
      <c r="BG30" s="69">
        <v>116</v>
      </c>
      <c r="BH30" s="69">
        <v>115</v>
      </c>
      <c r="BI30" s="69">
        <v>115</v>
      </c>
      <c r="BJ30" s="69">
        <v>114</v>
      </c>
      <c r="BK30" s="70">
        <v>114</v>
      </c>
      <c r="BL30" s="30">
        <f t="shared" si="35"/>
        <v>79</v>
      </c>
      <c r="BM30" s="31">
        <f t="shared" si="36"/>
        <v>80</v>
      </c>
      <c r="BN30" s="31">
        <f t="shared" si="5"/>
        <v>80</v>
      </c>
      <c r="BO30" s="31">
        <f t="shared" si="6"/>
        <v>80</v>
      </c>
      <c r="BP30" s="31">
        <f t="shared" si="7"/>
        <v>80</v>
      </c>
      <c r="BQ30" s="31">
        <f t="shared" si="8"/>
        <v>80</v>
      </c>
      <c r="BR30" s="32">
        <f t="shared" si="26"/>
        <v>80</v>
      </c>
      <c r="BS30" s="31">
        <f t="shared" si="27"/>
        <v>79</v>
      </c>
      <c r="BT30" s="31">
        <f t="shared" si="28"/>
        <v>77</v>
      </c>
      <c r="BU30" s="31">
        <f t="shared" si="29"/>
        <v>77</v>
      </c>
      <c r="BV30" s="31">
        <f t="shared" si="9"/>
        <v>78</v>
      </c>
      <c r="BW30" s="31">
        <f t="shared" si="10"/>
        <v>81</v>
      </c>
      <c r="BX30" s="31">
        <v>83</v>
      </c>
      <c r="BY30" s="31">
        <v>86</v>
      </c>
      <c r="BZ30" s="37">
        <v>70</v>
      </c>
      <c r="CA30" s="47">
        <f t="shared" si="12"/>
        <v>74</v>
      </c>
      <c r="CB30" s="47">
        <v>75</v>
      </c>
      <c r="CC30" s="47">
        <f t="shared" si="14"/>
        <v>76</v>
      </c>
      <c r="CD30" s="47">
        <v>75</v>
      </c>
      <c r="CE30" s="47">
        <f t="shared" si="38"/>
        <v>74</v>
      </c>
      <c r="CF30" s="133"/>
      <c r="CG30" s="37">
        <f t="shared" si="15"/>
        <v>71</v>
      </c>
      <c r="CH30" s="47">
        <f t="shared" si="16"/>
        <v>73</v>
      </c>
      <c r="CI30" s="47">
        <v>73</v>
      </c>
      <c r="CJ30" s="47">
        <f t="shared" si="17"/>
        <v>74</v>
      </c>
      <c r="CK30" s="47">
        <f t="shared" si="18"/>
        <v>73</v>
      </c>
      <c r="CL30" s="47">
        <f t="shared" si="19"/>
        <v>72</v>
      </c>
      <c r="CM30" s="134"/>
    </row>
    <row r="31" spans="1:91">
      <c r="A31" s="273" t="s">
        <v>109</v>
      </c>
      <c r="B31" s="273"/>
      <c r="C31" s="1"/>
      <c r="G31" s="84">
        <v>27</v>
      </c>
      <c r="H31" s="30">
        <v>58</v>
      </c>
      <c r="I31" s="31">
        <v>61</v>
      </c>
      <c r="J31" s="31">
        <f t="shared" si="20"/>
        <v>63</v>
      </c>
      <c r="K31" s="31">
        <f t="shared" si="46"/>
        <v>64</v>
      </c>
      <c r="L31" s="31">
        <f t="shared" si="46"/>
        <v>63</v>
      </c>
      <c r="M31" s="31">
        <f t="shared" si="21"/>
        <v>62</v>
      </c>
      <c r="N31" s="32">
        <f t="shared" si="21"/>
        <v>61</v>
      </c>
      <c r="O31" s="31">
        <f t="shared" si="39"/>
        <v>60</v>
      </c>
      <c r="P31" s="31">
        <f t="shared" si="44"/>
        <v>59</v>
      </c>
      <c r="Q31" s="31">
        <f t="shared" si="43"/>
        <v>60</v>
      </c>
      <c r="R31" s="31">
        <f t="shared" si="22"/>
        <v>62</v>
      </c>
      <c r="S31" s="31">
        <f t="shared" si="51"/>
        <v>65</v>
      </c>
      <c r="T31" s="31">
        <f t="shared" si="48"/>
        <v>68</v>
      </c>
      <c r="U31" s="31">
        <v>72</v>
      </c>
      <c r="V31" s="37">
        <v>55</v>
      </c>
      <c r="W31" s="47">
        <f t="shared" si="23"/>
        <v>60</v>
      </c>
      <c r="X31" s="47">
        <f t="shared" si="23"/>
        <v>63</v>
      </c>
      <c r="Y31" s="47">
        <f t="shared" si="24"/>
        <v>63</v>
      </c>
      <c r="Z31" s="47">
        <f t="shared" si="47"/>
        <v>61</v>
      </c>
      <c r="AA31" s="47">
        <f t="shared" si="45"/>
        <v>57</v>
      </c>
      <c r="AB31" s="133"/>
      <c r="AC31" s="37">
        <f t="shared" si="33"/>
        <v>59</v>
      </c>
      <c r="AD31" s="47">
        <f t="shared" si="33"/>
        <v>61</v>
      </c>
      <c r="AE31" s="47">
        <v>62</v>
      </c>
      <c r="AF31" s="47">
        <f t="shared" si="49"/>
        <v>62</v>
      </c>
      <c r="AG31" s="47">
        <f t="shared" si="41"/>
        <v>61</v>
      </c>
      <c r="AH31" s="47">
        <f t="shared" si="34"/>
        <v>59</v>
      </c>
      <c r="AI31" s="134"/>
      <c r="AJ31" s="58">
        <f t="shared" si="52"/>
        <v>93</v>
      </c>
      <c r="AK31" s="53">
        <v>92</v>
      </c>
      <c r="AL31" s="53">
        <v>92</v>
      </c>
      <c r="AM31" s="53">
        <f t="shared" si="42"/>
        <v>92</v>
      </c>
      <c r="AN31" s="53">
        <v>91</v>
      </c>
      <c r="AO31" s="53">
        <v>91</v>
      </c>
      <c r="AP31" s="131">
        <v>91</v>
      </c>
      <c r="AQ31" s="53">
        <v>93</v>
      </c>
      <c r="AR31" s="53">
        <v>90</v>
      </c>
      <c r="AS31" s="53">
        <v>89</v>
      </c>
      <c r="AT31" s="53">
        <v>89</v>
      </c>
      <c r="AU31" s="53">
        <v>89</v>
      </c>
      <c r="AV31" s="53">
        <v>91</v>
      </c>
      <c r="AW31" s="53">
        <v>93</v>
      </c>
      <c r="AX31" s="106">
        <v>116</v>
      </c>
      <c r="AY31" s="107">
        <v>115</v>
      </c>
      <c r="AZ31" s="107">
        <v>115</v>
      </c>
      <c r="BA31" s="107">
        <v>114</v>
      </c>
      <c r="BB31" s="107">
        <v>114</v>
      </c>
      <c r="BC31" s="107">
        <v>113</v>
      </c>
      <c r="BD31" s="70">
        <v>115</v>
      </c>
      <c r="BE31" s="107"/>
      <c r="BF31" s="107"/>
      <c r="BG31" s="107"/>
      <c r="BH31" s="107"/>
      <c r="BI31" s="107"/>
      <c r="BJ31" s="107"/>
      <c r="BK31" s="108"/>
      <c r="BL31" s="30">
        <v>81</v>
      </c>
      <c r="BM31" s="31">
        <f t="shared" si="36"/>
        <v>81</v>
      </c>
      <c r="BN31" s="31">
        <f t="shared" si="5"/>
        <v>81</v>
      </c>
      <c r="BO31" s="31">
        <f t="shared" si="6"/>
        <v>81</v>
      </c>
      <c r="BP31" s="31">
        <f t="shared" si="7"/>
        <v>81</v>
      </c>
      <c r="BQ31" s="31">
        <f t="shared" si="8"/>
        <v>81</v>
      </c>
      <c r="BR31" s="32">
        <f t="shared" si="26"/>
        <v>81</v>
      </c>
      <c r="BS31" s="31">
        <f t="shared" si="27"/>
        <v>80</v>
      </c>
      <c r="BT31" s="31">
        <v>79</v>
      </c>
      <c r="BU31" s="31">
        <f t="shared" si="29"/>
        <v>78</v>
      </c>
      <c r="BV31" s="31">
        <v>80</v>
      </c>
      <c r="BW31" s="31">
        <f t="shared" si="10"/>
        <v>82</v>
      </c>
      <c r="BX31" s="31">
        <f t="shared" si="37"/>
        <v>84</v>
      </c>
      <c r="BY31" s="31">
        <f t="shared" si="11"/>
        <v>87</v>
      </c>
      <c r="BZ31" s="37">
        <f t="shared" si="40"/>
        <v>71</v>
      </c>
      <c r="CA31" s="47">
        <f t="shared" si="12"/>
        <v>75</v>
      </c>
      <c r="CB31" s="47">
        <f t="shared" si="13"/>
        <v>76</v>
      </c>
      <c r="CC31" s="47">
        <f t="shared" si="14"/>
        <v>77</v>
      </c>
      <c r="CD31" s="47">
        <f t="shared" si="30"/>
        <v>76</v>
      </c>
      <c r="CE31" s="47">
        <f t="shared" si="38"/>
        <v>75</v>
      </c>
      <c r="CF31" s="133"/>
      <c r="CG31" s="37">
        <f t="shared" si="15"/>
        <v>72</v>
      </c>
      <c r="CH31" s="47">
        <f t="shared" si="16"/>
        <v>74</v>
      </c>
      <c r="CI31" s="47">
        <f t="shared" si="31"/>
        <v>74</v>
      </c>
      <c r="CJ31" s="47">
        <v>74</v>
      </c>
      <c r="CK31" s="47">
        <f t="shared" si="18"/>
        <v>74</v>
      </c>
      <c r="CL31" s="47">
        <f t="shared" si="19"/>
        <v>73</v>
      </c>
      <c r="CM31" s="134"/>
    </row>
    <row r="32" spans="1:91">
      <c r="A32" s="273" t="s">
        <v>110</v>
      </c>
      <c r="B32" s="273"/>
      <c r="C32" s="1"/>
      <c r="G32" s="84">
        <v>28</v>
      </c>
      <c r="H32" s="30">
        <v>58</v>
      </c>
      <c r="I32" s="31">
        <f>I30+1</f>
        <v>62</v>
      </c>
      <c r="J32" s="31">
        <f t="shared" si="20"/>
        <v>63</v>
      </c>
      <c r="K32" s="31">
        <f t="shared" si="46"/>
        <v>64</v>
      </c>
      <c r="L32" s="31">
        <f t="shared" si="46"/>
        <v>64</v>
      </c>
      <c r="M32" s="31">
        <f t="shared" si="21"/>
        <v>63</v>
      </c>
      <c r="N32" s="32">
        <f t="shared" si="21"/>
        <v>61</v>
      </c>
      <c r="O32" s="31">
        <f t="shared" si="39"/>
        <v>61</v>
      </c>
      <c r="P32" s="31">
        <f t="shared" si="44"/>
        <v>60</v>
      </c>
      <c r="Q32" s="31">
        <f t="shared" si="43"/>
        <v>60</v>
      </c>
      <c r="R32" s="31">
        <f t="shared" si="22"/>
        <v>62</v>
      </c>
      <c r="S32" s="31">
        <f t="shared" si="51"/>
        <v>65</v>
      </c>
      <c r="T32" s="31">
        <f t="shared" si="48"/>
        <v>69</v>
      </c>
      <c r="U32" s="31">
        <f t="shared" si="32"/>
        <v>73</v>
      </c>
      <c r="V32" s="37">
        <v>55</v>
      </c>
      <c r="W32" s="47">
        <f t="shared" si="23"/>
        <v>61</v>
      </c>
      <c r="X32" s="47">
        <f t="shared" si="23"/>
        <v>63</v>
      </c>
      <c r="Y32" s="47">
        <f t="shared" si="24"/>
        <v>64</v>
      </c>
      <c r="Z32" s="47">
        <f t="shared" si="47"/>
        <v>62</v>
      </c>
      <c r="AA32" s="47">
        <f t="shared" si="45"/>
        <v>58</v>
      </c>
      <c r="AB32" s="133"/>
      <c r="AC32" s="37">
        <f t="shared" si="33"/>
        <v>59</v>
      </c>
      <c r="AD32" s="47">
        <f t="shared" si="33"/>
        <v>62</v>
      </c>
      <c r="AE32" s="47">
        <f t="shared" si="50"/>
        <v>63</v>
      </c>
      <c r="AF32" s="47">
        <f t="shared" si="49"/>
        <v>63</v>
      </c>
      <c r="AG32" s="47">
        <f t="shared" si="41"/>
        <v>62</v>
      </c>
      <c r="AH32" s="47">
        <f t="shared" si="34"/>
        <v>59</v>
      </c>
      <c r="AI32" s="134"/>
      <c r="AJ32" s="58">
        <v>94</v>
      </c>
      <c r="AK32" s="53">
        <v>94</v>
      </c>
      <c r="AL32" s="53">
        <v>93</v>
      </c>
      <c r="AM32" s="53">
        <f t="shared" si="42"/>
        <v>93</v>
      </c>
      <c r="AN32" s="53">
        <v>93</v>
      </c>
      <c r="AO32" s="53">
        <v>93</v>
      </c>
      <c r="AP32" s="131">
        <v>93</v>
      </c>
      <c r="AQ32" s="53">
        <v>94</v>
      </c>
      <c r="AR32" s="53">
        <v>92</v>
      </c>
      <c r="AS32" s="53">
        <v>90</v>
      </c>
      <c r="AT32" s="53">
        <v>90</v>
      </c>
      <c r="AU32" s="53">
        <v>91</v>
      </c>
      <c r="AV32" s="53">
        <v>92</v>
      </c>
      <c r="AW32" s="53">
        <v>95</v>
      </c>
      <c r="AX32" s="106"/>
      <c r="AY32" s="107"/>
      <c r="AZ32" s="107"/>
      <c r="BA32" s="107"/>
      <c r="BB32" s="107"/>
      <c r="BC32" s="107"/>
      <c r="BD32" s="108"/>
      <c r="BE32" s="107"/>
      <c r="BF32" s="107"/>
      <c r="BG32" s="107"/>
      <c r="BH32" s="107"/>
      <c r="BI32" s="107"/>
      <c r="BJ32" s="107"/>
      <c r="BK32" s="108"/>
      <c r="BL32" s="30">
        <f t="shared" si="35"/>
        <v>82</v>
      </c>
      <c r="BM32" s="31">
        <f t="shared" si="36"/>
        <v>82</v>
      </c>
      <c r="BN32" s="31">
        <f t="shared" si="5"/>
        <v>82</v>
      </c>
      <c r="BO32" s="31">
        <f t="shared" si="6"/>
        <v>82</v>
      </c>
      <c r="BP32" s="31">
        <f t="shared" si="7"/>
        <v>82</v>
      </c>
      <c r="BQ32" s="31">
        <f t="shared" si="8"/>
        <v>82</v>
      </c>
      <c r="BR32" s="32">
        <f t="shared" si="26"/>
        <v>82</v>
      </c>
      <c r="BS32" s="31">
        <v>82</v>
      </c>
      <c r="BT32" s="31">
        <f t="shared" si="28"/>
        <v>80</v>
      </c>
      <c r="BU32" s="31">
        <v>80</v>
      </c>
      <c r="BV32" s="31">
        <f t="shared" si="9"/>
        <v>81</v>
      </c>
      <c r="BW32" s="31">
        <f t="shared" si="10"/>
        <v>83</v>
      </c>
      <c r="BX32" s="31">
        <f t="shared" si="37"/>
        <v>85</v>
      </c>
      <c r="BY32" s="31">
        <f t="shared" si="11"/>
        <v>88</v>
      </c>
      <c r="BZ32" s="37">
        <f t="shared" si="40"/>
        <v>72</v>
      </c>
      <c r="CA32" s="47">
        <f t="shared" si="12"/>
        <v>76</v>
      </c>
      <c r="CB32" s="47">
        <f t="shared" si="13"/>
        <v>77</v>
      </c>
      <c r="CC32" s="47">
        <f t="shared" si="14"/>
        <v>78</v>
      </c>
      <c r="CD32" s="47">
        <f t="shared" si="30"/>
        <v>77</v>
      </c>
      <c r="CE32" s="47">
        <f t="shared" si="38"/>
        <v>76</v>
      </c>
      <c r="CF32" s="133"/>
      <c r="CG32" s="37">
        <f t="shared" si="15"/>
        <v>73</v>
      </c>
      <c r="CH32" s="47">
        <f t="shared" si="16"/>
        <v>75</v>
      </c>
      <c r="CI32" s="47">
        <f t="shared" si="31"/>
        <v>75</v>
      </c>
      <c r="CJ32" s="47">
        <f t="shared" si="17"/>
        <v>75</v>
      </c>
      <c r="CK32" s="47">
        <f t="shared" si="18"/>
        <v>75</v>
      </c>
      <c r="CL32" s="47">
        <f t="shared" si="19"/>
        <v>74</v>
      </c>
      <c r="CM32" s="134"/>
    </row>
    <row r="33" spans="7:92">
      <c r="G33" s="84">
        <v>29</v>
      </c>
      <c r="H33" s="30">
        <v>59</v>
      </c>
      <c r="I33" s="31">
        <f t="shared" ref="I33:I96" si="53">I31+1</f>
        <v>62</v>
      </c>
      <c r="J33" s="31">
        <f t="shared" si="20"/>
        <v>64</v>
      </c>
      <c r="K33" s="31">
        <f t="shared" si="46"/>
        <v>65</v>
      </c>
      <c r="L33" s="31">
        <f t="shared" si="46"/>
        <v>64</v>
      </c>
      <c r="M33" s="31">
        <f t="shared" si="21"/>
        <v>63</v>
      </c>
      <c r="N33" s="32">
        <f t="shared" si="21"/>
        <v>62</v>
      </c>
      <c r="O33" s="31">
        <f t="shared" si="39"/>
        <v>61</v>
      </c>
      <c r="P33" s="31">
        <f t="shared" si="44"/>
        <v>60</v>
      </c>
      <c r="Q33" s="31">
        <f t="shared" si="43"/>
        <v>61</v>
      </c>
      <c r="R33" s="31">
        <f t="shared" si="22"/>
        <v>63</v>
      </c>
      <c r="S33" s="31">
        <v>65</v>
      </c>
      <c r="T33" s="31">
        <f t="shared" si="48"/>
        <v>69</v>
      </c>
      <c r="U33" s="31">
        <f t="shared" si="32"/>
        <v>73</v>
      </c>
      <c r="V33" s="37">
        <v>56</v>
      </c>
      <c r="W33" s="47">
        <f t="shared" si="23"/>
        <v>61</v>
      </c>
      <c r="X33" s="47">
        <f t="shared" si="23"/>
        <v>64</v>
      </c>
      <c r="Y33" s="47">
        <f t="shared" si="24"/>
        <v>64</v>
      </c>
      <c r="Z33" s="47">
        <f t="shared" si="47"/>
        <v>62</v>
      </c>
      <c r="AA33" s="47">
        <f t="shared" si="45"/>
        <v>58</v>
      </c>
      <c r="AB33" s="133"/>
      <c r="AC33" s="37">
        <f t="shared" si="33"/>
        <v>60</v>
      </c>
      <c r="AD33" s="47">
        <f t="shared" si="33"/>
        <v>62</v>
      </c>
      <c r="AE33" s="47">
        <f t="shared" si="50"/>
        <v>63</v>
      </c>
      <c r="AF33" s="47">
        <f t="shared" si="49"/>
        <v>63</v>
      </c>
      <c r="AG33" s="47">
        <f t="shared" si="41"/>
        <v>62</v>
      </c>
      <c r="AH33" s="47">
        <f t="shared" si="34"/>
        <v>60</v>
      </c>
      <c r="AI33" s="134"/>
      <c r="AJ33" s="58">
        <f t="shared" si="52"/>
        <v>96</v>
      </c>
      <c r="AK33" s="53">
        <v>95</v>
      </c>
      <c r="AL33" s="53">
        <v>95</v>
      </c>
      <c r="AM33" s="53">
        <f t="shared" si="42"/>
        <v>95</v>
      </c>
      <c r="AN33" s="53">
        <v>94</v>
      </c>
      <c r="AO33" s="53">
        <v>94</v>
      </c>
      <c r="AP33" s="131">
        <v>94</v>
      </c>
      <c r="AQ33" s="53">
        <v>96</v>
      </c>
      <c r="AR33" s="53">
        <v>93</v>
      </c>
      <c r="AS33" s="53">
        <v>92</v>
      </c>
      <c r="AT33" s="53">
        <v>92</v>
      </c>
      <c r="AU33" s="53">
        <v>92</v>
      </c>
      <c r="AV33" s="53">
        <v>94</v>
      </c>
      <c r="AW33" s="53">
        <v>96</v>
      </c>
      <c r="AX33" s="106"/>
      <c r="AY33" s="107"/>
      <c r="AZ33" s="107"/>
      <c r="BA33" s="107"/>
      <c r="BB33" s="107"/>
      <c r="BC33" s="107"/>
      <c r="BD33" s="108"/>
      <c r="BE33" s="107"/>
      <c r="BF33" s="107"/>
      <c r="BG33" s="107"/>
      <c r="BH33" s="107"/>
      <c r="BI33" s="107"/>
      <c r="BJ33" s="107"/>
      <c r="BK33" s="108"/>
      <c r="BL33" s="30">
        <f t="shared" si="35"/>
        <v>83</v>
      </c>
      <c r="BM33" s="31">
        <f t="shared" si="36"/>
        <v>83</v>
      </c>
      <c r="BN33" s="31">
        <f t="shared" si="5"/>
        <v>83</v>
      </c>
      <c r="BO33" s="31">
        <f t="shared" si="6"/>
        <v>83</v>
      </c>
      <c r="BP33" s="31">
        <f t="shared" si="7"/>
        <v>83</v>
      </c>
      <c r="BQ33" s="31">
        <f t="shared" si="8"/>
        <v>83</v>
      </c>
      <c r="BR33" s="32">
        <f t="shared" si="26"/>
        <v>83</v>
      </c>
      <c r="BS33" s="31">
        <f t="shared" si="27"/>
        <v>83</v>
      </c>
      <c r="BT33" s="31">
        <f t="shared" si="28"/>
        <v>81</v>
      </c>
      <c r="BU33" s="31">
        <f t="shared" si="29"/>
        <v>81</v>
      </c>
      <c r="BV33" s="31">
        <f t="shared" si="9"/>
        <v>82</v>
      </c>
      <c r="BW33" s="31">
        <f t="shared" si="10"/>
        <v>84</v>
      </c>
      <c r="BX33" s="31">
        <f t="shared" si="37"/>
        <v>86</v>
      </c>
      <c r="BY33" s="31">
        <f t="shared" si="11"/>
        <v>89</v>
      </c>
      <c r="BZ33" s="37">
        <f t="shared" si="40"/>
        <v>73</v>
      </c>
      <c r="CA33" s="47">
        <f t="shared" si="12"/>
        <v>77</v>
      </c>
      <c r="CB33" s="47">
        <f t="shared" si="13"/>
        <v>78</v>
      </c>
      <c r="CC33" s="47">
        <v>78</v>
      </c>
      <c r="CD33" s="47">
        <f t="shared" si="30"/>
        <v>78</v>
      </c>
      <c r="CE33" s="47">
        <v>76</v>
      </c>
      <c r="CF33" s="133"/>
      <c r="CG33" s="37">
        <f t="shared" si="15"/>
        <v>74</v>
      </c>
      <c r="CH33" s="47">
        <f t="shared" si="16"/>
        <v>76</v>
      </c>
      <c r="CI33" s="47">
        <f t="shared" si="31"/>
        <v>76</v>
      </c>
      <c r="CJ33" s="47">
        <f t="shared" si="17"/>
        <v>76</v>
      </c>
      <c r="CK33" s="47">
        <f t="shared" si="18"/>
        <v>76</v>
      </c>
      <c r="CL33" s="47">
        <f t="shared" si="19"/>
        <v>75</v>
      </c>
      <c r="CM33" s="134"/>
    </row>
    <row r="34" spans="7:92">
      <c r="G34" s="84">
        <v>30</v>
      </c>
      <c r="H34" s="30">
        <v>60</v>
      </c>
      <c r="I34" s="31">
        <f t="shared" si="53"/>
        <v>63</v>
      </c>
      <c r="J34" s="31">
        <f t="shared" si="20"/>
        <v>64</v>
      </c>
      <c r="K34" s="31">
        <f t="shared" si="46"/>
        <v>65</v>
      </c>
      <c r="L34" s="31">
        <f t="shared" si="46"/>
        <v>65</v>
      </c>
      <c r="M34" s="31">
        <f t="shared" si="21"/>
        <v>64</v>
      </c>
      <c r="N34" s="32">
        <f t="shared" si="21"/>
        <v>62</v>
      </c>
      <c r="O34" s="31">
        <f t="shared" si="39"/>
        <v>62</v>
      </c>
      <c r="P34" s="31">
        <f t="shared" si="44"/>
        <v>61</v>
      </c>
      <c r="Q34" s="31">
        <f t="shared" si="43"/>
        <v>61</v>
      </c>
      <c r="R34" s="31">
        <f t="shared" si="22"/>
        <v>63</v>
      </c>
      <c r="S34" s="31">
        <f t="shared" si="51"/>
        <v>66</v>
      </c>
      <c r="T34" s="31">
        <f t="shared" si="48"/>
        <v>70</v>
      </c>
      <c r="U34" s="31">
        <v>73</v>
      </c>
      <c r="V34" s="37">
        <v>56</v>
      </c>
      <c r="W34" s="47">
        <f t="shared" si="23"/>
        <v>62</v>
      </c>
      <c r="X34" s="47">
        <f t="shared" si="23"/>
        <v>64</v>
      </c>
      <c r="Y34" s="47">
        <v>64</v>
      </c>
      <c r="Z34" s="47">
        <f t="shared" si="47"/>
        <v>63</v>
      </c>
      <c r="AA34" s="47">
        <f t="shared" si="45"/>
        <v>59</v>
      </c>
      <c r="AB34" s="133"/>
      <c r="AC34" s="37">
        <v>61</v>
      </c>
      <c r="AD34" s="47">
        <f t="shared" ref="AD34:AF96" si="54">AD32+1</f>
        <v>63</v>
      </c>
      <c r="AE34" s="47">
        <f t="shared" si="50"/>
        <v>64</v>
      </c>
      <c r="AF34" s="47">
        <f t="shared" si="49"/>
        <v>64</v>
      </c>
      <c r="AG34" s="47">
        <f t="shared" si="41"/>
        <v>63</v>
      </c>
      <c r="AH34" s="47">
        <f t="shared" si="34"/>
        <v>60</v>
      </c>
      <c r="AI34" s="134"/>
      <c r="AJ34" s="58">
        <f t="shared" si="52"/>
        <v>98</v>
      </c>
      <c r="AK34" s="53">
        <v>97</v>
      </c>
      <c r="AL34" s="53">
        <v>96</v>
      </c>
      <c r="AM34" s="53">
        <f t="shared" si="42"/>
        <v>96</v>
      </c>
      <c r="AN34" s="53">
        <v>96</v>
      </c>
      <c r="AO34" s="53">
        <v>96</v>
      </c>
      <c r="AP34" s="131">
        <v>96</v>
      </c>
      <c r="AQ34" s="53">
        <v>97</v>
      </c>
      <c r="AR34" s="53">
        <v>95</v>
      </c>
      <c r="AS34" s="53">
        <v>93</v>
      </c>
      <c r="AT34" s="53">
        <v>93</v>
      </c>
      <c r="AU34" s="53">
        <v>94</v>
      </c>
      <c r="AV34" s="53">
        <v>95</v>
      </c>
      <c r="AW34" s="53">
        <v>98</v>
      </c>
      <c r="AX34" s="106"/>
      <c r="AY34" s="107"/>
      <c r="AZ34" s="107"/>
      <c r="BA34" s="107"/>
      <c r="BB34" s="107"/>
      <c r="BC34" s="107"/>
      <c r="BD34" s="108"/>
      <c r="BE34" s="107"/>
      <c r="BF34" s="107"/>
      <c r="BG34" s="107"/>
      <c r="BH34" s="107"/>
      <c r="BI34" s="107"/>
      <c r="BJ34" s="107"/>
      <c r="BK34" s="108"/>
      <c r="BL34" s="30">
        <v>85</v>
      </c>
      <c r="BM34" s="31">
        <f t="shared" si="36"/>
        <v>84</v>
      </c>
      <c r="BN34" s="31">
        <f t="shared" si="5"/>
        <v>84</v>
      </c>
      <c r="BO34" s="31">
        <f t="shared" si="6"/>
        <v>84</v>
      </c>
      <c r="BP34" s="31">
        <f t="shared" si="7"/>
        <v>84</v>
      </c>
      <c r="BQ34" s="31">
        <f t="shared" si="8"/>
        <v>84</v>
      </c>
      <c r="BR34" s="32">
        <v>85</v>
      </c>
      <c r="BS34" s="31">
        <f t="shared" si="27"/>
        <v>84</v>
      </c>
      <c r="BT34" s="31">
        <f t="shared" si="28"/>
        <v>82</v>
      </c>
      <c r="BU34" s="31">
        <f t="shared" si="29"/>
        <v>82</v>
      </c>
      <c r="BV34" s="31">
        <f t="shared" si="9"/>
        <v>83</v>
      </c>
      <c r="BW34" s="31">
        <f t="shared" si="10"/>
        <v>85</v>
      </c>
      <c r="BX34" s="31">
        <f t="shared" si="37"/>
        <v>87</v>
      </c>
      <c r="BY34" s="31">
        <v>89</v>
      </c>
      <c r="BZ34" s="37">
        <v>75</v>
      </c>
      <c r="CA34" s="47">
        <f t="shared" si="12"/>
        <v>78</v>
      </c>
      <c r="CB34" s="47">
        <f t="shared" si="13"/>
        <v>79</v>
      </c>
      <c r="CC34" s="47">
        <f t="shared" si="14"/>
        <v>79</v>
      </c>
      <c r="CD34" s="47">
        <f t="shared" si="30"/>
        <v>79</v>
      </c>
      <c r="CE34" s="47">
        <f t="shared" si="38"/>
        <v>77</v>
      </c>
      <c r="CF34" s="133"/>
      <c r="CG34" s="37">
        <v>76</v>
      </c>
      <c r="CH34" s="47">
        <v>76</v>
      </c>
      <c r="CI34" s="47">
        <f t="shared" si="31"/>
        <v>77</v>
      </c>
      <c r="CJ34" s="47">
        <f t="shared" si="17"/>
        <v>77</v>
      </c>
      <c r="CK34" s="47">
        <f t="shared" si="18"/>
        <v>77</v>
      </c>
      <c r="CL34" s="47">
        <f t="shared" si="19"/>
        <v>76</v>
      </c>
      <c r="CM34" s="134"/>
    </row>
    <row r="35" spans="7:92">
      <c r="G35" s="84">
        <v>31</v>
      </c>
      <c r="H35" s="30">
        <v>60</v>
      </c>
      <c r="I35" s="31">
        <f t="shared" si="53"/>
        <v>63</v>
      </c>
      <c r="J35" s="31">
        <f t="shared" si="20"/>
        <v>65</v>
      </c>
      <c r="K35" s="31">
        <f t="shared" si="46"/>
        <v>66</v>
      </c>
      <c r="L35" s="31">
        <f t="shared" si="46"/>
        <v>65</v>
      </c>
      <c r="M35" s="31">
        <f t="shared" si="21"/>
        <v>64</v>
      </c>
      <c r="N35" s="32">
        <f t="shared" si="21"/>
        <v>63</v>
      </c>
      <c r="O35" s="31">
        <v>63</v>
      </c>
      <c r="P35" s="31">
        <f t="shared" si="44"/>
        <v>61</v>
      </c>
      <c r="Q35" s="31">
        <f t="shared" si="43"/>
        <v>62</v>
      </c>
      <c r="R35" s="31">
        <f t="shared" si="22"/>
        <v>64</v>
      </c>
      <c r="S35" s="31">
        <f t="shared" si="51"/>
        <v>66</v>
      </c>
      <c r="T35" s="31">
        <f t="shared" si="48"/>
        <v>70</v>
      </c>
      <c r="U35" s="31">
        <f t="shared" si="32"/>
        <v>74</v>
      </c>
      <c r="V35" s="37">
        <v>57</v>
      </c>
      <c r="W35" s="47">
        <f t="shared" si="23"/>
        <v>62</v>
      </c>
      <c r="X35" s="47">
        <f t="shared" si="23"/>
        <v>65</v>
      </c>
      <c r="Y35" s="47">
        <f t="shared" si="24"/>
        <v>65</v>
      </c>
      <c r="Z35" s="47">
        <f t="shared" si="47"/>
        <v>63</v>
      </c>
      <c r="AA35" s="47">
        <f t="shared" si="45"/>
        <v>59</v>
      </c>
      <c r="AB35" s="133"/>
      <c r="AC35" s="37">
        <f t="shared" si="33"/>
        <v>61</v>
      </c>
      <c r="AD35" s="47">
        <f t="shared" si="54"/>
        <v>63</v>
      </c>
      <c r="AE35" s="47">
        <f t="shared" si="50"/>
        <v>64</v>
      </c>
      <c r="AF35" s="47">
        <f t="shared" si="49"/>
        <v>64</v>
      </c>
      <c r="AG35" s="47">
        <f t="shared" si="41"/>
        <v>63</v>
      </c>
      <c r="AH35" s="47">
        <f t="shared" si="34"/>
        <v>61</v>
      </c>
      <c r="AI35" s="134"/>
      <c r="AJ35" s="58">
        <f t="shared" si="52"/>
        <v>100</v>
      </c>
      <c r="AK35" s="53">
        <v>99</v>
      </c>
      <c r="AL35" s="53">
        <v>98</v>
      </c>
      <c r="AM35" s="53">
        <f t="shared" si="42"/>
        <v>98</v>
      </c>
      <c r="AN35" s="53">
        <v>97</v>
      </c>
      <c r="AO35" s="53">
        <v>97</v>
      </c>
      <c r="AP35" s="131">
        <v>97</v>
      </c>
      <c r="AQ35" s="53">
        <v>99</v>
      </c>
      <c r="AR35" s="53">
        <v>96</v>
      </c>
      <c r="AS35" s="53">
        <v>95</v>
      </c>
      <c r="AT35" s="53">
        <v>95</v>
      </c>
      <c r="AU35" s="53">
        <v>95</v>
      </c>
      <c r="AV35" s="53">
        <v>97</v>
      </c>
      <c r="AW35" s="53">
        <v>99</v>
      </c>
      <c r="AX35" s="106"/>
      <c r="AY35" s="107"/>
      <c r="AZ35" s="107"/>
      <c r="BA35" s="107"/>
      <c r="BB35" s="107"/>
      <c r="BC35" s="107"/>
      <c r="BD35" s="108"/>
      <c r="BE35" s="107"/>
      <c r="BF35" s="107"/>
      <c r="BG35" s="107"/>
      <c r="BH35" s="107"/>
      <c r="BI35" s="107"/>
      <c r="BJ35" s="107"/>
      <c r="BK35" s="108"/>
      <c r="BL35" s="30">
        <f t="shared" si="35"/>
        <v>86</v>
      </c>
      <c r="BM35" s="31">
        <v>86</v>
      </c>
      <c r="BN35" s="31">
        <f t="shared" si="5"/>
        <v>85</v>
      </c>
      <c r="BO35" s="31">
        <f t="shared" si="6"/>
        <v>85</v>
      </c>
      <c r="BP35" s="31">
        <f t="shared" si="7"/>
        <v>85</v>
      </c>
      <c r="BQ35" s="31">
        <f t="shared" si="8"/>
        <v>85</v>
      </c>
      <c r="BR35" s="32">
        <f t="shared" si="26"/>
        <v>86</v>
      </c>
      <c r="BS35" s="31">
        <v>86</v>
      </c>
      <c r="BT35" s="31">
        <v>84</v>
      </c>
      <c r="BU35" s="31">
        <f t="shared" si="29"/>
        <v>83</v>
      </c>
      <c r="BV35" s="31">
        <f t="shared" si="9"/>
        <v>84</v>
      </c>
      <c r="BW35" s="31">
        <f t="shared" si="10"/>
        <v>86</v>
      </c>
      <c r="BX35" s="31">
        <f t="shared" si="37"/>
        <v>88</v>
      </c>
      <c r="BY35" s="31">
        <f t="shared" si="11"/>
        <v>90</v>
      </c>
      <c r="BZ35" s="37">
        <f t="shared" si="40"/>
        <v>76</v>
      </c>
      <c r="CA35" s="47">
        <f t="shared" si="12"/>
        <v>79</v>
      </c>
      <c r="CB35" s="47">
        <f t="shared" si="13"/>
        <v>80</v>
      </c>
      <c r="CC35" s="47">
        <f t="shared" si="14"/>
        <v>80</v>
      </c>
      <c r="CD35" s="47">
        <f t="shared" si="30"/>
        <v>80</v>
      </c>
      <c r="CE35" s="47">
        <f t="shared" si="38"/>
        <v>78</v>
      </c>
      <c r="CF35" s="133"/>
      <c r="CG35" s="37">
        <f t="shared" si="15"/>
        <v>77</v>
      </c>
      <c r="CH35" s="47">
        <f t="shared" si="16"/>
        <v>77</v>
      </c>
      <c r="CI35" s="47">
        <f t="shared" si="31"/>
        <v>78</v>
      </c>
      <c r="CJ35" s="47">
        <f t="shared" si="17"/>
        <v>78</v>
      </c>
      <c r="CK35" s="47">
        <v>77</v>
      </c>
      <c r="CL35" s="47">
        <f t="shared" si="19"/>
        <v>77</v>
      </c>
      <c r="CM35" s="134"/>
    </row>
    <row r="36" spans="7:92">
      <c r="G36" s="84">
        <v>32</v>
      </c>
      <c r="H36" s="30">
        <v>61</v>
      </c>
      <c r="I36" s="31">
        <f t="shared" si="53"/>
        <v>64</v>
      </c>
      <c r="J36" s="31">
        <f t="shared" si="20"/>
        <v>65</v>
      </c>
      <c r="K36" s="31">
        <f t="shared" si="46"/>
        <v>66</v>
      </c>
      <c r="L36" s="31">
        <f t="shared" si="46"/>
        <v>66</v>
      </c>
      <c r="M36" s="31">
        <f t="shared" si="21"/>
        <v>65</v>
      </c>
      <c r="N36" s="32">
        <f t="shared" si="21"/>
        <v>63</v>
      </c>
      <c r="O36" s="31">
        <f t="shared" si="39"/>
        <v>63</v>
      </c>
      <c r="P36" s="31">
        <f t="shared" si="44"/>
        <v>62</v>
      </c>
      <c r="Q36" s="31">
        <f t="shared" si="43"/>
        <v>62</v>
      </c>
      <c r="R36" s="31">
        <f t="shared" si="22"/>
        <v>64</v>
      </c>
      <c r="S36" s="31">
        <f t="shared" si="51"/>
        <v>67</v>
      </c>
      <c r="T36" s="31">
        <v>70</v>
      </c>
      <c r="U36" s="31">
        <f t="shared" si="32"/>
        <v>74</v>
      </c>
      <c r="V36" s="37">
        <v>58</v>
      </c>
      <c r="W36" s="47">
        <f t="shared" si="23"/>
        <v>63</v>
      </c>
      <c r="X36" s="47">
        <f t="shared" si="23"/>
        <v>65</v>
      </c>
      <c r="Y36" s="47">
        <f t="shared" si="24"/>
        <v>65</v>
      </c>
      <c r="Z36" s="47">
        <f t="shared" si="47"/>
        <v>64</v>
      </c>
      <c r="AA36" s="47">
        <f t="shared" si="45"/>
        <v>60</v>
      </c>
      <c r="AB36" s="133"/>
      <c r="AC36" s="37">
        <f t="shared" si="33"/>
        <v>62</v>
      </c>
      <c r="AD36" s="47">
        <f t="shared" si="54"/>
        <v>64</v>
      </c>
      <c r="AE36" s="47">
        <f t="shared" si="50"/>
        <v>65</v>
      </c>
      <c r="AF36" s="47">
        <v>64</v>
      </c>
      <c r="AG36" s="47">
        <v>63</v>
      </c>
      <c r="AH36" s="47">
        <f t="shared" si="34"/>
        <v>61</v>
      </c>
      <c r="AI36" s="134"/>
      <c r="AJ36" s="58">
        <v>103</v>
      </c>
      <c r="AK36" s="53">
        <v>101</v>
      </c>
      <c r="AL36" s="53">
        <v>100</v>
      </c>
      <c r="AM36" s="53">
        <f t="shared" si="42"/>
        <v>99</v>
      </c>
      <c r="AN36" s="53">
        <v>99</v>
      </c>
      <c r="AO36" s="53">
        <v>99</v>
      </c>
      <c r="AP36" s="131">
        <v>99</v>
      </c>
      <c r="AQ36" s="53">
        <v>101</v>
      </c>
      <c r="AR36" s="53">
        <v>98</v>
      </c>
      <c r="AS36" s="53">
        <v>96</v>
      </c>
      <c r="AT36" s="53">
        <v>96</v>
      </c>
      <c r="AU36" s="53">
        <v>97</v>
      </c>
      <c r="AV36" s="53">
        <v>98</v>
      </c>
      <c r="AW36" s="53">
        <v>101</v>
      </c>
      <c r="AX36" s="106"/>
      <c r="AY36" s="107"/>
      <c r="AZ36" s="107"/>
      <c r="BA36" s="107"/>
      <c r="BB36" s="107"/>
      <c r="BC36" s="107"/>
      <c r="BD36" s="108"/>
      <c r="BE36" s="107"/>
      <c r="BF36" s="107"/>
      <c r="BG36" s="107"/>
      <c r="BH36" s="107"/>
      <c r="BI36" s="107"/>
      <c r="BJ36" s="107"/>
      <c r="BK36" s="108"/>
      <c r="BL36" s="30">
        <v>88</v>
      </c>
      <c r="BM36" s="31">
        <f t="shared" si="36"/>
        <v>87</v>
      </c>
      <c r="BN36" s="31">
        <f t="shared" si="5"/>
        <v>86</v>
      </c>
      <c r="BO36" s="31">
        <f t="shared" si="6"/>
        <v>86</v>
      </c>
      <c r="BP36" s="31">
        <f t="shared" si="7"/>
        <v>86</v>
      </c>
      <c r="BQ36" s="31">
        <v>87</v>
      </c>
      <c r="BR36" s="32">
        <f t="shared" si="26"/>
        <v>87</v>
      </c>
      <c r="BS36" s="31">
        <f t="shared" si="27"/>
        <v>87</v>
      </c>
      <c r="BT36" s="31">
        <f t="shared" si="28"/>
        <v>85</v>
      </c>
      <c r="BU36" s="31">
        <f t="shared" si="29"/>
        <v>84</v>
      </c>
      <c r="BV36" s="31">
        <f t="shared" si="9"/>
        <v>85</v>
      </c>
      <c r="BW36" s="31">
        <f t="shared" si="10"/>
        <v>87</v>
      </c>
      <c r="BX36" s="31">
        <f t="shared" si="37"/>
        <v>89</v>
      </c>
      <c r="BY36" s="31">
        <f t="shared" si="11"/>
        <v>91</v>
      </c>
      <c r="BZ36" s="37">
        <f t="shared" si="40"/>
        <v>77</v>
      </c>
      <c r="CA36" s="47">
        <f t="shared" si="12"/>
        <v>80</v>
      </c>
      <c r="CB36" s="47">
        <f t="shared" si="13"/>
        <v>81</v>
      </c>
      <c r="CC36" s="47">
        <f t="shared" si="14"/>
        <v>81</v>
      </c>
      <c r="CD36" s="47">
        <v>80</v>
      </c>
      <c r="CE36" s="47">
        <f t="shared" si="38"/>
        <v>79</v>
      </c>
      <c r="CF36" s="133"/>
      <c r="CG36" s="37">
        <f t="shared" si="15"/>
        <v>78</v>
      </c>
      <c r="CH36" s="47">
        <f t="shared" si="16"/>
        <v>78</v>
      </c>
      <c r="CI36" s="47">
        <f t="shared" si="31"/>
        <v>79</v>
      </c>
      <c r="CJ36" s="47">
        <v>78</v>
      </c>
      <c r="CK36" s="47">
        <f t="shared" si="18"/>
        <v>78</v>
      </c>
      <c r="CL36" s="47">
        <f t="shared" si="19"/>
        <v>78</v>
      </c>
      <c r="CM36" s="134"/>
    </row>
    <row r="37" spans="7:92">
      <c r="G37" s="84">
        <v>33</v>
      </c>
      <c r="H37" s="30">
        <v>62</v>
      </c>
      <c r="I37" s="31">
        <f t="shared" si="53"/>
        <v>64</v>
      </c>
      <c r="J37" s="31">
        <f t="shared" si="20"/>
        <v>66</v>
      </c>
      <c r="K37" s="31">
        <f t="shared" si="46"/>
        <v>67</v>
      </c>
      <c r="L37" s="31">
        <f t="shared" si="46"/>
        <v>66</v>
      </c>
      <c r="M37" s="31">
        <f t="shared" si="21"/>
        <v>65</v>
      </c>
      <c r="N37" s="32">
        <f t="shared" si="21"/>
        <v>64</v>
      </c>
      <c r="O37" s="31">
        <f t="shared" si="39"/>
        <v>64</v>
      </c>
      <c r="P37" s="31">
        <v>63</v>
      </c>
      <c r="Q37" s="31">
        <f t="shared" si="43"/>
        <v>63</v>
      </c>
      <c r="R37" s="31">
        <f t="shared" si="22"/>
        <v>65</v>
      </c>
      <c r="S37" s="31">
        <f t="shared" si="51"/>
        <v>67</v>
      </c>
      <c r="T37" s="31">
        <f t="shared" si="48"/>
        <v>71</v>
      </c>
      <c r="U37" s="31">
        <v>75</v>
      </c>
      <c r="V37" s="37">
        <v>58</v>
      </c>
      <c r="W37" s="47">
        <f t="shared" si="23"/>
        <v>63</v>
      </c>
      <c r="X37" s="47">
        <f t="shared" si="23"/>
        <v>66</v>
      </c>
      <c r="Y37" s="47">
        <f t="shared" si="24"/>
        <v>66</v>
      </c>
      <c r="Z37" s="47">
        <f t="shared" si="47"/>
        <v>64</v>
      </c>
      <c r="AA37" s="47">
        <f t="shared" si="45"/>
        <v>60</v>
      </c>
      <c r="AB37" s="133"/>
      <c r="AC37" s="37">
        <f t="shared" si="33"/>
        <v>62</v>
      </c>
      <c r="AD37" s="47">
        <f t="shared" si="54"/>
        <v>64</v>
      </c>
      <c r="AE37" s="47">
        <f t="shared" si="50"/>
        <v>65</v>
      </c>
      <c r="AF37" s="47">
        <f t="shared" si="49"/>
        <v>65</v>
      </c>
      <c r="AG37" s="47">
        <f t="shared" si="41"/>
        <v>64</v>
      </c>
      <c r="AH37" s="47">
        <f t="shared" si="34"/>
        <v>62</v>
      </c>
      <c r="AI37" s="134"/>
      <c r="AJ37" s="58">
        <f t="shared" si="52"/>
        <v>105</v>
      </c>
      <c r="AK37" s="53">
        <v>103</v>
      </c>
      <c r="AL37" s="53">
        <v>102</v>
      </c>
      <c r="AM37" s="53">
        <v>101</v>
      </c>
      <c r="AN37" s="53">
        <v>100</v>
      </c>
      <c r="AO37" s="53">
        <v>100</v>
      </c>
      <c r="AP37" s="131">
        <v>101</v>
      </c>
      <c r="AQ37" s="53">
        <v>103</v>
      </c>
      <c r="AR37" s="53">
        <v>99</v>
      </c>
      <c r="AS37" s="53">
        <v>98</v>
      </c>
      <c r="AT37" s="53">
        <v>97</v>
      </c>
      <c r="AU37" s="53">
        <v>98</v>
      </c>
      <c r="AV37" s="53">
        <v>99</v>
      </c>
      <c r="AW37" s="53">
        <v>103</v>
      </c>
      <c r="AX37" s="106"/>
      <c r="AY37" s="107"/>
      <c r="AZ37" s="107"/>
      <c r="BA37" s="107"/>
      <c r="BB37" s="107"/>
      <c r="BC37" s="107"/>
      <c r="BD37" s="108"/>
      <c r="BE37" s="107"/>
      <c r="BF37" s="107"/>
      <c r="BG37" s="107"/>
      <c r="BH37" s="107"/>
      <c r="BI37" s="107"/>
      <c r="BJ37" s="107"/>
      <c r="BK37" s="108"/>
      <c r="BL37" s="30">
        <f t="shared" si="35"/>
        <v>89</v>
      </c>
      <c r="BM37" s="31">
        <f t="shared" si="36"/>
        <v>88</v>
      </c>
      <c r="BN37" s="31">
        <f t="shared" si="5"/>
        <v>87</v>
      </c>
      <c r="BO37" s="31">
        <f t="shared" si="6"/>
        <v>87</v>
      </c>
      <c r="BP37" s="31">
        <f t="shared" si="7"/>
        <v>87</v>
      </c>
      <c r="BQ37" s="31">
        <f t="shared" si="8"/>
        <v>88</v>
      </c>
      <c r="BR37" s="32">
        <f t="shared" si="26"/>
        <v>88</v>
      </c>
      <c r="BS37" s="31">
        <f t="shared" si="27"/>
        <v>88</v>
      </c>
      <c r="BT37" s="31">
        <f t="shared" si="28"/>
        <v>86</v>
      </c>
      <c r="BU37" s="31">
        <v>86</v>
      </c>
      <c r="BV37" s="31">
        <f t="shared" si="9"/>
        <v>86</v>
      </c>
      <c r="BW37" s="31">
        <f t="shared" si="10"/>
        <v>88</v>
      </c>
      <c r="BX37" s="31">
        <f t="shared" si="37"/>
        <v>90</v>
      </c>
      <c r="BY37" s="31">
        <f t="shared" si="11"/>
        <v>92</v>
      </c>
      <c r="BZ37" s="37">
        <f t="shared" si="40"/>
        <v>78</v>
      </c>
      <c r="CA37" s="47">
        <f t="shared" si="12"/>
        <v>81</v>
      </c>
      <c r="CB37" s="47">
        <f t="shared" si="13"/>
        <v>82</v>
      </c>
      <c r="CC37" s="47">
        <f t="shared" si="14"/>
        <v>82</v>
      </c>
      <c r="CD37" s="47">
        <f t="shared" si="30"/>
        <v>81</v>
      </c>
      <c r="CE37" s="47">
        <f t="shared" si="38"/>
        <v>80</v>
      </c>
      <c r="CF37" s="133"/>
      <c r="CG37" s="37">
        <f t="shared" si="15"/>
        <v>79</v>
      </c>
      <c r="CH37" s="47">
        <f t="shared" si="16"/>
        <v>79</v>
      </c>
      <c r="CI37" s="47">
        <v>79</v>
      </c>
      <c r="CJ37" s="47">
        <f t="shared" si="17"/>
        <v>79</v>
      </c>
      <c r="CK37" s="47">
        <f t="shared" si="18"/>
        <v>79</v>
      </c>
      <c r="CL37" s="47">
        <f t="shared" si="19"/>
        <v>79</v>
      </c>
      <c r="CM37" s="134"/>
    </row>
    <row r="38" spans="7:92">
      <c r="G38" s="84">
        <v>34</v>
      </c>
      <c r="H38" s="30">
        <v>62</v>
      </c>
      <c r="I38" s="31">
        <f t="shared" si="53"/>
        <v>65</v>
      </c>
      <c r="J38" s="31">
        <f t="shared" si="20"/>
        <v>66</v>
      </c>
      <c r="K38" s="31">
        <f t="shared" si="46"/>
        <v>67</v>
      </c>
      <c r="L38" s="31">
        <f t="shared" si="46"/>
        <v>67</v>
      </c>
      <c r="M38" s="31">
        <f t="shared" si="21"/>
        <v>66</v>
      </c>
      <c r="N38" s="32">
        <f t="shared" si="21"/>
        <v>64</v>
      </c>
      <c r="O38" s="31">
        <f t="shared" si="39"/>
        <v>64</v>
      </c>
      <c r="P38" s="31">
        <f t="shared" si="44"/>
        <v>63</v>
      </c>
      <c r="Q38" s="31">
        <f t="shared" si="43"/>
        <v>63</v>
      </c>
      <c r="R38" s="31">
        <f t="shared" si="22"/>
        <v>65</v>
      </c>
      <c r="S38" s="31">
        <f t="shared" si="51"/>
        <v>68</v>
      </c>
      <c r="T38" s="31">
        <f t="shared" si="48"/>
        <v>71</v>
      </c>
      <c r="U38" s="31">
        <v>75</v>
      </c>
      <c r="V38" s="37">
        <v>59</v>
      </c>
      <c r="W38" s="47">
        <f t="shared" si="23"/>
        <v>64</v>
      </c>
      <c r="X38" s="47">
        <f t="shared" si="23"/>
        <v>66</v>
      </c>
      <c r="Y38" s="47">
        <f t="shared" si="24"/>
        <v>66</v>
      </c>
      <c r="Z38" s="47">
        <f t="shared" si="47"/>
        <v>65</v>
      </c>
      <c r="AA38" s="47">
        <f t="shared" si="45"/>
        <v>61</v>
      </c>
      <c r="AB38" s="133"/>
      <c r="AC38" s="37">
        <f t="shared" si="33"/>
        <v>63</v>
      </c>
      <c r="AD38" s="47">
        <f t="shared" si="54"/>
        <v>65</v>
      </c>
      <c r="AE38" s="47">
        <v>65</v>
      </c>
      <c r="AF38" s="47">
        <f t="shared" si="49"/>
        <v>65</v>
      </c>
      <c r="AG38" s="47">
        <f t="shared" si="41"/>
        <v>64</v>
      </c>
      <c r="AH38" s="47">
        <f t="shared" si="34"/>
        <v>62</v>
      </c>
      <c r="AI38" s="134"/>
      <c r="AJ38" s="58">
        <v>108</v>
      </c>
      <c r="AK38" s="53">
        <v>106</v>
      </c>
      <c r="AL38" s="53">
        <v>104</v>
      </c>
      <c r="AM38" s="53">
        <v>103</v>
      </c>
      <c r="AN38" s="53">
        <v>103</v>
      </c>
      <c r="AO38" s="53">
        <v>102</v>
      </c>
      <c r="AP38" s="131">
        <v>103</v>
      </c>
      <c r="AQ38" s="53">
        <v>106</v>
      </c>
      <c r="AR38" s="53">
        <v>101</v>
      </c>
      <c r="AS38" s="53">
        <v>99</v>
      </c>
      <c r="AT38" s="53">
        <v>99</v>
      </c>
      <c r="AU38" s="53">
        <v>99</v>
      </c>
      <c r="AV38" s="53">
        <v>101</v>
      </c>
      <c r="AW38" s="53">
        <v>105</v>
      </c>
      <c r="AX38" s="106"/>
      <c r="AY38" s="107"/>
      <c r="AZ38" s="107"/>
      <c r="BA38" s="107"/>
      <c r="BB38" s="107"/>
      <c r="BC38" s="107"/>
      <c r="BD38" s="108"/>
      <c r="BE38" s="107"/>
      <c r="BF38" s="107"/>
      <c r="BG38" s="107"/>
      <c r="BH38" s="107"/>
      <c r="BI38" s="107"/>
      <c r="BJ38" s="107"/>
      <c r="BK38" s="108"/>
      <c r="BL38" s="30">
        <f t="shared" si="35"/>
        <v>90</v>
      </c>
      <c r="BM38" s="31">
        <f t="shared" si="36"/>
        <v>89</v>
      </c>
      <c r="BN38" s="31">
        <v>89</v>
      </c>
      <c r="BO38" s="31">
        <f t="shared" si="6"/>
        <v>88</v>
      </c>
      <c r="BP38" s="31">
        <f t="shared" si="7"/>
        <v>88</v>
      </c>
      <c r="BQ38" s="31">
        <f t="shared" si="8"/>
        <v>89</v>
      </c>
      <c r="BR38" s="32">
        <f t="shared" si="26"/>
        <v>89</v>
      </c>
      <c r="BS38" s="31">
        <v>90</v>
      </c>
      <c r="BT38" s="31">
        <f t="shared" si="28"/>
        <v>87</v>
      </c>
      <c r="BU38" s="31">
        <f t="shared" si="29"/>
        <v>87</v>
      </c>
      <c r="BV38" s="31">
        <f t="shared" si="9"/>
        <v>87</v>
      </c>
      <c r="BW38" s="31">
        <v>88</v>
      </c>
      <c r="BX38" s="31">
        <v>90</v>
      </c>
      <c r="BY38" s="31">
        <f t="shared" si="11"/>
        <v>93</v>
      </c>
      <c r="BZ38" s="37">
        <v>80</v>
      </c>
      <c r="CA38" s="47">
        <f t="shared" si="12"/>
        <v>82</v>
      </c>
      <c r="CB38" s="47">
        <f t="shared" si="13"/>
        <v>83</v>
      </c>
      <c r="CC38" s="47">
        <f t="shared" si="14"/>
        <v>83</v>
      </c>
      <c r="CD38" s="47">
        <f t="shared" si="30"/>
        <v>82</v>
      </c>
      <c r="CE38" s="47">
        <f t="shared" si="38"/>
        <v>81</v>
      </c>
      <c r="CF38" s="133"/>
      <c r="CG38" s="37">
        <f t="shared" si="15"/>
        <v>80</v>
      </c>
      <c r="CH38" s="47">
        <f t="shared" si="16"/>
        <v>80</v>
      </c>
      <c r="CI38" s="47">
        <f t="shared" si="31"/>
        <v>80</v>
      </c>
      <c r="CJ38" s="47">
        <f t="shared" si="17"/>
        <v>80</v>
      </c>
      <c r="CK38" s="47">
        <f t="shared" si="18"/>
        <v>80</v>
      </c>
      <c r="CL38" s="47">
        <v>79</v>
      </c>
      <c r="CM38" s="134"/>
    </row>
    <row r="39" spans="7:92">
      <c r="G39" s="84">
        <v>35</v>
      </c>
      <c r="H39" s="30">
        <v>63</v>
      </c>
      <c r="I39" s="31">
        <v>66</v>
      </c>
      <c r="J39" s="31">
        <f t="shared" si="20"/>
        <v>67</v>
      </c>
      <c r="K39" s="31">
        <f t="shared" si="46"/>
        <v>68</v>
      </c>
      <c r="L39" s="31">
        <f t="shared" si="46"/>
        <v>67</v>
      </c>
      <c r="M39" s="31">
        <f t="shared" si="21"/>
        <v>66</v>
      </c>
      <c r="N39" s="32">
        <f t="shared" si="21"/>
        <v>65</v>
      </c>
      <c r="O39" s="31">
        <f t="shared" si="39"/>
        <v>65</v>
      </c>
      <c r="P39" s="31">
        <f t="shared" si="44"/>
        <v>64</v>
      </c>
      <c r="Q39" s="31">
        <f t="shared" si="43"/>
        <v>64</v>
      </c>
      <c r="R39" s="31">
        <f t="shared" si="22"/>
        <v>66</v>
      </c>
      <c r="S39" s="31">
        <f t="shared" si="51"/>
        <v>68</v>
      </c>
      <c r="T39" s="31">
        <f t="shared" si="48"/>
        <v>72</v>
      </c>
      <c r="U39" s="31">
        <v>75</v>
      </c>
      <c r="V39" s="37">
        <v>59</v>
      </c>
      <c r="W39" s="47">
        <f t="shared" si="23"/>
        <v>64</v>
      </c>
      <c r="X39" s="47">
        <v>66</v>
      </c>
      <c r="Y39" s="47">
        <f t="shared" si="24"/>
        <v>67</v>
      </c>
      <c r="Z39" s="47">
        <f t="shared" si="47"/>
        <v>65</v>
      </c>
      <c r="AA39" s="47">
        <f t="shared" si="45"/>
        <v>61</v>
      </c>
      <c r="AB39" s="133"/>
      <c r="AC39" s="37">
        <f t="shared" si="33"/>
        <v>63</v>
      </c>
      <c r="AD39" s="47">
        <f t="shared" si="54"/>
        <v>65</v>
      </c>
      <c r="AE39" s="47">
        <f t="shared" si="50"/>
        <v>66</v>
      </c>
      <c r="AF39" s="47">
        <f t="shared" si="49"/>
        <v>66</v>
      </c>
      <c r="AG39" s="47">
        <f t="shared" si="41"/>
        <v>65</v>
      </c>
      <c r="AH39" s="47">
        <f t="shared" si="34"/>
        <v>63</v>
      </c>
      <c r="AI39" s="134"/>
      <c r="AJ39" s="58">
        <f t="shared" si="52"/>
        <v>110</v>
      </c>
      <c r="AK39" s="53">
        <v>108</v>
      </c>
      <c r="AL39" s="53">
        <v>107</v>
      </c>
      <c r="AM39" s="53">
        <v>106</v>
      </c>
      <c r="AN39" s="53">
        <v>105</v>
      </c>
      <c r="AO39" s="53">
        <v>104</v>
      </c>
      <c r="AP39" s="131">
        <v>104</v>
      </c>
      <c r="AQ39" s="53">
        <v>109</v>
      </c>
      <c r="AR39" s="53">
        <v>104</v>
      </c>
      <c r="AS39" s="53">
        <v>101</v>
      </c>
      <c r="AT39" s="53">
        <v>100</v>
      </c>
      <c r="AU39" s="53">
        <v>101</v>
      </c>
      <c r="AV39" s="53">
        <v>104</v>
      </c>
      <c r="AW39" s="53">
        <v>107</v>
      </c>
      <c r="AX39" s="106"/>
      <c r="AY39" s="107"/>
      <c r="AZ39" s="107"/>
      <c r="BA39" s="107"/>
      <c r="BB39" s="107"/>
      <c r="BC39" s="107"/>
      <c r="BD39" s="108"/>
      <c r="BE39" s="107"/>
      <c r="BF39" s="107"/>
      <c r="BG39" s="107"/>
      <c r="BH39" s="107"/>
      <c r="BI39" s="107"/>
      <c r="BJ39" s="107"/>
      <c r="BK39" s="108"/>
      <c r="BL39" s="30">
        <v>92</v>
      </c>
      <c r="BM39" s="31">
        <f t="shared" si="36"/>
        <v>90</v>
      </c>
      <c r="BN39" s="31">
        <f t="shared" si="5"/>
        <v>90</v>
      </c>
      <c r="BO39" s="31">
        <f t="shared" si="6"/>
        <v>89</v>
      </c>
      <c r="BP39" s="31">
        <f t="shared" si="7"/>
        <v>89</v>
      </c>
      <c r="BQ39" s="31">
        <f t="shared" si="8"/>
        <v>90</v>
      </c>
      <c r="BR39" s="32">
        <f t="shared" si="26"/>
        <v>90</v>
      </c>
      <c r="BS39" s="31">
        <f t="shared" si="27"/>
        <v>91</v>
      </c>
      <c r="BT39" s="31">
        <v>89</v>
      </c>
      <c r="BU39" s="31">
        <f t="shared" si="29"/>
        <v>88</v>
      </c>
      <c r="BV39" s="31">
        <f t="shared" si="9"/>
        <v>88</v>
      </c>
      <c r="BW39" s="31">
        <f t="shared" si="10"/>
        <v>89</v>
      </c>
      <c r="BX39" s="31">
        <f t="shared" si="37"/>
        <v>91</v>
      </c>
      <c r="BY39" s="31">
        <v>93</v>
      </c>
      <c r="BZ39" s="37">
        <f t="shared" si="40"/>
        <v>81</v>
      </c>
      <c r="CA39" s="47">
        <f t="shared" si="12"/>
        <v>83</v>
      </c>
      <c r="CB39" s="47">
        <v>83</v>
      </c>
      <c r="CC39" s="47">
        <v>83</v>
      </c>
      <c r="CD39" s="47">
        <f t="shared" si="30"/>
        <v>83</v>
      </c>
      <c r="CE39" s="47">
        <f t="shared" si="38"/>
        <v>82</v>
      </c>
      <c r="CF39" s="133"/>
      <c r="CG39" s="37">
        <f t="shared" si="15"/>
        <v>81</v>
      </c>
      <c r="CH39" s="47">
        <f t="shared" si="16"/>
        <v>81</v>
      </c>
      <c r="CI39" s="47">
        <f t="shared" si="31"/>
        <v>81</v>
      </c>
      <c r="CJ39" s="47">
        <f t="shared" si="17"/>
        <v>81</v>
      </c>
      <c r="CK39" s="47">
        <f t="shared" si="18"/>
        <v>81</v>
      </c>
      <c r="CL39" s="47">
        <f t="shared" si="19"/>
        <v>80</v>
      </c>
      <c r="CM39" s="134"/>
    </row>
    <row r="40" spans="7:92">
      <c r="G40" s="84">
        <v>36</v>
      </c>
      <c r="H40" s="30">
        <v>63</v>
      </c>
      <c r="I40" s="31">
        <f t="shared" si="53"/>
        <v>66</v>
      </c>
      <c r="J40" s="31">
        <v>68</v>
      </c>
      <c r="K40" s="31">
        <f t="shared" si="46"/>
        <v>68</v>
      </c>
      <c r="L40" s="31">
        <f t="shared" si="46"/>
        <v>68</v>
      </c>
      <c r="M40" s="31">
        <f t="shared" si="21"/>
        <v>67</v>
      </c>
      <c r="N40" s="32">
        <f t="shared" si="21"/>
        <v>65</v>
      </c>
      <c r="O40" s="31">
        <f t="shared" si="39"/>
        <v>65</v>
      </c>
      <c r="P40" s="31">
        <f t="shared" si="44"/>
        <v>64</v>
      </c>
      <c r="Q40" s="31">
        <f t="shared" si="43"/>
        <v>64</v>
      </c>
      <c r="R40" s="31">
        <f t="shared" si="22"/>
        <v>66</v>
      </c>
      <c r="S40" s="31">
        <f t="shared" si="51"/>
        <v>69</v>
      </c>
      <c r="T40" s="31">
        <f t="shared" si="48"/>
        <v>72</v>
      </c>
      <c r="U40" s="31">
        <v>76</v>
      </c>
      <c r="V40" s="37">
        <v>60</v>
      </c>
      <c r="W40" s="47">
        <f t="shared" si="23"/>
        <v>65</v>
      </c>
      <c r="X40" s="47">
        <f t="shared" si="23"/>
        <v>67</v>
      </c>
      <c r="Y40" s="47">
        <f t="shared" si="24"/>
        <v>67</v>
      </c>
      <c r="Z40" s="47">
        <f t="shared" si="47"/>
        <v>66</v>
      </c>
      <c r="AA40" s="47">
        <f t="shared" si="45"/>
        <v>62</v>
      </c>
      <c r="AB40" s="133"/>
      <c r="AC40" s="37">
        <f t="shared" si="33"/>
        <v>64</v>
      </c>
      <c r="AD40" s="47">
        <f t="shared" si="54"/>
        <v>66</v>
      </c>
      <c r="AE40" s="47">
        <f t="shared" si="50"/>
        <v>66</v>
      </c>
      <c r="AF40" s="47">
        <f t="shared" si="49"/>
        <v>66</v>
      </c>
      <c r="AG40" s="47">
        <f t="shared" si="41"/>
        <v>65</v>
      </c>
      <c r="AH40" s="47">
        <f t="shared" si="34"/>
        <v>63</v>
      </c>
      <c r="AI40" s="134"/>
      <c r="AJ40" s="58">
        <v>113</v>
      </c>
      <c r="AK40" s="53">
        <v>111</v>
      </c>
      <c r="AL40" s="53">
        <v>109</v>
      </c>
      <c r="AM40" s="53">
        <v>108</v>
      </c>
      <c r="AN40" s="53">
        <v>107</v>
      </c>
      <c r="AO40" s="53">
        <v>106</v>
      </c>
      <c r="AP40" s="131">
        <v>106</v>
      </c>
      <c r="AQ40" s="53">
        <v>111</v>
      </c>
      <c r="AR40" s="53">
        <v>106</v>
      </c>
      <c r="AS40" s="53">
        <v>104</v>
      </c>
      <c r="AT40" s="53">
        <v>103</v>
      </c>
      <c r="AU40" s="53">
        <v>103</v>
      </c>
      <c r="AV40" s="53">
        <v>106</v>
      </c>
      <c r="AW40" s="53">
        <v>110</v>
      </c>
      <c r="AX40" s="106"/>
      <c r="AY40" s="107"/>
      <c r="AZ40" s="107"/>
      <c r="BA40" s="107"/>
      <c r="BB40" s="107"/>
      <c r="BC40" s="107"/>
      <c r="BD40" s="108"/>
      <c r="BE40" s="107"/>
      <c r="BF40" s="107"/>
      <c r="BG40" s="107"/>
      <c r="BH40" s="107"/>
      <c r="BI40" s="107"/>
      <c r="BJ40" s="107"/>
      <c r="BK40" s="108"/>
      <c r="BL40" s="30">
        <f t="shared" si="35"/>
        <v>93</v>
      </c>
      <c r="BM40" s="31">
        <f t="shared" si="36"/>
        <v>91</v>
      </c>
      <c r="BN40" s="31">
        <f t="shared" si="5"/>
        <v>91</v>
      </c>
      <c r="BO40" s="31">
        <f t="shared" si="6"/>
        <v>90</v>
      </c>
      <c r="BP40" s="31">
        <f t="shared" si="7"/>
        <v>90</v>
      </c>
      <c r="BQ40" s="31">
        <f t="shared" si="8"/>
        <v>91</v>
      </c>
      <c r="BR40" s="32">
        <f t="shared" si="26"/>
        <v>91</v>
      </c>
      <c r="BS40" s="31">
        <f t="shared" si="27"/>
        <v>92</v>
      </c>
      <c r="BT40" s="31">
        <f t="shared" si="28"/>
        <v>90</v>
      </c>
      <c r="BU40" s="31">
        <f t="shared" si="29"/>
        <v>89</v>
      </c>
      <c r="BV40" s="31">
        <f t="shared" si="9"/>
        <v>89</v>
      </c>
      <c r="BW40" s="31">
        <f t="shared" si="10"/>
        <v>90</v>
      </c>
      <c r="BX40" s="31">
        <f t="shared" si="37"/>
        <v>92</v>
      </c>
      <c r="BY40" s="31">
        <f t="shared" si="11"/>
        <v>94</v>
      </c>
      <c r="BZ40" s="37">
        <f t="shared" si="40"/>
        <v>82</v>
      </c>
      <c r="CA40" s="47">
        <f t="shared" si="12"/>
        <v>84</v>
      </c>
      <c r="CB40" s="47">
        <f t="shared" si="13"/>
        <v>84</v>
      </c>
      <c r="CC40" s="47">
        <f t="shared" si="14"/>
        <v>84</v>
      </c>
      <c r="CD40" s="47">
        <f t="shared" si="30"/>
        <v>84</v>
      </c>
      <c r="CE40" s="47">
        <f t="shared" si="38"/>
        <v>83</v>
      </c>
      <c r="CF40" s="133"/>
      <c r="CG40" s="37">
        <f t="shared" si="15"/>
        <v>82</v>
      </c>
      <c r="CH40" s="47">
        <f t="shared" si="16"/>
        <v>82</v>
      </c>
      <c r="CI40" s="47">
        <f t="shared" si="31"/>
        <v>82</v>
      </c>
      <c r="CJ40" s="47">
        <f t="shared" si="17"/>
        <v>82</v>
      </c>
      <c r="CK40" s="47">
        <f t="shared" si="18"/>
        <v>82</v>
      </c>
      <c r="CL40" s="47">
        <f t="shared" si="19"/>
        <v>81</v>
      </c>
      <c r="CM40" s="134"/>
    </row>
    <row r="41" spans="7:92">
      <c r="G41" s="84">
        <v>37</v>
      </c>
      <c r="H41" s="30">
        <v>64</v>
      </c>
      <c r="I41" s="31">
        <f t="shared" si="53"/>
        <v>67</v>
      </c>
      <c r="J41" s="31">
        <f t="shared" si="20"/>
        <v>68</v>
      </c>
      <c r="K41" s="31">
        <f t="shared" si="46"/>
        <v>69</v>
      </c>
      <c r="L41" s="31">
        <f t="shared" si="46"/>
        <v>68</v>
      </c>
      <c r="M41" s="31">
        <f t="shared" si="21"/>
        <v>67</v>
      </c>
      <c r="N41" s="32">
        <f t="shared" si="21"/>
        <v>66</v>
      </c>
      <c r="O41" s="31">
        <f t="shared" si="39"/>
        <v>66</v>
      </c>
      <c r="P41" s="31">
        <f t="shared" si="44"/>
        <v>65</v>
      </c>
      <c r="Q41" s="31">
        <f t="shared" si="43"/>
        <v>65</v>
      </c>
      <c r="R41" s="31">
        <f t="shared" si="22"/>
        <v>67</v>
      </c>
      <c r="S41" s="31">
        <f t="shared" si="51"/>
        <v>69</v>
      </c>
      <c r="T41" s="31">
        <f t="shared" si="48"/>
        <v>73</v>
      </c>
      <c r="U41" s="31">
        <v>76</v>
      </c>
      <c r="V41" s="37">
        <v>60</v>
      </c>
      <c r="W41" s="47">
        <f t="shared" si="23"/>
        <v>65</v>
      </c>
      <c r="X41" s="47">
        <f t="shared" si="23"/>
        <v>67</v>
      </c>
      <c r="Y41" s="47">
        <f t="shared" si="24"/>
        <v>68</v>
      </c>
      <c r="Z41" s="47">
        <f t="shared" si="47"/>
        <v>66</v>
      </c>
      <c r="AA41" s="47">
        <f t="shared" si="45"/>
        <v>62</v>
      </c>
      <c r="AB41" s="133"/>
      <c r="AC41" s="37">
        <f t="shared" si="33"/>
        <v>64</v>
      </c>
      <c r="AD41" s="47">
        <f t="shared" si="54"/>
        <v>66</v>
      </c>
      <c r="AE41" s="47">
        <f t="shared" si="50"/>
        <v>67</v>
      </c>
      <c r="AF41" s="47">
        <f t="shared" si="49"/>
        <v>67</v>
      </c>
      <c r="AG41" s="47">
        <f t="shared" si="41"/>
        <v>66</v>
      </c>
      <c r="AH41" s="47">
        <f t="shared" si="34"/>
        <v>64</v>
      </c>
      <c r="AI41" s="134"/>
      <c r="AJ41" s="58">
        <f t="shared" si="52"/>
        <v>115</v>
      </c>
      <c r="AK41" s="53">
        <v>114</v>
      </c>
      <c r="AL41" s="53">
        <v>112</v>
      </c>
      <c r="AM41" s="53">
        <v>110</v>
      </c>
      <c r="AN41" s="53">
        <v>109</v>
      </c>
      <c r="AO41" s="53">
        <v>108</v>
      </c>
      <c r="AP41" s="131">
        <v>108</v>
      </c>
      <c r="AQ41" s="53">
        <v>114</v>
      </c>
      <c r="AR41" s="53">
        <v>109</v>
      </c>
      <c r="AS41" s="53">
        <v>106</v>
      </c>
      <c r="AT41" s="53">
        <v>105</v>
      </c>
      <c r="AU41" s="53">
        <v>106</v>
      </c>
      <c r="AV41" s="53">
        <v>108</v>
      </c>
      <c r="AW41" s="53">
        <v>112</v>
      </c>
      <c r="AX41" s="106"/>
      <c r="AY41" s="107"/>
      <c r="AZ41" s="107"/>
      <c r="BA41" s="107"/>
      <c r="BB41" s="107"/>
      <c r="BC41" s="107"/>
      <c r="BD41" s="108"/>
      <c r="BE41" s="107"/>
      <c r="BF41" s="107"/>
      <c r="BG41" s="107"/>
      <c r="BH41" s="107"/>
      <c r="BI41" s="107"/>
      <c r="BJ41" s="107"/>
      <c r="BK41" s="108"/>
      <c r="BL41" s="30">
        <f t="shared" si="35"/>
        <v>94</v>
      </c>
      <c r="BM41" s="31">
        <v>93</v>
      </c>
      <c r="BN41" s="31">
        <f t="shared" si="5"/>
        <v>92</v>
      </c>
      <c r="BO41" s="31">
        <f t="shared" si="6"/>
        <v>91</v>
      </c>
      <c r="BP41" s="31">
        <f t="shared" si="7"/>
        <v>91</v>
      </c>
      <c r="BQ41" s="31">
        <f t="shared" si="8"/>
        <v>92</v>
      </c>
      <c r="BR41" s="32">
        <v>93</v>
      </c>
      <c r="BS41" s="31">
        <v>94</v>
      </c>
      <c r="BT41" s="31">
        <f t="shared" si="28"/>
        <v>91</v>
      </c>
      <c r="BU41" s="31">
        <f t="shared" si="29"/>
        <v>90</v>
      </c>
      <c r="BV41" s="31">
        <f t="shared" si="9"/>
        <v>90</v>
      </c>
      <c r="BW41" s="31">
        <f t="shared" si="10"/>
        <v>91</v>
      </c>
      <c r="BX41" s="31">
        <f t="shared" si="37"/>
        <v>93</v>
      </c>
      <c r="BY41" s="31">
        <f t="shared" si="11"/>
        <v>95</v>
      </c>
      <c r="BZ41" s="37">
        <f t="shared" si="40"/>
        <v>83</v>
      </c>
      <c r="CA41" s="47">
        <f t="shared" si="12"/>
        <v>85</v>
      </c>
      <c r="CB41" s="47">
        <f t="shared" si="13"/>
        <v>85</v>
      </c>
      <c r="CC41" s="47">
        <f t="shared" si="14"/>
        <v>85</v>
      </c>
      <c r="CD41" s="47">
        <f t="shared" si="30"/>
        <v>85</v>
      </c>
      <c r="CE41" s="47">
        <v>83</v>
      </c>
      <c r="CF41" s="133"/>
      <c r="CG41" s="37">
        <f t="shared" si="15"/>
        <v>83</v>
      </c>
      <c r="CH41" s="47">
        <f t="shared" si="16"/>
        <v>83</v>
      </c>
      <c r="CI41" s="47">
        <f t="shared" si="31"/>
        <v>83</v>
      </c>
      <c r="CJ41" s="47">
        <f t="shared" si="17"/>
        <v>83</v>
      </c>
      <c r="CK41" s="47">
        <v>82</v>
      </c>
      <c r="CL41" s="47">
        <f t="shared" si="19"/>
        <v>82</v>
      </c>
      <c r="CM41" s="134"/>
    </row>
    <row r="42" spans="7:92">
      <c r="G42" s="84">
        <v>38</v>
      </c>
      <c r="H42" s="30">
        <v>65</v>
      </c>
      <c r="I42" s="31">
        <f t="shared" si="53"/>
        <v>67</v>
      </c>
      <c r="J42" s="31">
        <f t="shared" si="20"/>
        <v>69</v>
      </c>
      <c r="K42" s="31">
        <f t="shared" si="46"/>
        <v>69</v>
      </c>
      <c r="L42" s="31">
        <f t="shared" si="46"/>
        <v>69</v>
      </c>
      <c r="M42" s="31">
        <f t="shared" si="21"/>
        <v>68</v>
      </c>
      <c r="N42" s="32">
        <f t="shared" si="21"/>
        <v>66</v>
      </c>
      <c r="O42" s="31">
        <v>67</v>
      </c>
      <c r="P42" s="31">
        <f t="shared" si="44"/>
        <v>65</v>
      </c>
      <c r="Q42" s="31">
        <v>66</v>
      </c>
      <c r="R42" s="31">
        <f t="shared" si="22"/>
        <v>67</v>
      </c>
      <c r="S42" s="31">
        <f t="shared" si="51"/>
        <v>70</v>
      </c>
      <c r="T42" s="31">
        <f t="shared" si="48"/>
        <v>73</v>
      </c>
      <c r="U42" s="31">
        <v>77</v>
      </c>
      <c r="V42" s="37">
        <v>61</v>
      </c>
      <c r="W42" s="47">
        <f t="shared" si="23"/>
        <v>66</v>
      </c>
      <c r="X42" s="47">
        <f t="shared" si="23"/>
        <v>68</v>
      </c>
      <c r="Y42" s="47">
        <f t="shared" si="24"/>
        <v>68</v>
      </c>
      <c r="Z42" s="47">
        <v>66</v>
      </c>
      <c r="AA42" s="47">
        <f t="shared" si="45"/>
        <v>63</v>
      </c>
      <c r="AB42" s="133"/>
      <c r="AC42" s="37">
        <f t="shared" si="33"/>
        <v>65</v>
      </c>
      <c r="AD42" s="47">
        <v>66</v>
      </c>
      <c r="AE42" s="47">
        <f t="shared" si="50"/>
        <v>67</v>
      </c>
      <c r="AF42" s="47">
        <f t="shared" si="49"/>
        <v>67</v>
      </c>
      <c r="AG42" s="47">
        <f t="shared" si="41"/>
        <v>66</v>
      </c>
      <c r="AH42" s="47">
        <f t="shared" si="34"/>
        <v>64</v>
      </c>
      <c r="AI42" s="134"/>
      <c r="AJ42" s="58">
        <v>118</v>
      </c>
      <c r="AK42" s="53">
        <v>116</v>
      </c>
      <c r="AL42" s="53">
        <v>114</v>
      </c>
      <c r="AM42" s="53">
        <v>113</v>
      </c>
      <c r="AN42" s="53">
        <v>112</v>
      </c>
      <c r="AO42" s="53">
        <v>111</v>
      </c>
      <c r="AP42" s="131">
        <v>110</v>
      </c>
      <c r="AQ42" s="53">
        <v>117</v>
      </c>
      <c r="AR42" s="53">
        <v>111</v>
      </c>
      <c r="AS42" s="53">
        <v>108</v>
      </c>
      <c r="AT42" s="53">
        <v>107</v>
      </c>
      <c r="AU42" s="53">
        <v>108</v>
      </c>
      <c r="AV42" s="53">
        <v>110</v>
      </c>
      <c r="AW42" s="53">
        <v>114</v>
      </c>
      <c r="AX42" s="106"/>
      <c r="AY42" s="107"/>
      <c r="AZ42" s="107"/>
      <c r="BA42" s="107"/>
      <c r="BB42" s="107"/>
      <c r="BC42" s="107"/>
      <c r="BD42" s="108"/>
      <c r="BE42" s="107"/>
      <c r="BF42" s="107"/>
      <c r="BG42" s="107"/>
      <c r="BH42" s="107"/>
      <c r="BI42" s="107"/>
      <c r="BJ42" s="107"/>
      <c r="BK42" s="108"/>
      <c r="BL42" s="30">
        <v>96</v>
      </c>
      <c r="BM42" s="31">
        <f t="shared" si="36"/>
        <v>94</v>
      </c>
      <c r="BN42" s="31">
        <f t="shared" si="5"/>
        <v>93</v>
      </c>
      <c r="BO42" s="31">
        <f t="shared" si="6"/>
        <v>92</v>
      </c>
      <c r="BP42" s="31">
        <f t="shared" si="7"/>
        <v>92</v>
      </c>
      <c r="BQ42" s="31">
        <f t="shared" si="8"/>
        <v>93</v>
      </c>
      <c r="BR42" s="32">
        <f t="shared" si="26"/>
        <v>94</v>
      </c>
      <c r="BS42" s="31">
        <f t="shared" si="27"/>
        <v>95</v>
      </c>
      <c r="BT42" s="31">
        <v>93</v>
      </c>
      <c r="BU42" s="31">
        <f t="shared" si="29"/>
        <v>91</v>
      </c>
      <c r="BV42" s="31">
        <v>92</v>
      </c>
      <c r="BW42" s="31">
        <f t="shared" si="10"/>
        <v>92</v>
      </c>
      <c r="BX42" s="31">
        <f t="shared" si="37"/>
        <v>94</v>
      </c>
      <c r="BY42" s="31">
        <f t="shared" si="11"/>
        <v>96</v>
      </c>
      <c r="BZ42" s="37">
        <v>85</v>
      </c>
      <c r="CA42" s="47">
        <f t="shared" si="12"/>
        <v>86</v>
      </c>
      <c r="CB42" s="47">
        <f t="shared" si="13"/>
        <v>86</v>
      </c>
      <c r="CC42" s="47">
        <f t="shared" si="14"/>
        <v>86</v>
      </c>
      <c r="CD42" s="47">
        <v>85</v>
      </c>
      <c r="CE42" s="47">
        <f t="shared" si="38"/>
        <v>84</v>
      </c>
      <c r="CF42" s="133"/>
      <c r="CG42" s="37">
        <f t="shared" si="15"/>
        <v>84</v>
      </c>
      <c r="CH42" s="47">
        <f t="shared" si="16"/>
        <v>84</v>
      </c>
      <c r="CI42" s="47">
        <f t="shared" si="31"/>
        <v>84</v>
      </c>
      <c r="CJ42" s="47">
        <v>83</v>
      </c>
      <c r="CK42" s="47">
        <f t="shared" si="18"/>
        <v>83</v>
      </c>
      <c r="CL42" s="47">
        <f t="shared" si="19"/>
        <v>83</v>
      </c>
      <c r="CM42" s="134"/>
    </row>
    <row r="43" spans="7:92">
      <c r="G43" s="84">
        <v>39</v>
      </c>
      <c r="H43" s="30">
        <v>65</v>
      </c>
      <c r="I43" s="31">
        <f t="shared" si="53"/>
        <v>68</v>
      </c>
      <c r="J43" s="31">
        <f t="shared" si="20"/>
        <v>69</v>
      </c>
      <c r="K43" s="31">
        <f t="shared" si="46"/>
        <v>70</v>
      </c>
      <c r="L43" s="31">
        <f t="shared" si="46"/>
        <v>69</v>
      </c>
      <c r="M43" s="31">
        <f t="shared" si="21"/>
        <v>68</v>
      </c>
      <c r="N43" s="32">
        <f t="shared" si="21"/>
        <v>67</v>
      </c>
      <c r="O43" s="31">
        <f t="shared" si="39"/>
        <v>67</v>
      </c>
      <c r="P43" s="31">
        <f t="shared" si="44"/>
        <v>66</v>
      </c>
      <c r="Q43" s="31">
        <f t="shared" si="43"/>
        <v>66</v>
      </c>
      <c r="R43" s="31">
        <f t="shared" si="22"/>
        <v>68</v>
      </c>
      <c r="S43" s="31">
        <f t="shared" si="51"/>
        <v>70</v>
      </c>
      <c r="T43" s="31">
        <v>73</v>
      </c>
      <c r="U43" s="31">
        <v>77</v>
      </c>
      <c r="V43" s="37">
        <v>62</v>
      </c>
      <c r="W43" s="47">
        <f t="shared" si="23"/>
        <v>66</v>
      </c>
      <c r="X43" s="47">
        <f t="shared" si="23"/>
        <v>68</v>
      </c>
      <c r="Y43" s="47">
        <v>68</v>
      </c>
      <c r="Z43" s="47">
        <f t="shared" si="47"/>
        <v>67</v>
      </c>
      <c r="AA43" s="47">
        <f t="shared" si="45"/>
        <v>63</v>
      </c>
      <c r="AB43" s="133"/>
      <c r="AC43" s="37">
        <f t="shared" si="33"/>
        <v>65</v>
      </c>
      <c r="AD43" s="47">
        <f t="shared" si="54"/>
        <v>67</v>
      </c>
      <c r="AE43" s="47">
        <f t="shared" si="50"/>
        <v>68</v>
      </c>
      <c r="AF43" s="47">
        <v>67</v>
      </c>
      <c r="AG43" s="47">
        <f t="shared" si="41"/>
        <v>67</v>
      </c>
      <c r="AH43" s="47">
        <v>64</v>
      </c>
      <c r="AI43" s="134"/>
      <c r="AJ43" s="58">
        <v>120</v>
      </c>
      <c r="AK43" s="53">
        <v>119</v>
      </c>
      <c r="AL43" s="53">
        <v>117</v>
      </c>
      <c r="AM43" s="53">
        <v>115</v>
      </c>
      <c r="AN43" s="53">
        <v>114</v>
      </c>
      <c r="AO43" s="53">
        <v>113</v>
      </c>
      <c r="AP43" s="131">
        <v>112</v>
      </c>
      <c r="AQ43" s="53">
        <v>119</v>
      </c>
      <c r="AR43" s="53">
        <v>114</v>
      </c>
      <c r="AS43" s="53">
        <v>111</v>
      </c>
      <c r="AT43" s="53">
        <v>109</v>
      </c>
      <c r="AU43" s="53">
        <v>110</v>
      </c>
      <c r="AV43" s="53">
        <v>112</v>
      </c>
      <c r="AW43" s="60">
        <v>114</v>
      </c>
      <c r="AX43" s="106"/>
      <c r="AY43" s="107"/>
      <c r="AZ43" s="107"/>
      <c r="BA43" s="107"/>
      <c r="BB43" s="107"/>
      <c r="BC43" s="107"/>
      <c r="BD43" s="108"/>
      <c r="BE43" s="107"/>
      <c r="BF43" s="107"/>
      <c r="BG43" s="107"/>
      <c r="BH43" s="107"/>
      <c r="BI43" s="107"/>
      <c r="BJ43" s="107"/>
      <c r="BK43" s="108"/>
      <c r="BL43" s="30">
        <f t="shared" si="35"/>
        <v>97</v>
      </c>
      <c r="BM43" s="31">
        <f t="shared" si="36"/>
        <v>95</v>
      </c>
      <c r="BN43" s="31">
        <f t="shared" si="5"/>
        <v>94</v>
      </c>
      <c r="BO43" s="31">
        <f t="shared" si="6"/>
        <v>93</v>
      </c>
      <c r="BP43" s="31">
        <f t="shared" si="7"/>
        <v>93</v>
      </c>
      <c r="BQ43" s="31">
        <f t="shared" si="8"/>
        <v>94</v>
      </c>
      <c r="BR43" s="32">
        <f t="shared" si="26"/>
        <v>95</v>
      </c>
      <c r="BS43" s="31">
        <f t="shared" si="27"/>
        <v>96</v>
      </c>
      <c r="BT43" s="31">
        <f t="shared" si="28"/>
        <v>94</v>
      </c>
      <c r="BU43" s="31">
        <v>93</v>
      </c>
      <c r="BV43" s="31">
        <f t="shared" si="9"/>
        <v>93</v>
      </c>
      <c r="BW43" s="31">
        <f t="shared" si="10"/>
        <v>93</v>
      </c>
      <c r="BX43" s="31">
        <f t="shared" si="37"/>
        <v>95</v>
      </c>
      <c r="BY43" s="31">
        <v>96</v>
      </c>
      <c r="BZ43" s="37">
        <f t="shared" si="40"/>
        <v>86</v>
      </c>
      <c r="CA43" s="47">
        <f t="shared" si="12"/>
        <v>87</v>
      </c>
      <c r="CB43" s="47">
        <f t="shared" si="13"/>
        <v>87</v>
      </c>
      <c r="CC43" s="47">
        <f t="shared" si="14"/>
        <v>87</v>
      </c>
      <c r="CD43" s="47">
        <f t="shared" si="30"/>
        <v>86</v>
      </c>
      <c r="CE43" s="47">
        <f t="shared" si="38"/>
        <v>85</v>
      </c>
      <c r="CF43" s="133"/>
      <c r="CG43" s="37">
        <f t="shared" si="15"/>
        <v>85</v>
      </c>
      <c r="CH43" s="47">
        <f t="shared" si="16"/>
        <v>85</v>
      </c>
      <c r="CI43" s="47">
        <v>84</v>
      </c>
      <c r="CJ43" s="47">
        <f t="shared" si="17"/>
        <v>84</v>
      </c>
      <c r="CK43" s="47">
        <f t="shared" si="18"/>
        <v>84</v>
      </c>
      <c r="CL43" s="47">
        <f t="shared" si="19"/>
        <v>84</v>
      </c>
      <c r="CM43" s="134"/>
      <c r="CN43" s="112" t="s">
        <v>28</v>
      </c>
    </row>
    <row r="44" spans="7:92">
      <c r="G44" s="84">
        <v>40</v>
      </c>
      <c r="H44" s="30">
        <v>66</v>
      </c>
      <c r="I44" s="31">
        <f t="shared" si="53"/>
        <v>68</v>
      </c>
      <c r="J44" s="31">
        <f t="shared" si="20"/>
        <v>70</v>
      </c>
      <c r="K44" s="31">
        <f t="shared" si="46"/>
        <v>70</v>
      </c>
      <c r="L44" s="31">
        <f t="shared" si="46"/>
        <v>70</v>
      </c>
      <c r="M44" s="31">
        <f t="shared" si="21"/>
        <v>69</v>
      </c>
      <c r="N44" s="32">
        <f t="shared" si="21"/>
        <v>67</v>
      </c>
      <c r="O44" s="31">
        <f t="shared" si="39"/>
        <v>68</v>
      </c>
      <c r="P44" s="31">
        <f t="shared" si="44"/>
        <v>66</v>
      </c>
      <c r="Q44" s="31">
        <f t="shared" si="43"/>
        <v>67</v>
      </c>
      <c r="R44" s="31">
        <f t="shared" si="22"/>
        <v>68</v>
      </c>
      <c r="S44" s="31">
        <f t="shared" si="51"/>
        <v>71</v>
      </c>
      <c r="T44" s="31">
        <f t="shared" si="48"/>
        <v>74</v>
      </c>
      <c r="U44" s="31">
        <v>77</v>
      </c>
      <c r="V44" s="37">
        <v>62</v>
      </c>
      <c r="W44" s="47">
        <f t="shared" si="23"/>
        <v>67</v>
      </c>
      <c r="X44" s="47">
        <f t="shared" si="23"/>
        <v>69</v>
      </c>
      <c r="Y44" s="47">
        <f t="shared" si="24"/>
        <v>69</v>
      </c>
      <c r="Z44" s="47">
        <f t="shared" si="47"/>
        <v>67</v>
      </c>
      <c r="AA44" s="47">
        <f t="shared" si="45"/>
        <v>64</v>
      </c>
      <c r="AB44" s="133"/>
      <c r="AC44" s="37">
        <f t="shared" si="33"/>
        <v>66</v>
      </c>
      <c r="AD44" s="47">
        <f t="shared" si="54"/>
        <v>67</v>
      </c>
      <c r="AE44" s="47">
        <f t="shared" si="50"/>
        <v>68</v>
      </c>
      <c r="AF44" s="47">
        <f t="shared" si="49"/>
        <v>68</v>
      </c>
      <c r="AG44" s="47">
        <f t="shared" si="41"/>
        <v>67</v>
      </c>
      <c r="AH44" s="47">
        <f t="shared" si="34"/>
        <v>65</v>
      </c>
      <c r="AI44" s="134"/>
      <c r="AJ44" s="58">
        <v>120</v>
      </c>
      <c r="AK44" s="60">
        <v>119</v>
      </c>
      <c r="AL44" s="60">
        <v>117</v>
      </c>
      <c r="AM44" s="60">
        <v>115</v>
      </c>
      <c r="AN44" s="60">
        <v>114</v>
      </c>
      <c r="AO44" s="53">
        <v>115</v>
      </c>
      <c r="AP44" s="131">
        <v>114</v>
      </c>
      <c r="AQ44" s="53">
        <v>120</v>
      </c>
      <c r="AR44" s="53">
        <v>116</v>
      </c>
      <c r="AS44" s="53">
        <v>113</v>
      </c>
      <c r="AT44" s="53">
        <v>112</v>
      </c>
      <c r="AU44" s="53">
        <v>112</v>
      </c>
      <c r="AV44" s="53">
        <v>114</v>
      </c>
      <c r="AW44" s="60">
        <v>114</v>
      </c>
      <c r="AX44" s="106"/>
      <c r="AY44" s="107"/>
      <c r="AZ44" s="107"/>
      <c r="BA44" s="107"/>
      <c r="BB44" s="107"/>
      <c r="BC44" s="107"/>
      <c r="BD44" s="108"/>
      <c r="BE44" s="107"/>
      <c r="BF44" s="107"/>
      <c r="BG44" s="107"/>
      <c r="BH44" s="107"/>
      <c r="BI44" s="107"/>
      <c r="BJ44" s="107"/>
      <c r="BK44" s="108"/>
      <c r="BL44" s="30">
        <v>99</v>
      </c>
      <c r="BM44" s="31">
        <f t="shared" si="36"/>
        <v>96</v>
      </c>
      <c r="BN44" s="31">
        <f t="shared" si="5"/>
        <v>95</v>
      </c>
      <c r="BO44" s="31">
        <f t="shared" si="6"/>
        <v>94</v>
      </c>
      <c r="BP44" s="31">
        <f t="shared" si="7"/>
        <v>94</v>
      </c>
      <c r="BQ44" s="31">
        <f t="shared" si="8"/>
        <v>95</v>
      </c>
      <c r="BR44" s="32">
        <f t="shared" si="26"/>
        <v>96</v>
      </c>
      <c r="BS44" s="31">
        <f t="shared" si="27"/>
        <v>97</v>
      </c>
      <c r="BT44" s="31">
        <f t="shared" si="28"/>
        <v>95</v>
      </c>
      <c r="BU44" s="31">
        <f t="shared" si="29"/>
        <v>94</v>
      </c>
      <c r="BV44" s="31">
        <f t="shared" si="9"/>
        <v>94</v>
      </c>
      <c r="BW44" s="31">
        <f t="shared" si="10"/>
        <v>94</v>
      </c>
      <c r="BX44" s="31">
        <f t="shared" si="37"/>
        <v>96</v>
      </c>
      <c r="BY44" s="31">
        <f t="shared" si="11"/>
        <v>97</v>
      </c>
      <c r="BZ44" s="37">
        <f t="shared" si="40"/>
        <v>87</v>
      </c>
      <c r="CA44" s="47">
        <f t="shared" si="12"/>
        <v>88</v>
      </c>
      <c r="CB44" s="47">
        <f t="shared" si="13"/>
        <v>88</v>
      </c>
      <c r="CC44" s="47">
        <f t="shared" si="14"/>
        <v>88</v>
      </c>
      <c r="CD44" s="47">
        <f t="shared" si="30"/>
        <v>87</v>
      </c>
      <c r="CE44" s="47">
        <f t="shared" si="38"/>
        <v>86</v>
      </c>
      <c r="CF44" s="133"/>
      <c r="CG44" s="37">
        <v>87</v>
      </c>
      <c r="CH44" s="47">
        <f t="shared" si="16"/>
        <v>86</v>
      </c>
      <c r="CI44" s="47">
        <f t="shared" si="31"/>
        <v>85</v>
      </c>
      <c r="CJ44" s="47">
        <f t="shared" si="17"/>
        <v>85</v>
      </c>
      <c r="CK44" s="47">
        <f t="shared" si="18"/>
        <v>85</v>
      </c>
      <c r="CL44" s="47">
        <f t="shared" si="19"/>
        <v>85</v>
      </c>
      <c r="CM44" s="134"/>
      <c r="CN44" s="84" t="s">
        <v>112</v>
      </c>
    </row>
    <row r="45" spans="7:92">
      <c r="G45" s="84">
        <v>41</v>
      </c>
      <c r="H45" s="30">
        <v>67</v>
      </c>
      <c r="I45" s="31">
        <f t="shared" si="53"/>
        <v>69</v>
      </c>
      <c r="J45" s="31">
        <f t="shared" si="20"/>
        <v>70</v>
      </c>
      <c r="K45" s="31">
        <f t="shared" si="46"/>
        <v>71</v>
      </c>
      <c r="L45" s="31">
        <f t="shared" si="46"/>
        <v>70</v>
      </c>
      <c r="M45" s="31">
        <f t="shared" si="21"/>
        <v>69</v>
      </c>
      <c r="N45" s="32">
        <f t="shared" si="21"/>
        <v>68</v>
      </c>
      <c r="O45" s="31">
        <f t="shared" si="39"/>
        <v>68</v>
      </c>
      <c r="P45" s="31">
        <f t="shared" si="44"/>
        <v>67</v>
      </c>
      <c r="Q45" s="31">
        <f t="shared" si="43"/>
        <v>67</v>
      </c>
      <c r="R45" s="31">
        <f t="shared" si="22"/>
        <v>69</v>
      </c>
      <c r="S45" s="31">
        <f t="shared" si="51"/>
        <v>71</v>
      </c>
      <c r="T45" s="31">
        <f t="shared" si="48"/>
        <v>74</v>
      </c>
      <c r="U45" s="31">
        <v>78</v>
      </c>
      <c r="V45" s="37">
        <v>63</v>
      </c>
      <c r="W45" s="47">
        <f t="shared" si="23"/>
        <v>67</v>
      </c>
      <c r="X45" s="47">
        <f t="shared" si="23"/>
        <v>69</v>
      </c>
      <c r="Y45" s="47">
        <f t="shared" si="24"/>
        <v>69</v>
      </c>
      <c r="Z45" s="47">
        <f t="shared" si="47"/>
        <v>68</v>
      </c>
      <c r="AA45" s="47">
        <f t="shared" si="45"/>
        <v>64</v>
      </c>
      <c r="AB45" s="133"/>
      <c r="AC45" s="37">
        <f t="shared" si="33"/>
        <v>66</v>
      </c>
      <c r="AD45" s="47">
        <f t="shared" si="54"/>
        <v>68</v>
      </c>
      <c r="AE45" s="47">
        <v>68</v>
      </c>
      <c r="AF45" s="47">
        <f t="shared" si="49"/>
        <v>68</v>
      </c>
      <c r="AG45" s="47">
        <v>67</v>
      </c>
      <c r="AH45" s="47">
        <f t="shared" si="34"/>
        <v>65</v>
      </c>
      <c r="AI45" s="134"/>
      <c r="AJ45" s="94">
        <v>120</v>
      </c>
      <c r="AK45" s="95">
        <v>119</v>
      </c>
      <c r="AL45" s="95">
        <v>117</v>
      </c>
      <c r="AM45" s="95">
        <v>115</v>
      </c>
      <c r="AN45" s="95">
        <v>114</v>
      </c>
      <c r="AO45" s="95">
        <v>115</v>
      </c>
      <c r="AP45" s="131">
        <v>115</v>
      </c>
      <c r="AQ45" s="95">
        <v>120</v>
      </c>
      <c r="AR45" s="53">
        <v>119</v>
      </c>
      <c r="AS45" s="95">
        <v>113</v>
      </c>
      <c r="AT45" s="95">
        <v>112</v>
      </c>
      <c r="AU45" s="53">
        <v>114</v>
      </c>
      <c r="AV45" s="95">
        <v>114</v>
      </c>
      <c r="AW45" s="95">
        <v>114</v>
      </c>
      <c r="AX45" s="106"/>
      <c r="AY45" s="107"/>
      <c r="AZ45" s="107"/>
      <c r="BA45" s="107"/>
      <c r="BB45" s="107"/>
      <c r="BC45" s="107"/>
      <c r="BD45" s="108"/>
      <c r="BE45" s="107"/>
      <c r="BF45" s="107"/>
      <c r="BG45" s="107"/>
      <c r="BH45" s="107"/>
      <c r="BI45" s="107"/>
      <c r="BJ45" s="107"/>
      <c r="BK45" s="108"/>
      <c r="BL45" s="30">
        <f t="shared" si="35"/>
        <v>100</v>
      </c>
      <c r="BM45" s="31">
        <f t="shared" si="36"/>
        <v>97</v>
      </c>
      <c r="BN45" s="31">
        <f t="shared" si="5"/>
        <v>96</v>
      </c>
      <c r="BO45" s="31">
        <f t="shared" si="6"/>
        <v>95</v>
      </c>
      <c r="BP45" s="31">
        <f t="shared" si="7"/>
        <v>95</v>
      </c>
      <c r="BQ45" s="31">
        <f t="shared" si="8"/>
        <v>96</v>
      </c>
      <c r="BR45" s="32">
        <f t="shared" si="26"/>
        <v>97</v>
      </c>
      <c r="BS45" s="31">
        <v>99</v>
      </c>
      <c r="BT45" s="31">
        <f t="shared" si="28"/>
        <v>96</v>
      </c>
      <c r="BU45" s="31">
        <f t="shared" si="29"/>
        <v>95</v>
      </c>
      <c r="BV45" s="31">
        <f t="shared" si="9"/>
        <v>95</v>
      </c>
      <c r="BW45" s="31">
        <f t="shared" si="10"/>
        <v>95</v>
      </c>
      <c r="BX45" s="31">
        <v>96</v>
      </c>
      <c r="BY45" s="31">
        <f t="shared" si="11"/>
        <v>98</v>
      </c>
      <c r="BZ45" s="37">
        <f t="shared" si="40"/>
        <v>88</v>
      </c>
      <c r="CA45" s="47">
        <f t="shared" si="12"/>
        <v>89</v>
      </c>
      <c r="CB45" s="47">
        <f t="shared" si="13"/>
        <v>89</v>
      </c>
      <c r="CC45" s="47">
        <f t="shared" si="14"/>
        <v>89</v>
      </c>
      <c r="CD45" s="47">
        <f t="shared" si="30"/>
        <v>88</v>
      </c>
      <c r="CE45" s="47">
        <f t="shared" si="38"/>
        <v>87</v>
      </c>
      <c r="CF45" s="133"/>
      <c r="CG45" s="37">
        <f t="shared" si="15"/>
        <v>88</v>
      </c>
      <c r="CH45" s="47">
        <f t="shared" si="16"/>
        <v>87</v>
      </c>
      <c r="CI45" s="47">
        <f t="shared" si="31"/>
        <v>86</v>
      </c>
      <c r="CJ45" s="47">
        <f t="shared" si="17"/>
        <v>86</v>
      </c>
      <c r="CK45" s="47">
        <f t="shared" si="18"/>
        <v>86</v>
      </c>
      <c r="CL45" s="47">
        <f t="shared" si="19"/>
        <v>86</v>
      </c>
      <c r="CM45" s="134"/>
      <c r="CN45" s="84" t="s">
        <v>112</v>
      </c>
    </row>
    <row r="46" spans="7:92">
      <c r="G46" s="84">
        <v>42</v>
      </c>
      <c r="H46" s="30">
        <v>67</v>
      </c>
      <c r="I46" s="31">
        <v>70</v>
      </c>
      <c r="J46" s="31">
        <f t="shared" si="20"/>
        <v>71</v>
      </c>
      <c r="K46" s="31">
        <f t="shared" si="46"/>
        <v>71</v>
      </c>
      <c r="L46" s="31">
        <f t="shared" si="46"/>
        <v>71</v>
      </c>
      <c r="M46" s="31">
        <f t="shared" si="21"/>
        <v>70</v>
      </c>
      <c r="N46" s="32">
        <f t="shared" si="21"/>
        <v>68</v>
      </c>
      <c r="O46" s="31">
        <f t="shared" si="39"/>
        <v>69</v>
      </c>
      <c r="P46" s="31">
        <v>68</v>
      </c>
      <c r="Q46" s="31">
        <f t="shared" si="43"/>
        <v>68</v>
      </c>
      <c r="R46" s="31">
        <f t="shared" si="22"/>
        <v>69</v>
      </c>
      <c r="S46" s="31">
        <f t="shared" si="51"/>
        <v>72</v>
      </c>
      <c r="T46" s="31">
        <f t="shared" si="48"/>
        <v>75</v>
      </c>
      <c r="U46" s="31">
        <v>78</v>
      </c>
      <c r="V46" s="37">
        <v>63</v>
      </c>
      <c r="W46" s="47">
        <f t="shared" si="23"/>
        <v>68</v>
      </c>
      <c r="X46" s="47">
        <f t="shared" si="23"/>
        <v>70</v>
      </c>
      <c r="Y46" s="47">
        <f t="shared" si="24"/>
        <v>70</v>
      </c>
      <c r="Z46" s="47">
        <f t="shared" si="47"/>
        <v>68</v>
      </c>
      <c r="AA46" s="47">
        <f t="shared" si="45"/>
        <v>65</v>
      </c>
      <c r="AB46" s="133"/>
      <c r="AC46" s="37">
        <f t="shared" si="33"/>
        <v>67</v>
      </c>
      <c r="AD46" s="47">
        <f t="shared" si="54"/>
        <v>68</v>
      </c>
      <c r="AE46" s="47">
        <f t="shared" si="50"/>
        <v>69</v>
      </c>
      <c r="AF46" s="47">
        <f t="shared" si="49"/>
        <v>69</v>
      </c>
      <c r="AG46" s="47">
        <f t="shared" si="41"/>
        <v>68</v>
      </c>
      <c r="AH46" s="47">
        <f t="shared" si="34"/>
        <v>66</v>
      </c>
      <c r="AI46" s="134"/>
      <c r="AJ46" s="94"/>
      <c r="AK46" s="95"/>
      <c r="AL46" s="95"/>
      <c r="AM46" s="95"/>
      <c r="AN46" s="95"/>
      <c r="AO46" s="95"/>
      <c r="AP46" s="141"/>
      <c r="AQ46" s="95"/>
      <c r="AR46" s="95"/>
      <c r="AS46" s="95"/>
      <c r="AT46" s="95"/>
      <c r="AU46" s="95"/>
      <c r="AV46" s="95"/>
      <c r="AW46" s="95"/>
      <c r="AX46" s="106"/>
      <c r="AY46" s="107"/>
      <c r="AZ46" s="107"/>
      <c r="BA46" s="107"/>
      <c r="BB46" s="107"/>
      <c r="BC46" s="107"/>
      <c r="BD46" s="108"/>
      <c r="BE46" s="107"/>
      <c r="BF46" s="107"/>
      <c r="BG46" s="107"/>
      <c r="BH46" s="107"/>
      <c r="BI46" s="107"/>
      <c r="BJ46" s="107"/>
      <c r="BK46" s="108"/>
      <c r="BL46" s="30">
        <v>102</v>
      </c>
      <c r="BM46" s="31">
        <v>99</v>
      </c>
      <c r="BN46" s="31">
        <f t="shared" si="5"/>
        <v>97</v>
      </c>
      <c r="BO46" s="31">
        <f t="shared" si="6"/>
        <v>96</v>
      </c>
      <c r="BP46" s="31">
        <f t="shared" si="7"/>
        <v>96</v>
      </c>
      <c r="BQ46" s="31">
        <f t="shared" si="8"/>
        <v>97</v>
      </c>
      <c r="BR46" s="32">
        <f t="shared" si="26"/>
        <v>98</v>
      </c>
      <c r="BS46" s="31">
        <f t="shared" si="27"/>
        <v>100</v>
      </c>
      <c r="BT46" s="31">
        <v>98</v>
      </c>
      <c r="BU46" s="31">
        <f t="shared" si="29"/>
        <v>96</v>
      </c>
      <c r="BV46" s="31">
        <f t="shared" si="9"/>
        <v>96</v>
      </c>
      <c r="BW46" s="31">
        <f t="shared" si="10"/>
        <v>96</v>
      </c>
      <c r="BX46" s="31">
        <f t="shared" si="37"/>
        <v>97</v>
      </c>
      <c r="BY46" s="31">
        <f t="shared" si="11"/>
        <v>99</v>
      </c>
      <c r="BZ46" s="37">
        <v>90</v>
      </c>
      <c r="CA46" s="47">
        <f t="shared" si="12"/>
        <v>90</v>
      </c>
      <c r="CB46" s="47">
        <f t="shared" si="13"/>
        <v>90</v>
      </c>
      <c r="CC46" s="47">
        <v>89</v>
      </c>
      <c r="CD46" s="47">
        <f t="shared" si="30"/>
        <v>89</v>
      </c>
      <c r="CE46" s="47">
        <f t="shared" si="38"/>
        <v>88</v>
      </c>
      <c r="CF46" s="133"/>
      <c r="CG46" s="37">
        <f t="shared" si="15"/>
        <v>89</v>
      </c>
      <c r="CH46" s="47">
        <f t="shared" si="16"/>
        <v>88</v>
      </c>
      <c r="CI46" s="47">
        <f t="shared" si="31"/>
        <v>87</v>
      </c>
      <c r="CJ46" s="47">
        <f t="shared" si="17"/>
        <v>87</v>
      </c>
      <c r="CK46" s="47">
        <f t="shared" si="18"/>
        <v>87</v>
      </c>
      <c r="CL46" s="47">
        <f t="shared" si="19"/>
        <v>87</v>
      </c>
      <c r="CM46" s="134"/>
      <c r="CN46" s="84" t="s">
        <v>112</v>
      </c>
    </row>
    <row r="47" spans="7:92">
      <c r="G47" s="84">
        <v>43</v>
      </c>
      <c r="H47" s="30">
        <v>68</v>
      </c>
      <c r="I47" s="31">
        <f t="shared" si="53"/>
        <v>70</v>
      </c>
      <c r="J47" s="31">
        <f t="shared" si="20"/>
        <v>71</v>
      </c>
      <c r="K47" s="31">
        <f t="shared" si="46"/>
        <v>72</v>
      </c>
      <c r="L47" s="31">
        <f t="shared" si="46"/>
        <v>71</v>
      </c>
      <c r="M47" s="31">
        <f t="shared" si="21"/>
        <v>70</v>
      </c>
      <c r="N47" s="32">
        <f t="shared" si="21"/>
        <v>69</v>
      </c>
      <c r="O47" s="31">
        <f t="shared" si="39"/>
        <v>69</v>
      </c>
      <c r="P47" s="31">
        <f t="shared" si="44"/>
        <v>68</v>
      </c>
      <c r="Q47" s="31">
        <f t="shared" si="43"/>
        <v>68</v>
      </c>
      <c r="R47" s="31">
        <f t="shared" si="22"/>
        <v>70</v>
      </c>
      <c r="S47" s="31">
        <f t="shared" si="51"/>
        <v>72</v>
      </c>
      <c r="T47" s="31">
        <f t="shared" si="48"/>
        <v>75</v>
      </c>
      <c r="U47" s="31">
        <v>79</v>
      </c>
      <c r="V47" s="37">
        <v>64</v>
      </c>
      <c r="W47" s="47">
        <f t="shared" si="23"/>
        <v>68</v>
      </c>
      <c r="X47" s="47">
        <f t="shared" si="23"/>
        <v>70</v>
      </c>
      <c r="Y47" s="47">
        <f t="shared" si="24"/>
        <v>70</v>
      </c>
      <c r="Z47" s="47">
        <f t="shared" si="47"/>
        <v>69</v>
      </c>
      <c r="AA47" s="47">
        <f t="shared" si="45"/>
        <v>65</v>
      </c>
      <c r="AB47" s="133"/>
      <c r="AC47" s="37">
        <f t="shared" si="33"/>
        <v>67</v>
      </c>
      <c r="AD47" s="47">
        <f t="shared" si="54"/>
        <v>69</v>
      </c>
      <c r="AE47" s="47">
        <f t="shared" si="50"/>
        <v>69</v>
      </c>
      <c r="AF47" s="47">
        <f t="shared" si="49"/>
        <v>69</v>
      </c>
      <c r="AG47" s="47">
        <f t="shared" si="41"/>
        <v>68</v>
      </c>
      <c r="AH47" s="47">
        <f t="shared" si="34"/>
        <v>66</v>
      </c>
      <c r="AI47" s="134"/>
      <c r="AJ47" s="94"/>
      <c r="AK47" s="95"/>
      <c r="AL47" s="95"/>
      <c r="AM47" s="95"/>
      <c r="AN47" s="95"/>
      <c r="AO47" s="95"/>
      <c r="AP47" s="141"/>
      <c r="AQ47" s="95"/>
      <c r="AR47" s="95"/>
      <c r="AS47" s="95"/>
      <c r="AT47" s="95"/>
      <c r="AU47" s="95"/>
      <c r="AV47" s="95"/>
      <c r="AW47" s="95"/>
      <c r="AX47" s="106"/>
      <c r="AY47" s="107"/>
      <c r="AZ47" s="107"/>
      <c r="BA47" s="107"/>
      <c r="BB47" s="107"/>
      <c r="BC47" s="107"/>
      <c r="BD47" s="108"/>
      <c r="BE47" s="107"/>
      <c r="BF47" s="107"/>
      <c r="BG47" s="107"/>
      <c r="BH47" s="107"/>
      <c r="BI47" s="107"/>
      <c r="BJ47" s="107"/>
      <c r="BK47" s="108"/>
      <c r="BL47" s="30">
        <v>104</v>
      </c>
      <c r="BM47" s="31">
        <f t="shared" si="36"/>
        <v>100</v>
      </c>
      <c r="BN47" s="31">
        <f t="shared" si="5"/>
        <v>98</v>
      </c>
      <c r="BO47" s="31">
        <f t="shared" si="6"/>
        <v>97</v>
      </c>
      <c r="BP47" s="31">
        <f t="shared" si="7"/>
        <v>97</v>
      </c>
      <c r="BQ47" s="31">
        <f t="shared" si="8"/>
        <v>98</v>
      </c>
      <c r="BR47" s="32">
        <f t="shared" si="26"/>
        <v>99</v>
      </c>
      <c r="BS47" s="31">
        <v>102</v>
      </c>
      <c r="BT47" s="31">
        <f t="shared" si="28"/>
        <v>99</v>
      </c>
      <c r="BU47" s="31">
        <f t="shared" si="29"/>
        <v>97</v>
      </c>
      <c r="BV47" s="31">
        <f t="shared" si="9"/>
        <v>97</v>
      </c>
      <c r="BW47" s="31">
        <f t="shared" si="10"/>
        <v>97</v>
      </c>
      <c r="BX47" s="31">
        <f t="shared" si="37"/>
        <v>98</v>
      </c>
      <c r="BY47" s="31">
        <f t="shared" si="11"/>
        <v>100</v>
      </c>
      <c r="BZ47" s="37">
        <f t="shared" si="40"/>
        <v>91</v>
      </c>
      <c r="CA47" s="47">
        <f t="shared" si="12"/>
        <v>91</v>
      </c>
      <c r="CB47" s="47">
        <f t="shared" si="13"/>
        <v>91</v>
      </c>
      <c r="CC47" s="47">
        <f t="shared" si="14"/>
        <v>90</v>
      </c>
      <c r="CD47" s="47">
        <f t="shared" si="30"/>
        <v>90</v>
      </c>
      <c r="CE47" s="47">
        <f t="shared" si="38"/>
        <v>89</v>
      </c>
      <c r="CF47" s="133"/>
      <c r="CG47" s="37">
        <f t="shared" si="15"/>
        <v>90</v>
      </c>
      <c r="CH47" s="47">
        <v>88</v>
      </c>
      <c r="CI47" s="47">
        <f t="shared" si="31"/>
        <v>88</v>
      </c>
      <c r="CJ47" s="47">
        <v>87</v>
      </c>
      <c r="CK47" s="47">
        <f t="shared" si="18"/>
        <v>88</v>
      </c>
      <c r="CL47" s="47">
        <f t="shared" si="19"/>
        <v>88</v>
      </c>
      <c r="CM47" s="134"/>
      <c r="CN47" s="84" t="s">
        <v>112</v>
      </c>
    </row>
    <row r="48" spans="7:92">
      <c r="G48" s="84">
        <v>44</v>
      </c>
      <c r="H48" s="30">
        <v>69</v>
      </c>
      <c r="I48" s="31">
        <f t="shared" si="53"/>
        <v>71</v>
      </c>
      <c r="J48" s="31">
        <f t="shared" si="20"/>
        <v>72</v>
      </c>
      <c r="K48" s="31">
        <f t="shared" si="46"/>
        <v>72</v>
      </c>
      <c r="L48" s="31">
        <f t="shared" si="46"/>
        <v>72</v>
      </c>
      <c r="M48" s="31">
        <f t="shared" si="21"/>
        <v>71</v>
      </c>
      <c r="N48" s="32">
        <v>70</v>
      </c>
      <c r="O48" s="31">
        <f t="shared" si="39"/>
        <v>70</v>
      </c>
      <c r="P48" s="31">
        <f t="shared" si="44"/>
        <v>69</v>
      </c>
      <c r="Q48" s="31">
        <f t="shared" si="43"/>
        <v>69</v>
      </c>
      <c r="R48" s="31">
        <f t="shared" si="22"/>
        <v>70</v>
      </c>
      <c r="S48" s="31">
        <f t="shared" si="51"/>
        <v>73</v>
      </c>
      <c r="T48" s="31">
        <f t="shared" si="48"/>
        <v>76</v>
      </c>
      <c r="U48" s="31">
        <v>79</v>
      </c>
      <c r="V48" s="37">
        <v>65</v>
      </c>
      <c r="W48" s="47">
        <f t="shared" si="23"/>
        <v>69</v>
      </c>
      <c r="X48" s="47">
        <f t="shared" si="23"/>
        <v>71</v>
      </c>
      <c r="Y48" s="47">
        <f t="shared" si="24"/>
        <v>71</v>
      </c>
      <c r="Z48" s="47">
        <f t="shared" si="47"/>
        <v>69</v>
      </c>
      <c r="AA48" s="47">
        <f t="shared" si="45"/>
        <v>66</v>
      </c>
      <c r="AB48" s="133"/>
      <c r="AC48" s="37">
        <f t="shared" si="33"/>
        <v>68</v>
      </c>
      <c r="AD48" s="47">
        <f t="shared" si="54"/>
        <v>69</v>
      </c>
      <c r="AE48" s="47">
        <f t="shared" si="50"/>
        <v>70</v>
      </c>
      <c r="AF48" s="47">
        <f t="shared" si="49"/>
        <v>70</v>
      </c>
      <c r="AG48" s="47">
        <f t="shared" si="41"/>
        <v>69</v>
      </c>
      <c r="AH48" s="47">
        <f t="shared" si="34"/>
        <v>67</v>
      </c>
      <c r="AI48" s="134"/>
      <c r="AJ48" s="94"/>
      <c r="AK48" s="95"/>
      <c r="AL48" s="95"/>
      <c r="AM48" s="95"/>
      <c r="AN48" s="95"/>
      <c r="AO48" s="95"/>
      <c r="AP48" s="141"/>
      <c r="AQ48" s="95"/>
      <c r="AR48" s="95"/>
      <c r="AS48" s="95"/>
      <c r="AT48" s="95"/>
      <c r="AU48" s="95"/>
      <c r="AV48" s="95"/>
      <c r="AW48" s="95"/>
      <c r="AX48" s="106"/>
      <c r="AY48" s="107"/>
      <c r="AZ48" s="107"/>
      <c r="BA48" s="107"/>
      <c r="BB48" s="107"/>
      <c r="BC48" s="107"/>
      <c r="BD48" s="108"/>
      <c r="BE48" s="107"/>
      <c r="BF48" s="107"/>
      <c r="BG48" s="107"/>
      <c r="BH48" s="107"/>
      <c r="BI48" s="107"/>
      <c r="BJ48" s="107"/>
      <c r="BK48" s="108"/>
      <c r="BL48" s="30">
        <f>BL47+2</f>
        <v>106</v>
      </c>
      <c r="BM48" s="31">
        <f t="shared" si="36"/>
        <v>101</v>
      </c>
      <c r="BN48" s="31">
        <f t="shared" si="5"/>
        <v>99</v>
      </c>
      <c r="BO48" s="31">
        <v>99</v>
      </c>
      <c r="BP48" s="31">
        <f t="shared" si="7"/>
        <v>98</v>
      </c>
      <c r="BQ48" s="31">
        <f t="shared" si="8"/>
        <v>99</v>
      </c>
      <c r="BR48" s="32">
        <v>101</v>
      </c>
      <c r="BS48" s="31">
        <v>104</v>
      </c>
      <c r="BT48" s="31">
        <f t="shared" si="28"/>
        <v>100</v>
      </c>
      <c r="BU48" s="31">
        <v>99</v>
      </c>
      <c r="BV48" s="31">
        <f t="shared" si="9"/>
        <v>98</v>
      </c>
      <c r="BW48" s="31">
        <f t="shared" si="10"/>
        <v>98</v>
      </c>
      <c r="BX48" s="31">
        <f t="shared" si="37"/>
        <v>99</v>
      </c>
      <c r="BY48" s="31">
        <f t="shared" si="11"/>
        <v>101</v>
      </c>
      <c r="BZ48" s="37">
        <f t="shared" si="40"/>
        <v>92</v>
      </c>
      <c r="CA48" s="47">
        <f t="shared" si="12"/>
        <v>92</v>
      </c>
      <c r="CB48" s="47">
        <f t="shared" si="13"/>
        <v>92</v>
      </c>
      <c r="CC48" s="47">
        <f t="shared" si="14"/>
        <v>91</v>
      </c>
      <c r="CD48" s="47">
        <f t="shared" si="30"/>
        <v>91</v>
      </c>
      <c r="CE48" s="47">
        <f t="shared" si="38"/>
        <v>90</v>
      </c>
      <c r="CF48" s="133"/>
      <c r="CG48" s="37">
        <f t="shared" si="15"/>
        <v>91</v>
      </c>
      <c r="CH48" s="47">
        <f t="shared" si="16"/>
        <v>89</v>
      </c>
      <c r="CI48" s="47">
        <f t="shared" si="31"/>
        <v>89</v>
      </c>
      <c r="CJ48" s="47">
        <f t="shared" si="17"/>
        <v>88</v>
      </c>
      <c r="CK48" s="47">
        <v>88</v>
      </c>
      <c r="CL48" s="47">
        <f t="shared" si="19"/>
        <v>89</v>
      </c>
      <c r="CM48" s="134"/>
      <c r="CN48" s="84" t="s">
        <v>112</v>
      </c>
    </row>
    <row r="49" spans="7:92">
      <c r="G49" s="84">
        <v>45</v>
      </c>
      <c r="H49" s="30">
        <v>69</v>
      </c>
      <c r="I49" s="31">
        <f t="shared" si="53"/>
        <v>71</v>
      </c>
      <c r="J49" s="31">
        <f t="shared" si="20"/>
        <v>72</v>
      </c>
      <c r="K49" s="31">
        <f t="shared" si="46"/>
        <v>73</v>
      </c>
      <c r="L49" s="31">
        <f t="shared" si="46"/>
        <v>72</v>
      </c>
      <c r="M49" s="31">
        <f t="shared" si="21"/>
        <v>71</v>
      </c>
      <c r="N49" s="32">
        <f t="shared" si="21"/>
        <v>70</v>
      </c>
      <c r="O49" s="31">
        <f t="shared" si="39"/>
        <v>70</v>
      </c>
      <c r="P49" s="31">
        <f t="shared" si="44"/>
        <v>69</v>
      </c>
      <c r="Q49" s="31">
        <f t="shared" si="43"/>
        <v>69</v>
      </c>
      <c r="R49" s="31">
        <f t="shared" si="22"/>
        <v>71</v>
      </c>
      <c r="S49" s="31">
        <f t="shared" si="51"/>
        <v>73</v>
      </c>
      <c r="T49" s="31">
        <f t="shared" si="48"/>
        <v>76</v>
      </c>
      <c r="U49" s="31">
        <v>79</v>
      </c>
      <c r="V49" s="37">
        <v>65</v>
      </c>
      <c r="W49" s="47">
        <f t="shared" si="23"/>
        <v>69</v>
      </c>
      <c r="X49" s="47">
        <f t="shared" si="23"/>
        <v>71</v>
      </c>
      <c r="Y49" s="47">
        <f t="shared" si="24"/>
        <v>71</v>
      </c>
      <c r="Z49" s="47">
        <f t="shared" si="47"/>
        <v>70</v>
      </c>
      <c r="AA49" s="47">
        <f t="shared" si="45"/>
        <v>66</v>
      </c>
      <c r="AB49" s="133"/>
      <c r="AC49" s="37">
        <f t="shared" si="33"/>
        <v>68</v>
      </c>
      <c r="AD49" s="47">
        <f t="shared" si="54"/>
        <v>70</v>
      </c>
      <c r="AE49" s="47">
        <f t="shared" si="50"/>
        <v>70</v>
      </c>
      <c r="AF49" s="47">
        <f t="shared" si="49"/>
        <v>70</v>
      </c>
      <c r="AG49" s="47">
        <f t="shared" si="41"/>
        <v>69</v>
      </c>
      <c r="AH49" s="47">
        <f t="shared" si="34"/>
        <v>67</v>
      </c>
      <c r="AI49" s="134"/>
      <c r="AJ49" s="94"/>
      <c r="AK49" s="95"/>
      <c r="AL49" s="95"/>
      <c r="AM49" s="95"/>
      <c r="AN49" s="95"/>
      <c r="AO49" s="95"/>
      <c r="AP49" s="141"/>
      <c r="AQ49" s="95"/>
      <c r="AR49" s="95"/>
      <c r="AS49" s="95"/>
      <c r="AT49" s="95"/>
      <c r="AU49" s="95"/>
      <c r="AV49" s="95"/>
      <c r="AW49" s="95"/>
      <c r="AX49" s="106"/>
      <c r="AY49" s="107"/>
      <c r="AZ49" s="107"/>
      <c r="BA49" s="107"/>
      <c r="BB49" s="107"/>
      <c r="BC49" s="107"/>
      <c r="BD49" s="108"/>
      <c r="BE49" s="107"/>
      <c r="BF49" s="107"/>
      <c r="BG49" s="107"/>
      <c r="BH49" s="107"/>
      <c r="BI49" s="107"/>
      <c r="BJ49" s="107"/>
      <c r="BK49" s="108"/>
      <c r="BL49" s="30">
        <f t="shared" ref="BL49:BL55" si="55">BL48+2</f>
        <v>108</v>
      </c>
      <c r="BM49" s="31">
        <v>103</v>
      </c>
      <c r="BN49" s="31">
        <f t="shared" si="5"/>
        <v>100</v>
      </c>
      <c r="BO49" s="31">
        <f t="shared" si="6"/>
        <v>100</v>
      </c>
      <c r="BP49" s="31">
        <f t="shared" si="7"/>
        <v>99</v>
      </c>
      <c r="BQ49" s="31">
        <f t="shared" si="8"/>
        <v>100</v>
      </c>
      <c r="BR49" s="32">
        <f t="shared" si="26"/>
        <v>102</v>
      </c>
      <c r="BS49" s="31">
        <v>106</v>
      </c>
      <c r="BT49" s="31">
        <v>102</v>
      </c>
      <c r="BU49" s="31">
        <f t="shared" si="29"/>
        <v>100</v>
      </c>
      <c r="BV49" s="31">
        <f t="shared" si="9"/>
        <v>99</v>
      </c>
      <c r="BW49" s="31">
        <f t="shared" si="10"/>
        <v>99</v>
      </c>
      <c r="BX49" s="31">
        <f t="shared" si="37"/>
        <v>100</v>
      </c>
      <c r="BY49" s="31">
        <v>103</v>
      </c>
      <c r="BZ49" s="37">
        <f t="shared" si="40"/>
        <v>93</v>
      </c>
      <c r="CA49" s="47">
        <f t="shared" si="12"/>
        <v>93</v>
      </c>
      <c r="CB49" s="47">
        <v>92</v>
      </c>
      <c r="CC49" s="47">
        <f t="shared" si="14"/>
        <v>92</v>
      </c>
      <c r="CD49" s="47">
        <v>91</v>
      </c>
      <c r="CE49" s="47">
        <f t="shared" si="38"/>
        <v>91</v>
      </c>
      <c r="CF49" s="133"/>
      <c r="CG49" s="37">
        <f t="shared" si="15"/>
        <v>92</v>
      </c>
      <c r="CH49" s="47">
        <f t="shared" si="16"/>
        <v>90</v>
      </c>
      <c r="CI49" s="47">
        <v>89</v>
      </c>
      <c r="CJ49" s="47">
        <f t="shared" si="17"/>
        <v>89</v>
      </c>
      <c r="CK49" s="47">
        <f t="shared" si="18"/>
        <v>89</v>
      </c>
      <c r="CL49" s="47">
        <f t="shared" si="19"/>
        <v>90</v>
      </c>
      <c r="CM49" s="134"/>
      <c r="CN49" s="84" t="s">
        <v>112</v>
      </c>
    </row>
    <row r="50" spans="7:92">
      <c r="G50" s="84">
        <v>46</v>
      </c>
      <c r="H50" s="30">
        <v>70</v>
      </c>
      <c r="I50" s="31">
        <f t="shared" si="53"/>
        <v>72</v>
      </c>
      <c r="J50" s="31">
        <f t="shared" si="20"/>
        <v>73</v>
      </c>
      <c r="K50" s="31">
        <f t="shared" si="46"/>
        <v>73</v>
      </c>
      <c r="L50" s="31">
        <f t="shared" si="46"/>
        <v>73</v>
      </c>
      <c r="M50" s="31">
        <f t="shared" si="21"/>
        <v>72</v>
      </c>
      <c r="N50" s="32">
        <f t="shared" si="21"/>
        <v>71</v>
      </c>
      <c r="O50" s="31">
        <f t="shared" si="39"/>
        <v>71</v>
      </c>
      <c r="P50" s="31">
        <f t="shared" si="44"/>
        <v>70</v>
      </c>
      <c r="Q50" s="31">
        <f t="shared" si="43"/>
        <v>70</v>
      </c>
      <c r="R50" s="31">
        <f t="shared" si="22"/>
        <v>71</v>
      </c>
      <c r="S50" s="31">
        <f t="shared" si="51"/>
        <v>74</v>
      </c>
      <c r="T50" s="31">
        <v>76</v>
      </c>
      <c r="U50" s="31">
        <v>80</v>
      </c>
      <c r="V50" s="37">
        <v>66</v>
      </c>
      <c r="W50" s="47">
        <f t="shared" si="23"/>
        <v>70</v>
      </c>
      <c r="X50" s="47">
        <v>71</v>
      </c>
      <c r="Y50" s="47">
        <f t="shared" si="24"/>
        <v>72</v>
      </c>
      <c r="Z50" s="47">
        <f t="shared" si="47"/>
        <v>70</v>
      </c>
      <c r="AA50" s="47">
        <f t="shared" si="45"/>
        <v>67</v>
      </c>
      <c r="AB50" s="133"/>
      <c r="AC50" s="37">
        <f t="shared" si="33"/>
        <v>69</v>
      </c>
      <c r="AD50" s="47">
        <f t="shared" si="54"/>
        <v>70</v>
      </c>
      <c r="AE50" s="47">
        <f t="shared" si="50"/>
        <v>71</v>
      </c>
      <c r="AF50" s="47">
        <f t="shared" si="49"/>
        <v>71</v>
      </c>
      <c r="AG50" s="47">
        <f t="shared" si="41"/>
        <v>70</v>
      </c>
      <c r="AH50" s="47">
        <f t="shared" si="34"/>
        <v>68</v>
      </c>
      <c r="AI50" s="134"/>
      <c r="AJ50" s="94"/>
      <c r="AK50" s="95"/>
      <c r="AL50" s="95"/>
      <c r="AM50" s="95"/>
      <c r="AN50" s="95"/>
      <c r="AO50" s="95"/>
      <c r="AP50" s="141"/>
      <c r="AQ50" s="95"/>
      <c r="AR50" s="95"/>
      <c r="AS50" s="95"/>
      <c r="AT50" s="95"/>
      <c r="AU50" s="95"/>
      <c r="AV50" s="95"/>
      <c r="AW50" s="95"/>
      <c r="AX50" s="106"/>
      <c r="AY50" s="107"/>
      <c r="AZ50" s="107"/>
      <c r="BA50" s="107"/>
      <c r="BB50" s="107"/>
      <c r="BC50" s="107"/>
      <c r="BD50" s="108"/>
      <c r="BE50" s="107"/>
      <c r="BF50" s="107"/>
      <c r="BG50" s="107"/>
      <c r="BH50" s="107"/>
      <c r="BI50" s="107"/>
      <c r="BJ50" s="107"/>
      <c r="BK50" s="108"/>
      <c r="BL50" s="30">
        <f t="shared" si="55"/>
        <v>110</v>
      </c>
      <c r="BM50" s="31">
        <v>105</v>
      </c>
      <c r="BN50" s="31">
        <v>102</v>
      </c>
      <c r="BO50" s="31">
        <f t="shared" si="6"/>
        <v>101</v>
      </c>
      <c r="BP50" s="31">
        <v>101</v>
      </c>
      <c r="BQ50" s="31">
        <v>102</v>
      </c>
      <c r="BR50" s="32">
        <f t="shared" si="26"/>
        <v>103</v>
      </c>
      <c r="BS50" s="31">
        <v>108</v>
      </c>
      <c r="BT50" s="31">
        <v>104</v>
      </c>
      <c r="BU50" s="31">
        <f t="shared" si="29"/>
        <v>101</v>
      </c>
      <c r="BV50" s="31">
        <f t="shared" si="9"/>
        <v>100</v>
      </c>
      <c r="BW50" s="31">
        <f t="shared" si="10"/>
        <v>100</v>
      </c>
      <c r="BX50" s="31">
        <v>102</v>
      </c>
      <c r="BY50" s="31">
        <v>105</v>
      </c>
      <c r="BZ50" s="37">
        <v>95</v>
      </c>
      <c r="CA50" s="47">
        <f t="shared" si="12"/>
        <v>94</v>
      </c>
      <c r="CB50" s="47">
        <f t="shared" si="13"/>
        <v>93</v>
      </c>
      <c r="CC50" s="47">
        <f t="shared" si="14"/>
        <v>93</v>
      </c>
      <c r="CD50" s="47">
        <f t="shared" si="30"/>
        <v>92</v>
      </c>
      <c r="CE50" s="47">
        <v>91</v>
      </c>
      <c r="CF50" s="133"/>
      <c r="CG50" s="37">
        <f t="shared" si="15"/>
        <v>93</v>
      </c>
      <c r="CH50" s="47">
        <f t="shared" si="16"/>
        <v>91</v>
      </c>
      <c r="CI50" s="47">
        <f t="shared" si="31"/>
        <v>90</v>
      </c>
      <c r="CJ50" s="47">
        <f t="shared" si="17"/>
        <v>90</v>
      </c>
      <c r="CK50" s="47">
        <f t="shared" si="18"/>
        <v>90</v>
      </c>
      <c r="CL50" s="47">
        <f t="shared" si="19"/>
        <v>91</v>
      </c>
      <c r="CM50" s="134"/>
      <c r="CN50" s="84" t="s">
        <v>112</v>
      </c>
    </row>
    <row r="51" spans="7:92">
      <c r="G51" s="84">
        <v>47</v>
      </c>
      <c r="H51" s="30">
        <v>71</v>
      </c>
      <c r="I51" s="31">
        <f t="shared" si="53"/>
        <v>72</v>
      </c>
      <c r="J51" s="31">
        <f t="shared" si="20"/>
        <v>73</v>
      </c>
      <c r="K51" s="31">
        <f t="shared" si="46"/>
        <v>74</v>
      </c>
      <c r="L51" s="31">
        <f t="shared" si="46"/>
        <v>73</v>
      </c>
      <c r="M51" s="31">
        <f t="shared" si="21"/>
        <v>72</v>
      </c>
      <c r="N51" s="32">
        <f t="shared" si="21"/>
        <v>71</v>
      </c>
      <c r="O51" s="31">
        <v>72</v>
      </c>
      <c r="P51" s="31">
        <f t="shared" si="44"/>
        <v>70</v>
      </c>
      <c r="Q51" s="31">
        <f t="shared" si="43"/>
        <v>70</v>
      </c>
      <c r="R51" s="31">
        <f t="shared" si="22"/>
        <v>72</v>
      </c>
      <c r="S51" s="31">
        <f t="shared" si="51"/>
        <v>74</v>
      </c>
      <c r="T51" s="31">
        <f t="shared" si="48"/>
        <v>77</v>
      </c>
      <c r="U51" s="31">
        <v>80</v>
      </c>
      <c r="V51" s="37">
        <v>66</v>
      </c>
      <c r="W51" s="47">
        <f t="shared" si="23"/>
        <v>70</v>
      </c>
      <c r="X51" s="47">
        <f t="shared" si="23"/>
        <v>72</v>
      </c>
      <c r="Y51" s="47">
        <f t="shared" si="24"/>
        <v>72</v>
      </c>
      <c r="Z51" s="47">
        <f t="shared" si="47"/>
        <v>71</v>
      </c>
      <c r="AA51" s="47">
        <f t="shared" si="45"/>
        <v>67</v>
      </c>
      <c r="AB51" s="133"/>
      <c r="AC51" s="37">
        <f t="shared" si="33"/>
        <v>69</v>
      </c>
      <c r="AD51" s="47">
        <f t="shared" si="54"/>
        <v>71</v>
      </c>
      <c r="AE51" s="47">
        <f t="shared" si="50"/>
        <v>71</v>
      </c>
      <c r="AF51" s="47">
        <f t="shared" si="49"/>
        <v>71</v>
      </c>
      <c r="AG51" s="47">
        <f t="shared" si="41"/>
        <v>70</v>
      </c>
      <c r="AH51" s="47">
        <f t="shared" si="34"/>
        <v>68</v>
      </c>
      <c r="AI51" s="134"/>
      <c r="AJ51" s="94"/>
      <c r="AK51" s="95"/>
      <c r="AL51" s="95"/>
      <c r="AM51" s="95"/>
      <c r="AN51" s="95"/>
      <c r="AO51" s="95"/>
      <c r="AP51" s="141"/>
      <c r="AQ51" s="95"/>
      <c r="AR51" s="95"/>
      <c r="AS51" s="95"/>
      <c r="AT51" s="95"/>
      <c r="AU51" s="95"/>
      <c r="AV51" s="95"/>
      <c r="AW51" s="95"/>
      <c r="AX51" s="106"/>
      <c r="AY51" s="107"/>
      <c r="AZ51" s="107"/>
      <c r="BA51" s="107"/>
      <c r="BB51" s="107"/>
      <c r="BC51" s="107"/>
      <c r="BD51" s="108"/>
      <c r="BE51" s="107"/>
      <c r="BF51" s="107"/>
      <c r="BG51" s="107"/>
      <c r="BH51" s="107"/>
      <c r="BI51" s="107"/>
      <c r="BJ51" s="107"/>
      <c r="BK51" s="108"/>
      <c r="BL51" s="30">
        <f t="shared" si="55"/>
        <v>112</v>
      </c>
      <c r="BM51" s="31">
        <v>107</v>
      </c>
      <c r="BN51" s="31">
        <v>104</v>
      </c>
      <c r="BO51" s="31">
        <f t="shared" si="6"/>
        <v>102</v>
      </c>
      <c r="BP51" s="31">
        <f t="shared" si="7"/>
        <v>102</v>
      </c>
      <c r="BQ51" s="31">
        <f t="shared" si="8"/>
        <v>103</v>
      </c>
      <c r="BR51" s="32">
        <f t="shared" si="26"/>
        <v>104</v>
      </c>
      <c r="BS51" s="31">
        <v>110</v>
      </c>
      <c r="BT51" s="31">
        <f t="shared" si="28"/>
        <v>105</v>
      </c>
      <c r="BU51" s="31">
        <v>103</v>
      </c>
      <c r="BV51" s="31">
        <v>102</v>
      </c>
      <c r="BW51" s="31">
        <v>102</v>
      </c>
      <c r="BX51" s="31">
        <f t="shared" si="37"/>
        <v>103</v>
      </c>
      <c r="BY51" s="31">
        <v>107</v>
      </c>
      <c r="BZ51" s="37">
        <f t="shared" si="40"/>
        <v>96</v>
      </c>
      <c r="CA51" s="47">
        <f t="shared" si="12"/>
        <v>95</v>
      </c>
      <c r="CB51" s="47">
        <f t="shared" si="13"/>
        <v>94</v>
      </c>
      <c r="CC51" s="47">
        <f t="shared" si="14"/>
        <v>94</v>
      </c>
      <c r="CD51" s="47">
        <f t="shared" si="30"/>
        <v>93</v>
      </c>
      <c r="CE51" s="47">
        <f t="shared" si="38"/>
        <v>92</v>
      </c>
      <c r="CF51" s="133"/>
      <c r="CG51" s="37">
        <f t="shared" si="15"/>
        <v>94</v>
      </c>
      <c r="CH51" s="47">
        <f t="shared" si="16"/>
        <v>92</v>
      </c>
      <c r="CI51" s="47">
        <f t="shared" si="31"/>
        <v>91</v>
      </c>
      <c r="CJ51" s="47">
        <f t="shared" si="17"/>
        <v>91</v>
      </c>
      <c r="CK51" s="47">
        <f t="shared" si="18"/>
        <v>91</v>
      </c>
      <c r="CL51" s="47">
        <f t="shared" si="19"/>
        <v>92</v>
      </c>
      <c r="CM51" s="134"/>
      <c r="CN51" s="84" t="s">
        <v>112</v>
      </c>
    </row>
    <row r="52" spans="7:92">
      <c r="G52" s="84">
        <v>48</v>
      </c>
      <c r="H52" s="30">
        <v>71</v>
      </c>
      <c r="I52" s="31">
        <f t="shared" si="53"/>
        <v>73</v>
      </c>
      <c r="J52" s="31">
        <f t="shared" si="20"/>
        <v>74</v>
      </c>
      <c r="K52" s="31">
        <f t="shared" si="46"/>
        <v>74</v>
      </c>
      <c r="L52" s="31">
        <f t="shared" si="46"/>
        <v>74</v>
      </c>
      <c r="M52" s="31">
        <f t="shared" si="21"/>
        <v>73</v>
      </c>
      <c r="N52" s="32">
        <f t="shared" si="21"/>
        <v>72</v>
      </c>
      <c r="O52" s="31">
        <f t="shared" si="39"/>
        <v>72</v>
      </c>
      <c r="P52" s="31">
        <f t="shared" si="44"/>
        <v>71</v>
      </c>
      <c r="Q52" s="31">
        <f t="shared" si="43"/>
        <v>71</v>
      </c>
      <c r="R52" s="31">
        <f t="shared" si="22"/>
        <v>72</v>
      </c>
      <c r="S52" s="31">
        <v>74</v>
      </c>
      <c r="T52" s="31">
        <f t="shared" si="48"/>
        <v>77</v>
      </c>
      <c r="U52" s="31">
        <f t="shared" si="32"/>
        <v>81</v>
      </c>
      <c r="V52" s="37">
        <v>67</v>
      </c>
      <c r="W52" s="47">
        <f t="shared" si="23"/>
        <v>71</v>
      </c>
      <c r="X52" s="47">
        <f t="shared" si="23"/>
        <v>72</v>
      </c>
      <c r="Y52" s="47">
        <v>72</v>
      </c>
      <c r="Z52" s="47">
        <f t="shared" si="47"/>
        <v>71</v>
      </c>
      <c r="AA52" s="47">
        <f t="shared" si="45"/>
        <v>68</v>
      </c>
      <c r="AB52" s="133"/>
      <c r="AC52" s="37">
        <f t="shared" si="33"/>
        <v>70</v>
      </c>
      <c r="AD52" s="47">
        <f t="shared" si="54"/>
        <v>71</v>
      </c>
      <c r="AE52" s="47">
        <f t="shared" si="50"/>
        <v>72</v>
      </c>
      <c r="AF52" s="47">
        <v>71</v>
      </c>
      <c r="AG52" s="47">
        <f t="shared" si="41"/>
        <v>71</v>
      </c>
      <c r="AH52" s="47">
        <f t="shared" si="34"/>
        <v>69</v>
      </c>
      <c r="AI52" s="134"/>
      <c r="AJ52" s="94"/>
      <c r="AK52" s="95"/>
      <c r="AL52" s="95"/>
      <c r="AM52" s="95"/>
      <c r="AN52" s="95"/>
      <c r="AO52" s="95"/>
      <c r="AP52" s="141"/>
      <c r="AQ52" s="95"/>
      <c r="AR52" s="95"/>
      <c r="AS52" s="95"/>
      <c r="AT52" s="95"/>
      <c r="AU52" s="95"/>
      <c r="AV52" s="95"/>
      <c r="AW52" s="95"/>
      <c r="AX52" s="106"/>
      <c r="AY52" s="107"/>
      <c r="AZ52" s="107"/>
      <c r="BA52" s="107"/>
      <c r="BB52" s="107"/>
      <c r="BC52" s="107"/>
      <c r="BD52" s="108"/>
      <c r="BE52" s="107"/>
      <c r="BF52" s="107"/>
      <c r="BG52" s="107"/>
      <c r="BH52" s="107"/>
      <c r="BI52" s="107"/>
      <c r="BJ52" s="107"/>
      <c r="BK52" s="108"/>
      <c r="BL52" s="30">
        <f t="shared" si="55"/>
        <v>114</v>
      </c>
      <c r="BM52" s="31">
        <v>109</v>
      </c>
      <c r="BN52" s="31">
        <f t="shared" si="5"/>
        <v>105</v>
      </c>
      <c r="BO52" s="31">
        <v>104</v>
      </c>
      <c r="BP52" s="31">
        <f t="shared" si="7"/>
        <v>103</v>
      </c>
      <c r="BQ52" s="31">
        <f t="shared" si="8"/>
        <v>104</v>
      </c>
      <c r="BR52" s="32">
        <v>106</v>
      </c>
      <c r="BS52" s="31">
        <v>112</v>
      </c>
      <c r="BT52" s="31">
        <v>107</v>
      </c>
      <c r="BU52" s="31">
        <f t="shared" si="29"/>
        <v>104</v>
      </c>
      <c r="BV52" s="31">
        <f t="shared" si="9"/>
        <v>103</v>
      </c>
      <c r="BW52" s="31">
        <f t="shared" si="10"/>
        <v>103</v>
      </c>
      <c r="BX52" s="31">
        <v>105</v>
      </c>
      <c r="BY52" s="31">
        <v>109</v>
      </c>
      <c r="BZ52" s="37">
        <f t="shared" si="40"/>
        <v>97</v>
      </c>
      <c r="CA52" s="47">
        <f t="shared" si="12"/>
        <v>96</v>
      </c>
      <c r="CB52" s="47">
        <f t="shared" si="13"/>
        <v>95</v>
      </c>
      <c r="CC52" s="47">
        <v>94</v>
      </c>
      <c r="CD52" s="47">
        <f t="shared" si="30"/>
        <v>94</v>
      </c>
      <c r="CE52" s="47">
        <f t="shared" si="38"/>
        <v>93</v>
      </c>
      <c r="CF52" s="133"/>
      <c r="CG52" s="37">
        <f t="shared" si="15"/>
        <v>95</v>
      </c>
      <c r="CH52" s="47">
        <f t="shared" si="16"/>
        <v>93</v>
      </c>
      <c r="CI52" s="47">
        <f t="shared" si="31"/>
        <v>92</v>
      </c>
      <c r="CJ52" s="47">
        <f t="shared" si="17"/>
        <v>92</v>
      </c>
      <c r="CK52" s="47">
        <f t="shared" si="18"/>
        <v>92</v>
      </c>
      <c r="CL52" s="47">
        <f t="shared" si="19"/>
        <v>93</v>
      </c>
      <c r="CM52" s="134"/>
      <c r="CN52" s="84" t="s">
        <v>112</v>
      </c>
    </row>
    <row r="53" spans="7:92">
      <c r="G53" s="84">
        <v>49</v>
      </c>
      <c r="H53" s="30">
        <v>72</v>
      </c>
      <c r="I53" s="31">
        <f t="shared" si="53"/>
        <v>73</v>
      </c>
      <c r="J53" s="31">
        <f t="shared" si="20"/>
        <v>74</v>
      </c>
      <c r="K53" s="31">
        <f t="shared" si="46"/>
        <v>75</v>
      </c>
      <c r="L53" s="31">
        <f t="shared" si="46"/>
        <v>74</v>
      </c>
      <c r="M53" s="31">
        <f t="shared" si="21"/>
        <v>73</v>
      </c>
      <c r="N53" s="32">
        <f t="shared" si="21"/>
        <v>72</v>
      </c>
      <c r="O53" s="31">
        <f t="shared" si="39"/>
        <v>73</v>
      </c>
      <c r="P53" s="31">
        <f t="shared" si="44"/>
        <v>71</v>
      </c>
      <c r="Q53" s="31">
        <v>72</v>
      </c>
      <c r="R53" s="31">
        <f t="shared" si="22"/>
        <v>73</v>
      </c>
      <c r="S53" s="31">
        <f t="shared" si="51"/>
        <v>75</v>
      </c>
      <c r="T53" s="31">
        <f t="shared" si="48"/>
        <v>78</v>
      </c>
      <c r="U53" s="31">
        <v>81</v>
      </c>
      <c r="V53" s="37">
        <v>68</v>
      </c>
      <c r="W53" s="47">
        <f t="shared" si="23"/>
        <v>71</v>
      </c>
      <c r="X53" s="47">
        <f t="shared" si="23"/>
        <v>73</v>
      </c>
      <c r="Y53" s="47">
        <f t="shared" si="24"/>
        <v>73</v>
      </c>
      <c r="Z53" s="47">
        <f t="shared" si="47"/>
        <v>72</v>
      </c>
      <c r="AA53" s="47">
        <f t="shared" si="45"/>
        <v>68</v>
      </c>
      <c r="AB53" s="133"/>
      <c r="AC53" s="37">
        <f t="shared" si="33"/>
        <v>70</v>
      </c>
      <c r="AD53" s="47">
        <v>71</v>
      </c>
      <c r="AE53" s="47">
        <f t="shared" si="50"/>
        <v>72</v>
      </c>
      <c r="AF53" s="47">
        <f t="shared" si="49"/>
        <v>72</v>
      </c>
      <c r="AG53" s="47">
        <f t="shared" si="41"/>
        <v>71</v>
      </c>
      <c r="AH53" s="47">
        <f t="shared" si="34"/>
        <v>69</v>
      </c>
      <c r="AI53" s="134"/>
      <c r="AJ53" s="94"/>
      <c r="AK53" s="95"/>
      <c r="AL53" s="95"/>
      <c r="AM53" s="95"/>
      <c r="AN53" s="95"/>
      <c r="AO53" s="95"/>
      <c r="AP53" s="141"/>
      <c r="AQ53" s="95"/>
      <c r="AR53" s="95"/>
      <c r="AS53" s="95"/>
      <c r="AT53" s="95"/>
      <c r="AU53" s="95"/>
      <c r="AV53" s="95"/>
      <c r="AW53" s="95"/>
      <c r="AX53" s="106"/>
      <c r="AY53" s="107"/>
      <c r="AZ53" s="107"/>
      <c r="BA53" s="107"/>
      <c r="BB53" s="107"/>
      <c r="BC53" s="107"/>
      <c r="BD53" s="108"/>
      <c r="BE53" s="107"/>
      <c r="BF53" s="107"/>
      <c r="BG53" s="107"/>
      <c r="BH53" s="107"/>
      <c r="BI53" s="107"/>
      <c r="BJ53" s="107"/>
      <c r="BK53" s="108"/>
      <c r="BL53" s="30">
        <f t="shared" si="55"/>
        <v>116</v>
      </c>
      <c r="BM53" s="31">
        <v>110</v>
      </c>
      <c r="BN53" s="31">
        <v>107</v>
      </c>
      <c r="BO53" s="31">
        <f t="shared" si="6"/>
        <v>105</v>
      </c>
      <c r="BP53" s="31">
        <v>105</v>
      </c>
      <c r="BQ53" s="31">
        <f t="shared" si="8"/>
        <v>105</v>
      </c>
      <c r="BR53" s="32">
        <f t="shared" si="26"/>
        <v>107</v>
      </c>
      <c r="BS53" s="31">
        <v>115</v>
      </c>
      <c r="BT53" s="31">
        <v>109</v>
      </c>
      <c r="BU53" s="31">
        <v>106</v>
      </c>
      <c r="BV53" s="31">
        <v>105</v>
      </c>
      <c r="BW53" s="31">
        <v>105</v>
      </c>
      <c r="BX53" s="31">
        <v>107</v>
      </c>
      <c r="BY53" s="31">
        <v>111</v>
      </c>
      <c r="BZ53" s="37">
        <f t="shared" si="40"/>
        <v>98</v>
      </c>
      <c r="CA53" s="47">
        <f t="shared" si="12"/>
        <v>97</v>
      </c>
      <c r="CB53" s="47">
        <f t="shared" si="13"/>
        <v>96</v>
      </c>
      <c r="CC53" s="47">
        <f t="shared" si="14"/>
        <v>95</v>
      </c>
      <c r="CD53" s="47">
        <f t="shared" si="30"/>
        <v>95</v>
      </c>
      <c r="CE53" s="47">
        <f t="shared" si="38"/>
        <v>94</v>
      </c>
      <c r="CF53" s="133"/>
      <c r="CG53" s="37">
        <f t="shared" si="15"/>
        <v>96</v>
      </c>
      <c r="CH53" s="47">
        <f t="shared" si="16"/>
        <v>94</v>
      </c>
      <c r="CI53" s="47">
        <f t="shared" si="31"/>
        <v>93</v>
      </c>
      <c r="CJ53" s="47">
        <v>92</v>
      </c>
      <c r="CK53" s="47">
        <f t="shared" si="18"/>
        <v>93</v>
      </c>
      <c r="CL53" s="47">
        <v>93</v>
      </c>
      <c r="CM53" s="134"/>
      <c r="CN53" s="84" t="s">
        <v>112</v>
      </c>
    </row>
    <row r="54" spans="7:92">
      <c r="G54" s="84">
        <v>50</v>
      </c>
      <c r="H54" s="30">
        <v>72</v>
      </c>
      <c r="I54" s="31">
        <f t="shared" si="53"/>
        <v>74</v>
      </c>
      <c r="J54" s="31">
        <f t="shared" si="20"/>
        <v>75</v>
      </c>
      <c r="K54" s="31">
        <f t="shared" si="46"/>
        <v>75</v>
      </c>
      <c r="L54" s="31">
        <f t="shared" si="46"/>
        <v>75</v>
      </c>
      <c r="M54" s="31">
        <f t="shared" si="21"/>
        <v>74</v>
      </c>
      <c r="N54" s="32">
        <f t="shared" si="21"/>
        <v>73</v>
      </c>
      <c r="O54" s="31">
        <f t="shared" si="39"/>
        <v>73</v>
      </c>
      <c r="P54" s="31">
        <f t="shared" si="44"/>
        <v>72</v>
      </c>
      <c r="Q54" s="31">
        <f t="shared" si="43"/>
        <v>72</v>
      </c>
      <c r="R54" s="31">
        <f t="shared" si="22"/>
        <v>73</v>
      </c>
      <c r="S54" s="31">
        <f t="shared" si="51"/>
        <v>75</v>
      </c>
      <c r="T54" s="31">
        <f t="shared" si="48"/>
        <v>78</v>
      </c>
      <c r="U54" s="31">
        <v>81</v>
      </c>
      <c r="V54" s="37">
        <v>68</v>
      </c>
      <c r="W54" s="47">
        <f t="shared" si="23"/>
        <v>72</v>
      </c>
      <c r="X54" s="47">
        <f t="shared" si="23"/>
        <v>73</v>
      </c>
      <c r="Y54" s="47">
        <f t="shared" si="24"/>
        <v>73</v>
      </c>
      <c r="Z54" s="47">
        <f t="shared" si="47"/>
        <v>72</v>
      </c>
      <c r="AA54" s="47">
        <f t="shared" si="45"/>
        <v>69</v>
      </c>
      <c r="AB54" s="133"/>
      <c r="AC54" s="37">
        <f t="shared" si="33"/>
        <v>71</v>
      </c>
      <c r="AD54" s="47">
        <f t="shared" si="54"/>
        <v>72</v>
      </c>
      <c r="AE54" s="47">
        <v>72</v>
      </c>
      <c r="AF54" s="47">
        <f t="shared" si="49"/>
        <v>72</v>
      </c>
      <c r="AG54" s="47">
        <v>71</v>
      </c>
      <c r="AH54" s="47">
        <f t="shared" si="34"/>
        <v>70</v>
      </c>
      <c r="AI54" s="134"/>
      <c r="AJ54" s="94"/>
      <c r="AK54" s="95"/>
      <c r="AL54" s="95"/>
      <c r="AM54" s="95"/>
      <c r="AN54" s="95"/>
      <c r="AO54" s="95"/>
      <c r="AP54" s="141"/>
      <c r="AQ54" s="95"/>
      <c r="AR54" s="95"/>
      <c r="AS54" s="95"/>
      <c r="AT54" s="95"/>
      <c r="AU54" s="95"/>
      <c r="AV54" s="95"/>
      <c r="AW54" s="95"/>
      <c r="AX54" s="106"/>
      <c r="AY54" s="107"/>
      <c r="AZ54" s="107"/>
      <c r="BA54" s="107"/>
      <c r="BB54" s="107"/>
      <c r="BC54" s="107"/>
      <c r="BD54" s="108"/>
      <c r="BE54" s="107"/>
      <c r="BF54" s="107"/>
      <c r="BG54" s="107"/>
      <c r="BH54" s="107"/>
      <c r="BI54" s="107"/>
      <c r="BJ54" s="107"/>
      <c r="BK54" s="108"/>
      <c r="BL54" s="30">
        <f t="shared" si="55"/>
        <v>118</v>
      </c>
      <c r="BM54" s="31">
        <v>112</v>
      </c>
      <c r="BN54" s="31">
        <v>109</v>
      </c>
      <c r="BO54" s="31">
        <v>107</v>
      </c>
      <c r="BP54" s="31">
        <f t="shared" si="7"/>
        <v>106</v>
      </c>
      <c r="BQ54" s="31">
        <v>107</v>
      </c>
      <c r="BR54" s="32">
        <f t="shared" si="26"/>
        <v>108</v>
      </c>
      <c r="BS54" s="31">
        <v>117</v>
      </c>
      <c r="BT54" s="31">
        <f t="shared" si="28"/>
        <v>110</v>
      </c>
      <c r="BU54" s="31">
        <v>107</v>
      </c>
      <c r="BV54" s="31">
        <f t="shared" si="9"/>
        <v>106</v>
      </c>
      <c r="BW54" s="31">
        <f t="shared" si="10"/>
        <v>106</v>
      </c>
      <c r="BX54" s="31">
        <f t="shared" si="37"/>
        <v>108</v>
      </c>
      <c r="BY54" s="31">
        <v>113</v>
      </c>
      <c r="BZ54" s="37">
        <v>100</v>
      </c>
      <c r="CA54" s="47">
        <f t="shared" si="12"/>
        <v>98</v>
      </c>
      <c r="CB54" s="47">
        <f t="shared" si="13"/>
        <v>97</v>
      </c>
      <c r="CC54" s="47">
        <f t="shared" si="14"/>
        <v>96</v>
      </c>
      <c r="CD54" s="47">
        <f t="shared" si="30"/>
        <v>96</v>
      </c>
      <c r="CE54" s="47">
        <f t="shared" si="38"/>
        <v>95</v>
      </c>
      <c r="CF54" s="133"/>
      <c r="CG54" s="37">
        <v>98</v>
      </c>
      <c r="CH54" s="47">
        <f t="shared" si="16"/>
        <v>95</v>
      </c>
      <c r="CI54" s="47">
        <f t="shared" si="31"/>
        <v>94</v>
      </c>
      <c r="CJ54" s="47">
        <f t="shared" si="17"/>
        <v>93</v>
      </c>
      <c r="CK54" s="47">
        <v>93</v>
      </c>
      <c r="CL54" s="47">
        <f t="shared" si="19"/>
        <v>94</v>
      </c>
      <c r="CM54" s="134"/>
      <c r="CN54" s="84" t="s">
        <v>112</v>
      </c>
    </row>
    <row r="55" spans="7:92">
      <c r="G55" s="84">
        <v>51</v>
      </c>
      <c r="H55" s="30">
        <v>73</v>
      </c>
      <c r="I55" s="31">
        <v>75</v>
      </c>
      <c r="J55" s="31">
        <f t="shared" si="20"/>
        <v>75</v>
      </c>
      <c r="K55" s="31">
        <f t="shared" si="46"/>
        <v>76</v>
      </c>
      <c r="L55" s="31">
        <f t="shared" si="46"/>
        <v>75</v>
      </c>
      <c r="M55" s="31">
        <f t="shared" si="21"/>
        <v>74</v>
      </c>
      <c r="N55" s="32">
        <f t="shared" si="21"/>
        <v>73</v>
      </c>
      <c r="O55" s="31">
        <f t="shared" si="39"/>
        <v>74</v>
      </c>
      <c r="P55" s="31">
        <v>73</v>
      </c>
      <c r="Q55" s="31">
        <f t="shared" si="43"/>
        <v>73</v>
      </c>
      <c r="R55" s="31">
        <f t="shared" si="22"/>
        <v>74</v>
      </c>
      <c r="S55" s="31">
        <f t="shared" si="51"/>
        <v>76</v>
      </c>
      <c r="T55" s="31">
        <f t="shared" si="48"/>
        <v>79</v>
      </c>
      <c r="U55" s="31">
        <f t="shared" si="32"/>
        <v>82</v>
      </c>
      <c r="V55" s="37">
        <v>69</v>
      </c>
      <c r="W55" s="47">
        <f t="shared" si="23"/>
        <v>72</v>
      </c>
      <c r="X55" s="47">
        <f t="shared" si="23"/>
        <v>74</v>
      </c>
      <c r="Y55" s="47">
        <f t="shared" si="24"/>
        <v>74</v>
      </c>
      <c r="Z55" s="47">
        <f t="shared" si="47"/>
        <v>73</v>
      </c>
      <c r="AA55" s="47">
        <v>70</v>
      </c>
      <c r="AB55" s="133"/>
      <c r="AC55" s="37">
        <f t="shared" si="33"/>
        <v>71</v>
      </c>
      <c r="AD55" s="47">
        <f t="shared" si="54"/>
        <v>72</v>
      </c>
      <c r="AE55" s="47">
        <f t="shared" si="50"/>
        <v>73</v>
      </c>
      <c r="AF55" s="47">
        <f t="shared" si="49"/>
        <v>73</v>
      </c>
      <c r="AG55" s="47">
        <f t="shared" si="41"/>
        <v>72</v>
      </c>
      <c r="AH55" s="47">
        <f t="shared" si="34"/>
        <v>70</v>
      </c>
      <c r="AI55" s="134"/>
      <c r="AJ55" s="94"/>
      <c r="AK55" s="95"/>
      <c r="AL55" s="95"/>
      <c r="AM55" s="95"/>
      <c r="AN55" s="95"/>
      <c r="AO55" s="95"/>
      <c r="AP55" s="141"/>
      <c r="AQ55" s="95"/>
      <c r="AR55" s="95"/>
      <c r="AS55" s="95"/>
      <c r="AT55" s="95"/>
      <c r="AU55" s="95"/>
      <c r="AV55" s="95"/>
      <c r="AW55" s="95"/>
      <c r="AX55" s="106"/>
      <c r="AY55" s="107"/>
      <c r="AZ55" s="107"/>
      <c r="BA55" s="107"/>
      <c r="BB55" s="107"/>
      <c r="BC55" s="107"/>
      <c r="BD55" s="108"/>
      <c r="BE55" s="107"/>
      <c r="BF55" s="107"/>
      <c r="BG55" s="107"/>
      <c r="BH55" s="107"/>
      <c r="BI55" s="107"/>
      <c r="BJ55" s="107"/>
      <c r="BK55" s="108"/>
      <c r="BL55" s="30">
        <f t="shared" si="55"/>
        <v>120</v>
      </c>
      <c r="BM55" s="31">
        <v>114</v>
      </c>
      <c r="BN55" s="31">
        <f t="shared" si="5"/>
        <v>110</v>
      </c>
      <c r="BO55" s="31">
        <f t="shared" si="6"/>
        <v>108</v>
      </c>
      <c r="BP55" s="31">
        <v>108</v>
      </c>
      <c r="BQ55" s="31">
        <f t="shared" si="8"/>
        <v>108</v>
      </c>
      <c r="BR55" s="32">
        <v>110</v>
      </c>
      <c r="BS55" s="31">
        <v>119</v>
      </c>
      <c r="BT55" s="31">
        <v>112</v>
      </c>
      <c r="BU55" s="31">
        <v>109</v>
      </c>
      <c r="BV55" s="31">
        <v>108</v>
      </c>
      <c r="BW55" s="31">
        <v>108</v>
      </c>
      <c r="BX55" s="31">
        <v>110</v>
      </c>
      <c r="BY55" s="31">
        <v>115</v>
      </c>
      <c r="BZ55" s="37">
        <f t="shared" si="40"/>
        <v>101</v>
      </c>
      <c r="CA55" s="47">
        <f t="shared" si="12"/>
        <v>99</v>
      </c>
      <c r="CB55" s="47">
        <f t="shared" si="13"/>
        <v>98</v>
      </c>
      <c r="CC55" s="47">
        <f t="shared" si="14"/>
        <v>97</v>
      </c>
      <c r="CD55" s="47">
        <v>96</v>
      </c>
      <c r="CE55" s="47">
        <f t="shared" si="38"/>
        <v>96</v>
      </c>
      <c r="CF55" s="133"/>
      <c r="CG55" s="37">
        <f t="shared" si="15"/>
        <v>99</v>
      </c>
      <c r="CH55" s="47">
        <f t="shared" si="16"/>
        <v>96</v>
      </c>
      <c r="CI55" s="47">
        <v>94</v>
      </c>
      <c r="CJ55" s="47">
        <f t="shared" si="17"/>
        <v>94</v>
      </c>
      <c r="CK55" s="47">
        <f t="shared" si="18"/>
        <v>94</v>
      </c>
      <c r="CL55" s="47">
        <f t="shared" si="19"/>
        <v>95</v>
      </c>
      <c r="CM55" s="134"/>
      <c r="CN55" s="84">
        <v>0.1</v>
      </c>
    </row>
    <row r="56" spans="7:92">
      <c r="G56" s="84">
        <v>52</v>
      </c>
      <c r="H56" s="30">
        <v>74</v>
      </c>
      <c r="I56" s="31">
        <f t="shared" si="53"/>
        <v>75</v>
      </c>
      <c r="J56" s="31">
        <f t="shared" si="20"/>
        <v>76</v>
      </c>
      <c r="K56" s="31">
        <f t="shared" si="46"/>
        <v>76</v>
      </c>
      <c r="L56" s="31">
        <f t="shared" si="46"/>
        <v>76</v>
      </c>
      <c r="M56" s="31">
        <f t="shared" si="21"/>
        <v>75</v>
      </c>
      <c r="N56" s="32">
        <f t="shared" si="21"/>
        <v>74</v>
      </c>
      <c r="O56" s="31">
        <f t="shared" si="39"/>
        <v>74</v>
      </c>
      <c r="P56" s="31">
        <f t="shared" si="44"/>
        <v>73</v>
      </c>
      <c r="Q56" s="31">
        <f t="shared" si="43"/>
        <v>73</v>
      </c>
      <c r="R56" s="31">
        <f t="shared" si="22"/>
        <v>74</v>
      </c>
      <c r="S56" s="31">
        <f t="shared" si="51"/>
        <v>76</v>
      </c>
      <c r="T56" s="31">
        <f t="shared" si="48"/>
        <v>79</v>
      </c>
      <c r="U56" s="31">
        <v>82</v>
      </c>
      <c r="V56" s="37">
        <v>69</v>
      </c>
      <c r="W56" s="47">
        <f t="shared" si="23"/>
        <v>73</v>
      </c>
      <c r="X56" s="47">
        <f t="shared" si="23"/>
        <v>74</v>
      </c>
      <c r="Y56" s="47">
        <f t="shared" si="24"/>
        <v>74</v>
      </c>
      <c r="Z56" s="47">
        <f t="shared" si="47"/>
        <v>73</v>
      </c>
      <c r="AA56" s="47">
        <f t="shared" si="45"/>
        <v>70</v>
      </c>
      <c r="AB56" s="133"/>
      <c r="AC56" s="37">
        <f t="shared" si="33"/>
        <v>72</v>
      </c>
      <c r="AD56" s="47">
        <f t="shared" si="54"/>
        <v>73</v>
      </c>
      <c r="AE56" s="47">
        <f t="shared" si="50"/>
        <v>73</v>
      </c>
      <c r="AF56" s="47">
        <f t="shared" si="49"/>
        <v>73</v>
      </c>
      <c r="AG56" s="47">
        <f t="shared" si="41"/>
        <v>72</v>
      </c>
      <c r="AH56" s="47">
        <f t="shared" si="34"/>
        <v>71</v>
      </c>
      <c r="AI56" s="134"/>
      <c r="AJ56" s="94"/>
      <c r="AK56" s="95"/>
      <c r="AL56" s="95"/>
      <c r="AM56" s="95"/>
      <c r="AN56" s="95"/>
      <c r="AO56" s="95"/>
      <c r="AP56" s="141"/>
      <c r="AQ56" s="95"/>
      <c r="AR56" s="95"/>
      <c r="AS56" s="95"/>
      <c r="AT56" s="95"/>
      <c r="AU56" s="95"/>
      <c r="AV56" s="95"/>
      <c r="AW56" s="95"/>
      <c r="AX56" s="106"/>
      <c r="AY56" s="107"/>
      <c r="AZ56" s="107"/>
      <c r="BA56" s="107"/>
      <c r="BB56" s="107"/>
      <c r="BC56" s="107"/>
      <c r="BD56" s="108"/>
      <c r="BE56" s="107"/>
      <c r="BF56" s="107"/>
      <c r="BG56" s="107"/>
      <c r="BH56" s="107"/>
      <c r="BI56" s="107"/>
      <c r="BJ56" s="107"/>
      <c r="BK56" s="108"/>
      <c r="BL56" s="30">
        <v>120</v>
      </c>
      <c r="BM56" s="31">
        <v>116</v>
      </c>
      <c r="BN56" s="31">
        <v>112</v>
      </c>
      <c r="BO56" s="31">
        <v>110</v>
      </c>
      <c r="BP56" s="31">
        <f t="shared" si="7"/>
        <v>109</v>
      </c>
      <c r="BQ56" s="31">
        <f t="shared" si="8"/>
        <v>109</v>
      </c>
      <c r="BR56" s="32">
        <f t="shared" si="26"/>
        <v>111</v>
      </c>
      <c r="BS56" s="31">
        <v>120</v>
      </c>
      <c r="BT56" s="31">
        <f t="shared" si="28"/>
        <v>113</v>
      </c>
      <c r="BU56" s="31">
        <v>110</v>
      </c>
      <c r="BV56" s="31">
        <f t="shared" si="9"/>
        <v>109</v>
      </c>
      <c r="BW56" s="31">
        <f t="shared" si="10"/>
        <v>109</v>
      </c>
      <c r="BX56" s="31">
        <f t="shared" si="37"/>
        <v>111</v>
      </c>
      <c r="BY56" s="31">
        <v>117</v>
      </c>
      <c r="BZ56" s="37">
        <v>103</v>
      </c>
      <c r="CA56" s="47">
        <f t="shared" si="12"/>
        <v>100</v>
      </c>
      <c r="CB56" s="47">
        <f t="shared" si="13"/>
        <v>99</v>
      </c>
      <c r="CC56" s="47">
        <f t="shared" si="14"/>
        <v>98</v>
      </c>
      <c r="CD56" s="47">
        <f t="shared" si="30"/>
        <v>97</v>
      </c>
      <c r="CE56" s="47">
        <f t="shared" si="38"/>
        <v>97</v>
      </c>
      <c r="CF56" s="133"/>
      <c r="CG56" s="37">
        <f t="shared" si="15"/>
        <v>100</v>
      </c>
      <c r="CH56" s="47">
        <f t="shared" si="16"/>
        <v>97</v>
      </c>
      <c r="CI56" s="47">
        <f t="shared" si="31"/>
        <v>95</v>
      </c>
      <c r="CJ56" s="47">
        <f t="shared" si="17"/>
        <v>95</v>
      </c>
      <c r="CK56" s="47">
        <f t="shared" si="18"/>
        <v>95</v>
      </c>
      <c r="CL56" s="47">
        <f t="shared" si="19"/>
        <v>96</v>
      </c>
      <c r="CM56" s="134"/>
      <c r="CN56" s="84">
        <v>0.1</v>
      </c>
    </row>
    <row r="57" spans="7:92">
      <c r="G57" s="84">
        <v>53</v>
      </c>
      <c r="H57" s="30">
        <v>74</v>
      </c>
      <c r="I57" s="31">
        <f t="shared" si="53"/>
        <v>76</v>
      </c>
      <c r="J57" s="31">
        <f t="shared" si="20"/>
        <v>76</v>
      </c>
      <c r="K57" s="31">
        <f t="shared" si="46"/>
        <v>77</v>
      </c>
      <c r="L57" s="31">
        <f t="shared" si="46"/>
        <v>76</v>
      </c>
      <c r="M57" s="31">
        <v>76</v>
      </c>
      <c r="N57" s="32">
        <f t="shared" ref="N57:R106" si="56">N55+1</f>
        <v>74</v>
      </c>
      <c r="O57" s="31">
        <f t="shared" si="39"/>
        <v>75</v>
      </c>
      <c r="P57" s="31">
        <f t="shared" si="44"/>
        <v>74</v>
      </c>
      <c r="Q57" s="31">
        <f t="shared" si="43"/>
        <v>74</v>
      </c>
      <c r="R57" s="31">
        <f t="shared" si="22"/>
        <v>75</v>
      </c>
      <c r="S57" s="31">
        <f t="shared" si="51"/>
        <v>77</v>
      </c>
      <c r="T57" s="31">
        <v>79</v>
      </c>
      <c r="U57" s="31">
        <v>82</v>
      </c>
      <c r="V57" s="37">
        <v>70</v>
      </c>
      <c r="W57" s="47">
        <f t="shared" si="23"/>
        <v>73</v>
      </c>
      <c r="X57" s="47">
        <f t="shared" si="23"/>
        <v>75</v>
      </c>
      <c r="Y57" s="47">
        <f t="shared" si="24"/>
        <v>75</v>
      </c>
      <c r="Z57" s="47">
        <v>73</v>
      </c>
      <c r="AA57" s="47">
        <f t="shared" si="45"/>
        <v>71</v>
      </c>
      <c r="AB57" s="133"/>
      <c r="AC57" s="37">
        <f t="shared" si="33"/>
        <v>72</v>
      </c>
      <c r="AD57" s="47">
        <f t="shared" si="54"/>
        <v>73</v>
      </c>
      <c r="AE57" s="47">
        <f t="shared" si="50"/>
        <v>74</v>
      </c>
      <c r="AF57" s="47">
        <f t="shared" si="49"/>
        <v>74</v>
      </c>
      <c r="AG57" s="47">
        <f t="shared" si="41"/>
        <v>73</v>
      </c>
      <c r="AH57" s="47">
        <f t="shared" si="34"/>
        <v>71</v>
      </c>
      <c r="AI57" s="134"/>
      <c r="AJ57" s="94"/>
      <c r="AK57" s="95"/>
      <c r="AL57" s="95"/>
      <c r="AM57" s="95"/>
      <c r="AN57" s="95"/>
      <c r="AO57" s="95"/>
      <c r="AP57" s="141"/>
      <c r="AQ57" s="95"/>
      <c r="AR57" s="95"/>
      <c r="AS57" s="95"/>
      <c r="AT57" s="95"/>
      <c r="AU57" s="95"/>
      <c r="AV57" s="95"/>
      <c r="AW57" s="95"/>
      <c r="AX57" s="106"/>
      <c r="AY57" s="107"/>
      <c r="AZ57" s="107"/>
      <c r="BA57" s="107"/>
      <c r="BB57" s="107"/>
      <c r="BC57" s="107"/>
      <c r="BD57" s="108"/>
      <c r="BE57" s="107"/>
      <c r="BF57" s="107"/>
      <c r="BG57" s="107"/>
      <c r="BH57" s="107"/>
      <c r="BI57" s="107"/>
      <c r="BJ57" s="107"/>
      <c r="BK57" s="108"/>
      <c r="BL57" s="30">
        <v>120</v>
      </c>
      <c r="BM57" s="31">
        <v>118</v>
      </c>
      <c r="BN57" s="31">
        <f t="shared" si="5"/>
        <v>113</v>
      </c>
      <c r="BO57" s="31">
        <f t="shared" si="6"/>
        <v>111</v>
      </c>
      <c r="BP57" s="31">
        <f t="shared" si="7"/>
        <v>110</v>
      </c>
      <c r="BQ57" s="31">
        <v>111</v>
      </c>
      <c r="BR57" s="32">
        <f t="shared" si="26"/>
        <v>112</v>
      </c>
      <c r="BS57" s="31">
        <v>120</v>
      </c>
      <c r="BT57" s="31">
        <v>115</v>
      </c>
      <c r="BU57" s="31">
        <v>112</v>
      </c>
      <c r="BV57" s="31">
        <f t="shared" si="9"/>
        <v>110</v>
      </c>
      <c r="BW57" s="31">
        <v>111</v>
      </c>
      <c r="BX57" s="31">
        <v>113</v>
      </c>
      <c r="BY57" s="31">
        <v>119</v>
      </c>
      <c r="BZ57" s="37">
        <f t="shared" si="40"/>
        <v>104</v>
      </c>
      <c r="CA57" s="47">
        <f t="shared" si="12"/>
        <v>101</v>
      </c>
      <c r="CB57" s="47">
        <f t="shared" si="13"/>
        <v>100</v>
      </c>
      <c r="CC57" s="47">
        <f t="shared" si="14"/>
        <v>99</v>
      </c>
      <c r="CD57" s="47">
        <f t="shared" si="30"/>
        <v>98</v>
      </c>
      <c r="CE57" s="47">
        <f t="shared" si="38"/>
        <v>98</v>
      </c>
      <c r="CF57" s="133"/>
      <c r="CG57" s="37">
        <f t="shared" si="15"/>
        <v>101</v>
      </c>
      <c r="CH57" s="47">
        <f t="shared" si="16"/>
        <v>98</v>
      </c>
      <c r="CI57" s="47">
        <f t="shared" si="31"/>
        <v>96</v>
      </c>
      <c r="CJ57" s="47">
        <f t="shared" si="17"/>
        <v>96</v>
      </c>
      <c r="CK57" s="47">
        <f t="shared" si="18"/>
        <v>96</v>
      </c>
      <c r="CL57" s="47">
        <f t="shared" si="19"/>
        <v>97</v>
      </c>
      <c r="CM57" s="134"/>
      <c r="CN57" s="84">
        <v>0.1</v>
      </c>
    </row>
    <row r="58" spans="7:92">
      <c r="G58" s="84">
        <v>54</v>
      </c>
      <c r="H58" s="30">
        <v>75</v>
      </c>
      <c r="I58" s="31">
        <f t="shared" si="53"/>
        <v>76</v>
      </c>
      <c r="J58" s="31">
        <f t="shared" si="20"/>
        <v>77</v>
      </c>
      <c r="K58" s="31">
        <f t="shared" si="46"/>
        <v>77</v>
      </c>
      <c r="L58" s="31">
        <f t="shared" si="46"/>
        <v>77</v>
      </c>
      <c r="M58" s="31">
        <f t="shared" si="21"/>
        <v>76</v>
      </c>
      <c r="N58" s="32">
        <f t="shared" si="56"/>
        <v>75</v>
      </c>
      <c r="O58" s="31">
        <v>76</v>
      </c>
      <c r="P58" s="31">
        <f t="shared" si="44"/>
        <v>74</v>
      </c>
      <c r="Q58" s="31">
        <f t="shared" si="43"/>
        <v>74</v>
      </c>
      <c r="R58" s="31">
        <f t="shared" si="22"/>
        <v>75</v>
      </c>
      <c r="S58" s="31">
        <f t="shared" si="51"/>
        <v>77</v>
      </c>
      <c r="T58" s="31">
        <f t="shared" si="48"/>
        <v>80</v>
      </c>
      <c r="U58" s="31">
        <f t="shared" si="32"/>
        <v>83</v>
      </c>
      <c r="V58" s="37">
        <v>71</v>
      </c>
      <c r="W58" s="47">
        <f t="shared" si="23"/>
        <v>74</v>
      </c>
      <c r="X58" s="47">
        <f t="shared" si="23"/>
        <v>75</v>
      </c>
      <c r="Y58" s="47">
        <f t="shared" si="24"/>
        <v>75</v>
      </c>
      <c r="Z58" s="47">
        <f t="shared" si="47"/>
        <v>74</v>
      </c>
      <c r="AA58" s="47">
        <f t="shared" si="45"/>
        <v>71</v>
      </c>
      <c r="AB58" s="133"/>
      <c r="AC58" s="37">
        <f t="shared" si="33"/>
        <v>73</v>
      </c>
      <c r="AD58" s="47">
        <f t="shared" si="54"/>
        <v>74</v>
      </c>
      <c r="AE58" s="47">
        <f t="shared" si="50"/>
        <v>74</v>
      </c>
      <c r="AF58" s="47">
        <f t="shared" si="49"/>
        <v>74</v>
      </c>
      <c r="AG58" s="47">
        <f t="shared" si="41"/>
        <v>73</v>
      </c>
      <c r="AH58" s="47">
        <f t="shared" si="34"/>
        <v>72</v>
      </c>
      <c r="AI58" s="134"/>
      <c r="AJ58" s="94"/>
      <c r="AK58" s="95"/>
      <c r="AL58" s="95"/>
      <c r="AM58" s="95"/>
      <c r="AN58" s="95"/>
      <c r="AO58" s="95"/>
      <c r="AP58" s="141"/>
      <c r="AQ58" s="95"/>
      <c r="AR58" s="95"/>
      <c r="AS58" s="95"/>
      <c r="AT58" s="95"/>
      <c r="AU58" s="95"/>
      <c r="AV58" s="95"/>
      <c r="AW58" s="95"/>
      <c r="AX58" s="106"/>
      <c r="AY58" s="107"/>
      <c r="AZ58" s="107"/>
      <c r="BA58" s="107"/>
      <c r="BB58" s="107"/>
      <c r="BC58" s="107"/>
      <c r="BD58" s="108"/>
      <c r="BE58" s="107"/>
      <c r="BF58" s="107"/>
      <c r="BG58" s="107"/>
      <c r="BH58" s="107"/>
      <c r="BI58" s="107"/>
      <c r="BJ58" s="107"/>
      <c r="BK58" s="108"/>
      <c r="BL58" s="33">
        <v>120</v>
      </c>
      <c r="BM58" s="34">
        <v>118</v>
      </c>
      <c r="BN58" s="31">
        <v>115</v>
      </c>
      <c r="BO58" s="31">
        <v>113</v>
      </c>
      <c r="BP58" s="31">
        <v>112</v>
      </c>
      <c r="BQ58" s="31">
        <v>112</v>
      </c>
      <c r="BR58" s="32">
        <v>113</v>
      </c>
      <c r="BS58" s="31">
        <v>120</v>
      </c>
      <c r="BT58" s="31">
        <v>117</v>
      </c>
      <c r="BU58" s="31">
        <f t="shared" si="29"/>
        <v>113</v>
      </c>
      <c r="BV58" s="31">
        <v>112</v>
      </c>
      <c r="BW58" s="31">
        <v>112</v>
      </c>
      <c r="BX58" s="31">
        <v>115</v>
      </c>
      <c r="BY58" s="34">
        <v>119</v>
      </c>
      <c r="BZ58" s="37">
        <v>106</v>
      </c>
      <c r="CA58" s="47">
        <v>103</v>
      </c>
      <c r="CB58" s="47">
        <f t="shared" si="13"/>
        <v>101</v>
      </c>
      <c r="CC58" s="47">
        <f t="shared" si="14"/>
        <v>100</v>
      </c>
      <c r="CD58" s="47">
        <f t="shared" si="30"/>
        <v>99</v>
      </c>
      <c r="CE58" s="47">
        <v>98</v>
      </c>
      <c r="CF58" s="133"/>
      <c r="CG58" s="37">
        <v>103</v>
      </c>
      <c r="CH58" s="47">
        <f t="shared" si="16"/>
        <v>99</v>
      </c>
      <c r="CI58" s="47">
        <f t="shared" si="31"/>
        <v>97</v>
      </c>
      <c r="CJ58" s="47">
        <v>96</v>
      </c>
      <c r="CK58" s="47">
        <f t="shared" si="18"/>
        <v>97</v>
      </c>
      <c r="CL58" s="47">
        <f t="shared" si="19"/>
        <v>98</v>
      </c>
      <c r="CM58" s="134"/>
      <c r="CN58" s="84">
        <v>0.1</v>
      </c>
    </row>
    <row r="59" spans="7:92">
      <c r="G59" s="84">
        <v>55</v>
      </c>
      <c r="H59" s="30">
        <v>76</v>
      </c>
      <c r="I59" s="31">
        <f t="shared" si="53"/>
        <v>77</v>
      </c>
      <c r="J59" s="31">
        <f t="shared" si="20"/>
        <v>77</v>
      </c>
      <c r="K59" s="31">
        <f t="shared" si="46"/>
        <v>78</v>
      </c>
      <c r="L59" s="31">
        <f t="shared" si="46"/>
        <v>77</v>
      </c>
      <c r="M59" s="31">
        <f t="shared" si="21"/>
        <v>77</v>
      </c>
      <c r="N59" s="32">
        <f t="shared" si="56"/>
        <v>75</v>
      </c>
      <c r="O59" s="31">
        <f t="shared" si="39"/>
        <v>76</v>
      </c>
      <c r="P59" s="31">
        <f t="shared" si="44"/>
        <v>75</v>
      </c>
      <c r="Q59" s="31">
        <f t="shared" si="43"/>
        <v>75</v>
      </c>
      <c r="R59" s="31">
        <f t="shared" si="22"/>
        <v>76</v>
      </c>
      <c r="S59" s="31">
        <f t="shared" si="51"/>
        <v>78</v>
      </c>
      <c r="T59" s="31">
        <f t="shared" si="48"/>
        <v>80</v>
      </c>
      <c r="U59" s="31">
        <f t="shared" si="32"/>
        <v>83</v>
      </c>
      <c r="V59" s="37">
        <v>71</v>
      </c>
      <c r="W59" s="47">
        <f t="shared" si="23"/>
        <v>74</v>
      </c>
      <c r="X59" s="47">
        <f t="shared" si="23"/>
        <v>76</v>
      </c>
      <c r="Y59" s="47">
        <f t="shared" si="24"/>
        <v>76</v>
      </c>
      <c r="Z59" s="47">
        <f t="shared" si="47"/>
        <v>74</v>
      </c>
      <c r="AA59" s="47">
        <f t="shared" si="45"/>
        <v>72</v>
      </c>
      <c r="AB59" s="133"/>
      <c r="AC59" s="37">
        <f t="shared" si="33"/>
        <v>73</v>
      </c>
      <c r="AD59" s="47">
        <f t="shared" si="54"/>
        <v>74</v>
      </c>
      <c r="AE59" s="47">
        <f t="shared" si="50"/>
        <v>75</v>
      </c>
      <c r="AF59" s="47">
        <v>74</v>
      </c>
      <c r="AG59" s="47">
        <f t="shared" si="41"/>
        <v>74</v>
      </c>
      <c r="AH59" s="47">
        <f t="shared" si="34"/>
        <v>72</v>
      </c>
      <c r="AI59" s="134"/>
      <c r="AJ59" s="94"/>
      <c r="AK59" s="95"/>
      <c r="AL59" s="95"/>
      <c r="AM59" s="95"/>
      <c r="AN59" s="95"/>
      <c r="AO59" s="95"/>
      <c r="AP59" s="141"/>
      <c r="AQ59" s="95"/>
      <c r="AR59" s="95"/>
      <c r="AS59" s="95"/>
      <c r="AT59" s="95"/>
      <c r="AU59" s="95"/>
      <c r="AV59" s="95"/>
      <c r="AW59" s="95"/>
      <c r="AX59" s="106"/>
      <c r="AY59" s="107"/>
      <c r="AZ59" s="107"/>
      <c r="BA59" s="107"/>
      <c r="BB59" s="107"/>
      <c r="BC59" s="107"/>
      <c r="BD59" s="108"/>
      <c r="BE59" s="107"/>
      <c r="BF59" s="107"/>
      <c r="BG59" s="107"/>
      <c r="BH59" s="107"/>
      <c r="BI59" s="107"/>
      <c r="BJ59" s="107"/>
      <c r="BK59" s="108"/>
      <c r="BL59" s="88">
        <v>120</v>
      </c>
      <c r="BM59" s="89">
        <v>118</v>
      </c>
      <c r="BN59" s="89">
        <v>115</v>
      </c>
      <c r="BO59" s="31">
        <v>114</v>
      </c>
      <c r="BP59" s="31">
        <v>113</v>
      </c>
      <c r="BQ59" s="31">
        <v>113</v>
      </c>
      <c r="BR59" s="32">
        <v>115</v>
      </c>
      <c r="BS59" s="89">
        <v>120</v>
      </c>
      <c r="BT59" s="31">
        <f t="shared" si="28"/>
        <v>118</v>
      </c>
      <c r="BU59" s="89">
        <v>113</v>
      </c>
      <c r="BV59" s="89">
        <v>112</v>
      </c>
      <c r="BW59" s="31">
        <v>114</v>
      </c>
      <c r="BX59" s="89">
        <v>115</v>
      </c>
      <c r="BY59" s="89">
        <v>119</v>
      </c>
      <c r="BZ59" s="37">
        <v>108</v>
      </c>
      <c r="CA59" s="47">
        <f t="shared" si="12"/>
        <v>104</v>
      </c>
      <c r="CB59" s="47">
        <f t="shared" si="13"/>
        <v>102</v>
      </c>
      <c r="CC59" s="47">
        <f t="shared" si="14"/>
        <v>101</v>
      </c>
      <c r="CD59" s="47">
        <f t="shared" si="30"/>
        <v>100</v>
      </c>
      <c r="CE59" s="47">
        <f t="shared" si="38"/>
        <v>99</v>
      </c>
      <c r="CF59" s="133"/>
      <c r="CG59" s="37">
        <f>CG58+2</f>
        <v>105</v>
      </c>
      <c r="CH59" s="47">
        <f t="shared" si="16"/>
        <v>100</v>
      </c>
      <c r="CI59" s="47">
        <f t="shared" si="31"/>
        <v>98</v>
      </c>
      <c r="CJ59" s="47">
        <f t="shared" si="17"/>
        <v>97</v>
      </c>
      <c r="CK59" s="47">
        <f t="shared" si="18"/>
        <v>98</v>
      </c>
      <c r="CL59" s="47">
        <f t="shared" si="19"/>
        <v>99</v>
      </c>
      <c r="CM59" s="134"/>
      <c r="CN59" s="84">
        <v>0.1</v>
      </c>
    </row>
    <row r="60" spans="7:92">
      <c r="G60" s="84">
        <v>56</v>
      </c>
      <c r="H60" s="30">
        <v>76</v>
      </c>
      <c r="I60" s="31">
        <f t="shared" si="53"/>
        <v>77</v>
      </c>
      <c r="J60" s="31">
        <f t="shared" si="20"/>
        <v>78</v>
      </c>
      <c r="K60" s="31">
        <f t="shared" si="46"/>
        <v>78</v>
      </c>
      <c r="L60" s="31">
        <f t="shared" si="46"/>
        <v>78</v>
      </c>
      <c r="M60" s="31">
        <f t="shared" si="21"/>
        <v>77</v>
      </c>
      <c r="N60" s="32">
        <f t="shared" si="56"/>
        <v>76</v>
      </c>
      <c r="O60" s="31">
        <f t="shared" si="39"/>
        <v>77</v>
      </c>
      <c r="P60" s="31">
        <f t="shared" si="44"/>
        <v>75</v>
      </c>
      <c r="Q60" s="31">
        <f t="shared" si="43"/>
        <v>75</v>
      </c>
      <c r="R60" s="31">
        <f t="shared" si="22"/>
        <v>76</v>
      </c>
      <c r="S60" s="31">
        <f t="shared" si="51"/>
        <v>78</v>
      </c>
      <c r="T60" s="31">
        <f t="shared" si="48"/>
        <v>81</v>
      </c>
      <c r="U60" s="31">
        <f t="shared" si="32"/>
        <v>84</v>
      </c>
      <c r="V60" s="37">
        <v>72</v>
      </c>
      <c r="W60" s="47">
        <f t="shared" si="23"/>
        <v>75</v>
      </c>
      <c r="X60" s="47">
        <f t="shared" si="23"/>
        <v>76</v>
      </c>
      <c r="Y60" s="47">
        <f t="shared" si="24"/>
        <v>76</v>
      </c>
      <c r="Z60" s="47">
        <f t="shared" si="47"/>
        <v>75</v>
      </c>
      <c r="AA60" s="47">
        <f t="shared" si="45"/>
        <v>72</v>
      </c>
      <c r="AB60" s="133"/>
      <c r="AC60" s="37">
        <f t="shared" si="33"/>
        <v>74</v>
      </c>
      <c r="AD60" s="47">
        <f t="shared" si="54"/>
        <v>75</v>
      </c>
      <c r="AE60" s="47">
        <f t="shared" si="50"/>
        <v>75</v>
      </c>
      <c r="AF60" s="47">
        <f t="shared" si="49"/>
        <v>75</v>
      </c>
      <c r="AG60" s="47">
        <f t="shared" si="41"/>
        <v>74</v>
      </c>
      <c r="AH60" s="47">
        <f t="shared" si="34"/>
        <v>73</v>
      </c>
      <c r="AI60" s="134"/>
      <c r="AJ60" s="94"/>
      <c r="AK60" s="95"/>
      <c r="AL60" s="95"/>
      <c r="AM60" s="95"/>
      <c r="AN60" s="95"/>
      <c r="AO60" s="95"/>
      <c r="AP60" s="141"/>
      <c r="AQ60" s="95"/>
      <c r="AR60" s="95"/>
      <c r="AS60" s="95"/>
      <c r="AT60" s="95"/>
      <c r="AU60" s="95"/>
      <c r="AV60" s="95"/>
      <c r="AW60" s="95"/>
      <c r="AX60" s="106"/>
      <c r="AY60" s="107"/>
      <c r="AZ60" s="107"/>
      <c r="BA60" s="107"/>
      <c r="BB60" s="107"/>
      <c r="BC60" s="107"/>
      <c r="BD60" s="108"/>
      <c r="BE60" s="107"/>
      <c r="BF60" s="107"/>
      <c r="BG60" s="107"/>
      <c r="BH60" s="107"/>
      <c r="BI60" s="107"/>
      <c r="BJ60" s="107"/>
      <c r="BK60" s="108"/>
      <c r="BL60" s="88">
        <v>120</v>
      </c>
      <c r="BM60" s="89">
        <v>118</v>
      </c>
      <c r="BN60" s="89">
        <v>115</v>
      </c>
      <c r="BO60" s="89">
        <v>114</v>
      </c>
      <c r="BP60" s="31">
        <v>115</v>
      </c>
      <c r="BQ60" s="31">
        <v>115</v>
      </c>
      <c r="BR60" s="90">
        <v>115</v>
      </c>
      <c r="BS60" s="89">
        <v>120</v>
      </c>
      <c r="BT60" s="89">
        <v>118</v>
      </c>
      <c r="BU60" s="89">
        <v>113</v>
      </c>
      <c r="BV60" s="89">
        <v>112</v>
      </c>
      <c r="BW60" s="31">
        <v>115</v>
      </c>
      <c r="BX60" s="89">
        <v>115</v>
      </c>
      <c r="BY60" s="89">
        <v>119</v>
      </c>
      <c r="BZ60" s="37">
        <f t="shared" si="40"/>
        <v>109</v>
      </c>
      <c r="CA60" s="47">
        <f t="shared" si="12"/>
        <v>105</v>
      </c>
      <c r="CB60" s="47">
        <f t="shared" si="13"/>
        <v>103</v>
      </c>
      <c r="CC60" s="47">
        <f t="shared" si="14"/>
        <v>102</v>
      </c>
      <c r="CD60" s="47">
        <f t="shared" si="30"/>
        <v>101</v>
      </c>
      <c r="CE60" s="47">
        <f t="shared" si="38"/>
        <v>100</v>
      </c>
      <c r="CF60" s="133"/>
      <c r="CG60" s="37">
        <v>106</v>
      </c>
      <c r="CH60" s="47">
        <f t="shared" si="16"/>
        <v>101</v>
      </c>
      <c r="CI60" s="47">
        <f t="shared" si="31"/>
        <v>99</v>
      </c>
      <c r="CJ60" s="47">
        <f t="shared" si="17"/>
        <v>98</v>
      </c>
      <c r="CK60" s="47">
        <v>98</v>
      </c>
      <c r="CL60" s="47">
        <f t="shared" si="19"/>
        <v>100</v>
      </c>
      <c r="CM60" s="134"/>
      <c r="CN60" s="84">
        <v>0.2</v>
      </c>
    </row>
    <row r="61" spans="7:92">
      <c r="G61" s="84">
        <v>57</v>
      </c>
      <c r="H61" s="30">
        <v>77</v>
      </c>
      <c r="I61" s="31">
        <f t="shared" si="53"/>
        <v>78</v>
      </c>
      <c r="J61" s="31">
        <f t="shared" si="20"/>
        <v>78</v>
      </c>
      <c r="K61" s="31">
        <f t="shared" si="46"/>
        <v>79</v>
      </c>
      <c r="L61" s="31">
        <f t="shared" si="46"/>
        <v>78</v>
      </c>
      <c r="M61" s="31">
        <f t="shared" si="21"/>
        <v>78</v>
      </c>
      <c r="N61" s="32">
        <f t="shared" si="56"/>
        <v>76</v>
      </c>
      <c r="O61" s="31">
        <f t="shared" si="39"/>
        <v>77</v>
      </c>
      <c r="P61" s="31">
        <f t="shared" si="44"/>
        <v>76</v>
      </c>
      <c r="Q61" s="31">
        <f t="shared" si="43"/>
        <v>76</v>
      </c>
      <c r="R61" s="31">
        <f t="shared" si="22"/>
        <v>77</v>
      </c>
      <c r="S61" s="31">
        <f t="shared" si="51"/>
        <v>79</v>
      </c>
      <c r="T61" s="31">
        <f t="shared" si="48"/>
        <v>81</v>
      </c>
      <c r="U61" s="31">
        <f t="shared" si="32"/>
        <v>84</v>
      </c>
      <c r="V61" s="37">
        <v>72</v>
      </c>
      <c r="W61" s="47">
        <f t="shared" si="23"/>
        <v>75</v>
      </c>
      <c r="X61" s="47">
        <v>76</v>
      </c>
      <c r="Y61" s="47">
        <v>76</v>
      </c>
      <c r="Z61" s="47">
        <f t="shared" si="47"/>
        <v>75</v>
      </c>
      <c r="AA61" s="47">
        <f t="shared" si="45"/>
        <v>73</v>
      </c>
      <c r="AB61" s="133"/>
      <c r="AC61" s="37">
        <f t="shared" si="33"/>
        <v>74</v>
      </c>
      <c r="AD61" s="47">
        <f t="shared" si="54"/>
        <v>75</v>
      </c>
      <c r="AE61" s="47">
        <v>75</v>
      </c>
      <c r="AF61" s="47">
        <f t="shared" si="49"/>
        <v>75</v>
      </c>
      <c r="AG61" s="47">
        <f t="shared" si="41"/>
        <v>75</v>
      </c>
      <c r="AH61" s="47">
        <f t="shared" si="34"/>
        <v>73</v>
      </c>
      <c r="AI61" s="134"/>
      <c r="AJ61" s="94"/>
      <c r="AK61" s="95"/>
      <c r="AL61" s="95"/>
      <c r="AM61" s="95"/>
      <c r="AN61" s="95"/>
      <c r="AO61" s="95"/>
      <c r="AP61" s="141"/>
      <c r="AQ61" s="95"/>
      <c r="AR61" s="95"/>
      <c r="AS61" s="95"/>
      <c r="AT61" s="95"/>
      <c r="AU61" s="95"/>
      <c r="AV61" s="95"/>
      <c r="AW61" s="95"/>
      <c r="AX61" s="106"/>
      <c r="AY61" s="107"/>
      <c r="AZ61" s="107"/>
      <c r="BA61" s="107"/>
      <c r="BB61" s="107"/>
      <c r="BC61" s="107"/>
      <c r="BD61" s="108"/>
      <c r="BE61" s="107"/>
      <c r="BF61" s="107"/>
      <c r="BG61" s="107"/>
      <c r="BH61" s="107"/>
      <c r="BI61" s="107"/>
      <c r="BJ61" s="107"/>
      <c r="BK61" s="108"/>
      <c r="BL61" s="88"/>
      <c r="BM61" s="89"/>
      <c r="BN61" s="89"/>
      <c r="BO61" s="89"/>
      <c r="BP61" s="89"/>
      <c r="BQ61" s="89"/>
      <c r="BR61" s="90"/>
      <c r="BS61" s="89"/>
      <c r="BT61" s="89"/>
      <c r="BU61" s="89"/>
      <c r="BV61" s="89"/>
      <c r="BW61" s="89"/>
      <c r="BX61" s="89"/>
      <c r="BY61" s="89"/>
      <c r="BZ61" s="37">
        <f>BZ60+2</f>
        <v>111</v>
      </c>
      <c r="CA61" s="47">
        <v>107</v>
      </c>
      <c r="CB61" s="47">
        <f t="shared" si="13"/>
        <v>104</v>
      </c>
      <c r="CC61" s="47">
        <f t="shared" si="14"/>
        <v>103</v>
      </c>
      <c r="CD61" s="47">
        <f t="shared" si="30"/>
        <v>102</v>
      </c>
      <c r="CE61" s="47">
        <v>102</v>
      </c>
      <c r="CF61" s="133"/>
      <c r="CG61" s="37">
        <f t="shared" ref="CG61:CG67" si="57">CG60+2</f>
        <v>108</v>
      </c>
      <c r="CH61" s="47">
        <f t="shared" si="16"/>
        <v>102</v>
      </c>
      <c r="CI61" s="47">
        <f t="shared" si="31"/>
        <v>100</v>
      </c>
      <c r="CJ61" s="47">
        <f t="shared" si="17"/>
        <v>99</v>
      </c>
      <c r="CK61" s="47">
        <f t="shared" si="18"/>
        <v>99</v>
      </c>
      <c r="CL61" s="47">
        <f t="shared" si="19"/>
        <v>101</v>
      </c>
      <c r="CM61" s="134"/>
      <c r="CN61" s="84">
        <v>0.2</v>
      </c>
    </row>
    <row r="62" spans="7:92">
      <c r="G62" s="84">
        <v>58</v>
      </c>
      <c r="H62" s="30">
        <v>78</v>
      </c>
      <c r="I62" s="31">
        <v>79</v>
      </c>
      <c r="J62" s="31">
        <f t="shared" si="20"/>
        <v>79</v>
      </c>
      <c r="K62" s="31">
        <f t="shared" si="46"/>
        <v>79</v>
      </c>
      <c r="L62" s="31">
        <f t="shared" si="46"/>
        <v>79</v>
      </c>
      <c r="M62" s="31">
        <f t="shared" si="21"/>
        <v>78</v>
      </c>
      <c r="N62" s="32">
        <f t="shared" si="56"/>
        <v>77</v>
      </c>
      <c r="O62" s="31">
        <f t="shared" si="39"/>
        <v>78</v>
      </c>
      <c r="P62" s="31">
        <f t="shared" si="44"/>
        <v>76</v>
      </c>
      <c r="Q62" s="31">
        <f t="shared" si="43"/>
        <v>76</v>
      </c>
      <c r="R62" s="31">
        <f t="shared" si="22"/>
        <v>77</v>
      </c>
      <c r="S62" s="31">
        <f t="shared" si="51"/>
        <v>79</v>
      </c>
      <c r="T62" s="31">
        <f t="shared" si="48"/>
        <v>82</v>
      </c>
      <c r="U62" s="31">
        <v>84</v>
      </c>
      <c r="V62" s="37">
        <v>73</v>
      </c>
      <c r="W62" s="47">
        <f t="shared" si="23"/>
        <v>76</v>
      </c>
      <c r="X62" s="47">
        <f t="shared" si="23"/>
        <v>77</v>
      </c>
      <c r="Y62" s="47">
        <f t="shared" si="24"/>
        <v>77</v>
      </c>
      <c r="Z62" s="47">
        <f t="shared" si="47"/>
        <v>76</v>
      </c>
      <c r="AA62" s="47">
        <f t="shared" si="45"/>
        <v>73</v>
      </c>
      <c r="AB62" s="133"/>
      <c r="AC62" s="37">
        <f t="shared" si="33"/>
        <v>75</v>
      </c>
      <c r="AD62" s="47">
        <f t="shared" si="54"/>
        <v>76</v>
      </c>
      <c r="AE62" s="47">
        <f t="shared" si="50"/>
        <v>76</v>
      </c>
      <c r="AF62" s="47">
        <f t="shared" si="49"/>
        <v>76</v>
      </c>
      <c r="AG62" s="47">
        <f t="shared" si="41"/>
        <v>75</v>
      </c>
      <c r="AH62" s="47">
        <f t="shared" si="34"/>
        <v>74</v>
      </c>
      <c r="AI62" s="134"/>
      <c r="AJ62" s="94"/>
      <c r="AK62" s="95"/>
      <c r="AL62" s="95"/>
      <c r="AM62" s="95"/>
      <c r="AN62" s="95"/>
      <c r="AO62" s="95"/>
      <c r="AP62" s="141"/>
      <c r="AQ62" s="95"/>
      <c r="AR62" s="95"/>
      <c r="AS62" s="95"/>
      <c r="AT62" s="95"/>
      <c r="AU62" s="95"/>
      <c r="AV62" s="95"/>
      <c r="AW62" s="95"/>
      <c r="AX62" s="106"/>
      <c r="AY62" s="107"/>
      <c r="AZ62" s="107"/>
      <c r="BA62" s="107"/>
      <c r="BB62" s="107"/>
      <c r="BC62" s="107"/>
      <c r="BD62" s="108"/>
      <c r="BE62" s="107"/>
      <c r="BF62" s="107"/>
      <c r="BG62" s="107"/>
      <c r="BH62" s="107"/>
      <c r="BI62" s="107"/>
      <c r="BJ62" s="107"/>
      <c r="BK62" s="108"/>
      <c r="BL62" s="88"/>
      <c r="BM62" s="89"/>
      <c r="BN62" s="89"/>
      <c r="BO62" s="89"/>
      <c r="BP62" s="89"/>
      <c r="BQ62" s="89"/>
      <c r="BR62" s="90"/>
      <c r="BS62" s="89"/>
      <c r="BT62" s="89"/>
      <c r="BU62" s="89"/>
      <c r="BV62" s="89"/>
      <c r="BW62" s="89"/>
      <c r="BX62" s="89"/>
      <c r="BY62" s="89"/>
      <c r="BZ62" s="37">
        <f t="shared" ref="BZ62:BZ66" si="58">BZ61+2</f>
        <v>113</v>
      </c>
      <c r="CA62" s="47">
        <f t="shared" si="12"/>
        <v>108</v>
      </c>
      <c r="CB62" s="47">
        <f t="shared" si="13"/>
        <v>105</v>
      </c>
      <c r="CC62" s="47">
        <f t="shared" si="14"/>
        <v>104</v>
      </c>
      <c r="CD62" s="47">
        <f t="shared" si="30"/>
        <v>103</v>
      </c>
      <c r="CE62" s="47">
        <f t="shared" si="38"/>
        <v>103</v>
      </c>
      <c r="CF62" s="133"/>
      <c r="CG62" s="37">
        <f t="shared" si="57"/>
        <v>110</v>
      </c>
      <c r="CH62" s="47">
        <v>104</v>
      </c>
      <c r="CI62" s="47">
        <f t="shared" si="31"/>
        <v>101</v>
      </c>
      <c r="CJ62" s="47">
        <f t="shared" si="17"/>
        <v>100</v>
      </c>
      <c r="CK62" s="47">
        <f t="shared" si="18"/>
        <v>100</v>
      </c>
      <c r="CL62" s="47">
        <v>103</v>
      </c>
      <c r="CM62" s="134"/>
      <c r="CN62" s="84">
        <v>0.3</v>
      </c>
    </row>
    <row r="63" spans="7:92">
      <c r="G63" s="84">
        <v>59</v>
      </c>
      <c r="H63" s="30">
        <v>78</v>
      </c>
      <c r="I63" s="31">
        <f t="shared" si="53"/>
        <v>79</v>
      </c>
      <c r="J63" s="31">
        <f t="shared" si="20"/>
        <v>79</v>
      </c>
      <c r="K63" s="31">
        <v>79</v>
      </c>
      <c r="L63" s="31">
        <f t="shared" ref="L63:M105" si="59">L61+1</f>
        <v>79</v>
      </c>
      <c r="M63" s="31">
        <f t="shared" si="21"/>
        <v>79</v>
      </c>
      <c r="N63" s="32">
        <f t="shared" si="56"/>
        <v>77</v>
      </c>
      <c r="O63" s="31">
        <f t="shared" si="39"/>
        <v>78</v>
      </c>
      <c r="P63" s="31">
        <f t="shared" si="44"/>
        <v>77</v>
      </c>
      <c r="Q63" s="31">
        <f t="shared" si="43"/>
        <v>77</v>
      </c>
      <c r="R63" s="31">
        <f t="shared" si="22"/>
        <v>78</v>
      </c>
      <c r="S63" s="31">
        <f t="shared" si="51"/>
        <v>80</v>
      </c>
      <c r="T63" s="31">
        <f t="shared" si="48"/>
        <v>82</v>
      </c>
      <c r="U63" s="31">
        <f t="shared" si="32"/>
        <v>85</v>
      </c>
      <c r="V63" s="37">
        <v>74</v>
      </c>
      <c r="W63" s="47">
        <f t="shared" si="23"/>
        <v>76</v>
      </c>
      <c r="X63" s="47">
        <f t="shared" si="23"/>
        <v>77</v>
      </c>
      <c r="Y63" s="47">
        <f t="shared" si="24"/>
        <v>77</v>
      </c>
      <c r="Z63" s="47">
        <f t="shared" si="47"/>
        <v>76</v>
      </c>
      <c r="AA63" s="47">
        <f t="shared" si="45"/>
        <v>74</v>
      </c>
      <c r="AB63" s="133"/>
      <c r="AC63" s="37">
        <f t="shared" si="33"/>
        <v>75</v>
      </c>
      <c r="AD63" s="47">
        <f t="shared" si="54"/>
        <v>76</v>
      </c>
      <c r="AE63" s="47">
        <f t="shared" si="50"/>
        <v>76</v>
      </c>
      <c r="AF63" s="47">
        <f t="shared" si="49"/>
        <v>76</v>
      </c>
      <c r="AG63" s="47">
        <f t="shared" si="41"/>
        <v>76</v>
      </c>
      <c r="AH63" s="47">
        <f t="shared" si="34"/>
        <v>74</v>
      </c>
      <c r="AI63" s="134"/>
      <c r="AJ63" s="94"/>
      <c r="AK63" s="95"/>
      <c r="AL63" s="95"/>
      <c r="AM63" s="95"/>
      <c r="AN63" s="95"/>
      <c r="AO63" s="95"/>
      <c r="AP63" s="141"/>
      <c r="AQ63" s="95"/>
      <c r="AR63" s="95"/>
      <c r="AS63" s="95"/>
      <c r="AT63" s="95"/>
      <c r="AU63" s="95"/>
      <c r="AV63" s="95"/>
      <c r="AW63" s="95"/>
      <c r="AX63" s="106"/>
      <c r="AY63" s="107"/>
      <c r="AZ63" s="107"/>
      <c r="BA63" s="107"/>
      <c r="BB63" s="107"/>
      <c r="BC63" s="107"/>
      <c r="BD63" s="108"/>
      <c r="BE63" s="107"/>
      <c r="BF63" s="107"/>
      <c r="BG63" s="107"/>
      <c r="BH63" s="107"/>
      <c r="BI63" s="107"/>
      <c r="BJ63" s="107"/>
      <c r="BK63" s="108"/>
      <c r="BL63" s="88"/>
      <c r="BM63" s="89"/>
      <c r="BN63" s="89"/>
      <c r="BO63" s="89"/>
      <c r="BP63" s="89"/>
      <c r="BQ63" s="89"/>
      <c r="BR63" s="90"/>
      <c r="BS63" s="89"/>
      <c r="BT63" s="89"/>
      <c r="BU63" s="89"/>
      <c r="BV63" s="89"/>
      <c r="BW63" s="89"/>
      <c r="BX63" s="89"/>
      <c r="BY63" s="89"/>
      <c r="BZ63" s="37">
        <f t="shared" si="58"/>
        <v>115</v>
      </c>
      <c r="CA63" s="47">
        <f t="shared" si="12"/>
        <v>109</v>
      </c>
      <c r="CB63" s="47">
        <v>107</v>
      </c>
      <c r="CC63" s="47">
        <f t="shared" si="14"/>
        <v>105</v>
      </c>
      <c r="CD63" s="47">
        <f t="shared" si="30"/>
        <v>104</v>
      </c>
      <c r="CE63" s="47">
        <f t="shared" si="38"/>
        <v>104</v>
      </c>
      <c r="CF63" s="133"/>
      <c r="CG63" s="37">
        <v>111</v>
      </c>
      <c r="CH63" s="47">
        <f t="shared" si="16"/>
        <v>105</v>
      </c>
      <c r="CI63" s="47">
        <f t="shared" si="31"/>
        <v>102</v>
      </c>
      <c r="CJ63" s="47">
        <f t="shared" si="17"/>
        <v>101</v>
      </c>
      <c r="CK63" s="47">
        <v>102</v>
      </c>
      <c r="CL63" s="47">
        <f t="shared" si="19"/>
        <v>104</v>
      </c>
      <c r="CM63" s="134"/>
      <c r="CN63" s="84">
        <v>0.3</v>
      </c>
    </row>
    <row r="64" spans="7:92">
      <c r="G64" s="84">
        <v>60</v>
      </c>
      <c r="H64" s="30">
        <v>79</v>
      </c>
      <c r="I64" s="31">
        <f t="shared" si="53"/>
        <v>80</v>
      </c>
      <c r="J64" s="31">
        <f t="shared" si="20"/>
        <v>80</v>
      </c>
      <c r="K64" s="31">
        <f t="shared" si="46"/>
        <v>80</v>
      </c>
      <c r="L64" s="31">
        <f t="shared" si="59"/>
        <v>80</v>
      </c>
      <c r="M64" s="31">
        <f t="shared" si="21"/>
        <v>79</v>
      </c>
      <c r="N64" s="32">
        <f t="shared" si="56"/>
        <v>78</v>
      </c>
      <c r="O64" s="31">
        <f t="shared" si="39"/>
        <v>79</v>
      </c>
      <c r="P64" s="31">
        <v>78</v>
      </c>
      <c r="Q64" s="31">
        <f t="shared" si="43"/>
        <v>77</v>
      </c>
      <c r="R64" s="31">
        <f t="shared" si="22"/>
        <v>78</v>
      </c>
      <c r="S64" s="31">
        <f t="shared" si="51"/>
        <v>80</v>
      </c>
      <c r="T64" s="31">
        <f t="shared" si="48"/>
        <v>83</v>
      </c>
      <c r="U64" s="31">
        <f t="shared" si="32"/>
        <v>85</v>
      </c>
      <c r="V64" s="37">
        <v>74</v>
      </c>
      <c r="W64" s="47">
        <f t="shared" si="23"/>
        <v>77</v>
      </c>
      <c r="X64" s="47">
        <f t="shared" si="23"/>
        <v>78</v>
      </c>
      <c r="Y64" s="47">
        <f t="shared" si="24"/>
        <v>78</v>
      </c>
      <c r="Z64" s="47">
        <f t="shared" si="47"/>
        <v>77</v>
      </c>
      <c r="AA64" s="47">
        <f t="shared" si="45"/>
        <v>74</v>
      </c>
      <c r="AB64" s="133"/>
      <c r="AC64" s="37">
        <f t="shared" si="33"/>
        <v>76</v>
      </c>
      <c r="AD64" s="47">
        <v>76</v>
      </c>
      <c r="AE64" s="47">
        <f t="shared" si="50"/>
        <v>77</v>
      </c>
      <c r="AF64" s="47">
        <f t="shared" si="49"/>
        <v>77</v>
      </c>
      <c r="AG64" s="47">
        <f t="shared" si="41"/>
        <v>76</v>
      </c>
      <c r="AH64" s="47">
        <f t="shared" si="34"/>
        <v>75</v>
      </c>
      <c r="AI64" s="134"/>
      <c r="AJ64" s="94"/>
      <c r="AK64" s="95"/>
      <c r="AL64" s="95"/>
      <c r="AM64" s="95"/>
      <c r="AN64" s="95"/>
      <c r="AO64" s="95"/>
      <c r="AP64" s="141"/>
      <c r="AQ64" s="95"/>
      <c r="AR64" s="95"/>
      <c r="AS64" s="95"/>
      <c r="AT64" s="95"/>
      <c r="AU64" s="95"/>
      <c r="AV64" s="95"/>
      <c r="AW64" s="95"/>
      <c r="AX64" s="106"/>
      <c r="AY64" s="107"/>
      <c r="AZ64" s="107"/>
      <c r="BA64" s="107"/>
      <c r="BB64" s="107"/>
      <c r="BC64" s="107"/>
      <c r="BD64" s="108"/>
      <c r="BE64" s="107"/>
      <c r="BF64" s="107"/>
      <c r="BG64" s="107"/>
      <c r="BH64" s="107"/>
      <c r="BI64" s="107"/>
      <c r="BJ64" s="107"/>
      <c r="BK64" s="108"/>
      <c r="BL64" s="88"/>
      <c r="BM64" s="89"/>
      <c r="BN64" s="89"/>
      <c r="BO64" s="89"/>
      <c r="BP64" s="89"/>
      <c r="BQ64" s="89"/>
      <c r="BR64" s="90"/>
      <c r="BS64" s="89"/>
      <c r="BT64" s="89"/>
      <c r="BU64" s="89"/>
      <c r="BV64" s="89"/>
      <c r="BW64" s="89"/>
      <c r="BX64" s="89"/>
      <c r="BY64" s="89"/>
      <c r="BZ64" s="37">
        <v>116</v>
      </c>
      <c r="CA64" s="47">
        <v>111</v>
      </c>
      <c r="CB64" s="47">
        <f t="shared" si="13"/>
        <v>108</v>
      </c>
      <c r="CC64" s="47">
        <f t="shared" si="14"/>
        <v>106</v>
      </c>
      <c r="CD64" s="47">
        <f t="shared" si="30"/>
        <v>105</v>
      </c>
      <c r="CE64" s="47">
        <f t="shared" si="38"/>
        <v>105</v>
      </c>
      <c r="CF64" s="133"/>
      <c r="CG64" s="37">
        <f t="shared" si="57"/>
        <v>113</v>
      </c>
      <c r="CH64" s="47">
        <f t="shared" si="16"/>
        <v>106</v>
      </c>
      <c r="CI64" s="47">
        <f t="shared" si="31"/>
        <v>103</v>
      </c>
      <c r="CJ64" s="47">
        <f t="shared" si="17"/>
        <v>102</v>
      </c>
      <c r="CK64" s="47">
        <f t="shared" si="18"/>
        <v>103</v>
      </c>
      <c r="CL64" s="47">
        <v>106</v>
      </c>
      <c r="CM64" s="134"/>
      <c r="CN64" s="84">
        <v>0.4</v>
      </c>
    </row>
    <row r="65" spans="7:92">
      <c r="G65" s="84">
        <v>61</v>
      </c>
      <c r="H65" s="30">
        <v>79</v>
      </c>
      <c r="I65" s="31">
        <f t="shared" si="53"/>
        <v>80</v>
      </c>
      <c r="J65" s="31">
        <v>81</v>
      </c>
      <c r="K65" s="31">
        <f t="shared" si="46"/>
        <v>80</v>
      </c>
      <c r="L65" s="31">
        <f t="shared" si="59"/>
        <v>80</v>
      </c>
      <c r="M65" s="31">
        <f t="shared" si="21"/>
        <v>80</v>
      </c>
      <c r="N65" s="32">
        <f t="shared" si="56"/>
        <v>78</v>
      </c>
      <c r="O65" s="31">
        <f t="shared" si="39"/>
        <v>79</v>
      </c>
      <c r="P65" s="31">
        <f t="shared" si="44"/>
        <v>78</v>
      </c>
      <c r="Q65" s="31">
        <f t="shared" si="43"/>
        <v>78</v>
      </c>
      <c r="R65" s="31">
        <f t="shared" si="22"/>
        <v>79</v>
      </c>
      <c r="S65" s="31">
        <f t="shared" si="51"/>
        <v>81</v>
      </c>
      <c r="T65" s="31">
        <f t="shared" si="48"/>
        <v>83</v>
      </c>
      <c r="U65" s="31">
        <f t="shared" si="32"/>
        <v>86</v>
      </c>
      <c r="V65" s="37">
        <v>75</v>
      </c>
      <c r="W65" s="47">
        <f t="shared" si="23"/>
        <v>77</v>
      </c>
      <c r="X65" s="47">
        <f t="shared" si="23"/>
        <v>78</v>
      </c>
      <c r="Y65" s="47">
        <f t="shared" si="24"/>
        <v>78</v>
      </c>
      <c r="Z65" s="47">
        <f t="shared" si="47"/>
        <v>77</v>
      </c>
      <c r="AA65" s="47">
        <f t="shared" si="45"/>
        <v>75</v>
      </c>
      <c r="AB65" s="133"/>
      <c r="AC65" s="37">
        <f t="shared" si="33"/>
        <v>76</v>
      </c>
      <c r="AD65" s="47">
        <f t="shared" si="54"/>
        <v>77</v>
      </c>
      <c r="AE65" s="47">
        <f t="shared" si="50"/>
        <v>77</v>
      </c>
      <c r="AF65" s="47">
        <f t="shared" si="49"/>
        <v>77</v>
      </c>
      <c r="AG65" s="47">
        <v>76</v>
      </c>
      <c r="AH65" s="47">
        <f t="shared" si="34"/>
        <v>75</v>
      </c>
      <c r="AI65" s="134"/>
      <c r="AJ65" s="94"/>
      <c r="AK65" s="95"/>
      <c r="AL65" s="95"/>
      <c r="AM65" s="95"/>
      <c r="AN65" s="95"/>
      <c r="AO65" s="95"/>
      <c r="AP65" s="141"/>
      <c r="AQ65" s="95"/>
      <c r="AR65" s="95"/>
      <c r="AS65" s="95"/>
      <c r="AT65" s="95"/>
      <c r="AU65" s="95"/>
      <c r="AV65" s="95"/>
      <c r="AW65" s="95"/>
      <c r="AX65" s="106"/>
      <c r="AY65" s="107"/>
      <c r="AZ65" s="107"/>
      <c r="BA65" s="107"/>
      <c r="BB65" s="107"/>
      <c r="BC65" s="107"/>
      <c r="BD65" s="108"/>
      <c r="BE65" s="107"/>
      <c r="BF65" s="107"/>
      <c r="BG65" s="107"/>
      <c r="BH65" s="107"/>
      <c r="BI65" s="107"/>
      <c r="BJ65" s="107"/>
      <c r="BK65" s="108"/>
      <c r="BL65" s="88"/>
      <c r="BM65" s="89"/>
      <c r="BN65" s="89"/>
      <c r="BO65" s="89"/>
      <c r="BP65" s="89"/>
      <c r="BQ65" s="89"/>
      <c r="BR65" s="90"/>
      <c r="BS65" s="89"/>
      <c r="BT65" s="89"/>
      <c r="BU65" s="89"/>
      <c r="BV65" s="89"/>
      <c r="BW65" s="89"/>
      <c r="BX65" s="89"/>
      <c r="BY65" s="89"/>
      <c r="BZ65" s="37">
        <f t="shared" si="58"/>
        <v>118</v>
      </c>
      <c r="CA65" s="47">
        <f t="shared" si="12"/>
        <v>112</v>
      </c>
      <c r="CB65" s="47">
        <f t="shared" si="13"/>
        <v>109</v>
      </c>
      <c r="CC65" s="47">
        <f t="shared" si="14"/>
        <v>107</v>
      </c>
      <c r="CD65" s="47">
        <v>107</v>
      </c>
      <c r="CE65" s="47">
        <v>107</v>
      </c>
      <c r="CF65" s="133"/>
      <c r="CG65" s="37">
        <f t="shared" si="57"/>
        <v>115</v>
      </c>
      <c r="CH65" s="47">
        <v>108</v>
      </c>
      <c r="CI65" s="47">
        <v>105</v>
      </c>
      <c r="CJ65" s="47">
        <v>104</v>
      </c>
      <c r="CK65" s="47">
        <f t="shared" si="18"/>
        <v>104</v>
      </c>
      <c r="CL65" s="47">
        <f t="shared" si="19"/>
        <v>107</v>
      </c>
      <c r="CM65" s="134"/>
      <c r="CN65" s="84">
        <v>0.5</v>
      </c>
    </row>
    <row r="66" spans="7:92">
      <c r="G66" s="84">
        <v>62</v>
      </c>
      <c r="H66" s="30">
        <v>80</v>
      </c>
      <c r="I66" s="31">
        <f t="shared" si="53"/>
        <v>81</v>
      </c>
      <c r="J66" s="31">
        <f t="shared" si="20"/>
        <v>81</v>
      </c>
      <c r="K66" s="31">
        <f t="shared" si="46"/>
        <v>81</v>
      </c>
      <c r="L66" s="31">
        <f t="shared" si="59"/>
        <v>81</v>
      </c>
      <c r="M66" s="31">
        <f t="shared" si="21"/>
        <v>80</v>
      </c>
      <c r="N66" s="32">
        <f t="shared" si="56"/>
        <v>79</v>
      </c>
      <c r="O66" s="31">
        <f t="shared" si="39"/>
        <v>80</v>
      </c>
      <c r="P66" s="31">
        <f t="shared" si="44"/>
        <v>79</v>
      </c>
      <c r="Q66" s="31">
        <v>79</v>
      </c>
      <c r="R66" s="31">
        <f t="shared" si="22"/>
        <v>79</v>
      </c>
      <c r="S66" s="31">
        <f t="shared" si="51"/>
        <v>81</v>
      </c>
      <c r="T66" s="31">
        <v>83</v>
      </c>
      <c r="U66" s="31">
        <f t="shared" si="32"/>
        <v>86</v>
      </c>
      <c r="V66" s="37">
        <v>75</v>
      </c>
      <c r="W66" s="47">
        <f t="shared" si="23"/>
        <v>78</v>
      </c>
      <c r="X66" s="47">
        <f t="shared" si="23"/>
        <v>79</v>
      </c>
      <c r="Y66" s="47">
        <f t="shared" si="24"/>
        <v>79</v>
      </c>
      <c r="Z66" s="47">
        <f t="shared" si="47"/>
        <v>78</v>
      </c>
      <c r="AA66" s="47">
        <f t="shared" si="45"/>
        <v>75</v>
      </c>
      <c r="AB66" s="133"/>
      <c r="AC66" s="37">
        <f t="shared" si="33"/>
        <v>77</v>
      </c>
      <c r="AD66" s="47">
        <f t="shared" si="54"/>
        <v>77</v>
      </c>
      <c r="AE66" s="47">
        <f t="shared" si="50"/>
        <v>78</v>
      </c>
      <c r="AF66" s="47">
        <v>77</v>
      </c>
      <c r="AG66" s="47">
        <f t="shared" si="41"/>
        <v>77</v>
      </c>
      <c r="AH66" s="47">
        <f t="shared" si="34"/>
        <v>76</v>
      </c>
      <c r="AI66" s="134"/>
      <c r="AJ66" s="94"/>
      <c r="AK66" s="95"/>
      <c r="AL66" s="95"/>
      <c r="AM66" s="95"/>
      <c r="AN66" s="95"/>
      <c r="AO66" s="95"/>
      <c r="AP66" s="141"/>
      <c r="AQ66" s="95"/>
      <c r="AR66" s="95"/>
      <c r="AS66" s="95"/>
      <c r="AT66" s="95"/>
      <c r="AU66" s="95"/>
      <c r="AV66" s="95"/>
      <c r="AW66" s="95"/>
      <c r="AX66" s="106"/>
      <c r="AY66" s="107"/>
      <c r="AZ66" s="107"/>
      <c r="BA66" s="107"/>
      <c r="BB66" s="107"/>
      <c r="BC66" s="107"/>
      <c r="BD66" s="108"/>
      <c r="BE66" s="107"/>
      <c r="BF66" s="107"/>
      <c r="BG66" s="107"/>
      <c r="BH66" s="107"/>
      <c r="BI66" s="107"/>
      <c r="BJ66" s="107"/>
      <c r="BK66" s="108"/>
      <c r="BL66" s="88"/>
      <c r="BM66" s="89"/>
      <c r="BN66" s="89"/>
      <c r="BO66" s="89"/>
      <c r="BP66" s="89"/>
      <c r="BQ66" s="89"/>
      <c r="BR66" s="90"/>
      <c r="BS66" s="89"/>
      <c r="BT66" s="89"/>
      <c r="BU66" s="89"/>
      <c r="BV66" s="89"/>
      <c r="BW66" s="89"/>
      <c r="BX66" s="89"/>
      <c r="BY66" s="89"/>
      <c r="BZ66" s="37">
        <f t="shared" si="58"/>
        <v>120</v>
      </c>
      <c r="CA66" s="47">
        <f t="shared" si="12"/>
        <v>113</v>
      </c>
      <c r="CB66" s="47">
        <f t="shared" si="13"/>
        <v>110</v>
      </c>
      <c r="CC66" s="47">
        <f t="shared" si="14"/>
        <v>108</v>
      </c>
      <c r="CD66" s="47">
        <f t="shared" si="30"/>
        <v>108</v>
      </c>
      <c r="CE66" s="47">
        <f t="shared" si="38"/>
        <v>108</v>
      </c>
      <c r="CF66" s="133"/>
      <c r="CG66" s="37">
        <v>116</v>
      </c>
      <c r="CH66" s="47">
        <f t="shared" si="16"/>
        <v>109</v>
      </c>
      <c r="CI66" s="47">
        <f t="shared" si="31"/>
        <v>106</v>
      </c>
      <c r="CJ66" s="47">
        <f t="shared" si="17"/>
        <v>105</v>
      </c>
      <c r="CK66" s="47">
        <v>106</v>
      </c>
      <c r="CL66" s="47">
        <f t="shared" si="19"/>
        <v>108</v>
      </c>
      <c r="CM66" s="134"/>
      <c r="CN66" s="84">
        <v>1</v>
      </c>
    </row>
    <row r="67" spans="7:92">
      <c r="G67" s="84">
        <v>63</v>
      </c>
      <c r="H67" s="30">
        <v>81</v>
      </c>
      <c r="I67" s="31">
        <f t="shared" si="53"/>
        <v>81</v>
      </c>
      <c r="J67" s="31">
        <f t="shared" si="20"/>
        <v>82</v>
      </c>
      <c r="K67" s="31">
        <f t="shared" si="46"/>
        <v>81</v>
      </c>
      <c r="L67" s="31">
        <f t="shared" si="59"/>
        <v>81</v>
      </c>
      <c r="M67" s="31">
        <f t="shared" si="21"/>
        <v>81</v>
      </c>
      <c r="N67" s="32">
        <v>80</v>
      </c>
      <c r="O67" s="31">
        <v>81</v>
      </c>
      <c r="P67" s="31">
        <f t="shared" si="44"/>
        <v>79</v>
      </c>
      <c r="Q67" s="31">
        <f t="shared" si="43"/>
        <v>79</v>
      </c>
      <c r="R67" s="31">
        <f t="shared" si="22"/>
        <v>80</v>
      </c>
      <c r="S67" s="31">
        <f t="shared" si="51"/>
        <v>82</v>
      </c>
      <c r="T67" s="31">
        <f t="shared" si="48"/>
        <v>84</v>
      </c>
      <c r="U67" s="31">
        <v>86</v>
      </c>
      <c r="V67" s="37">
        <v>76</v>
      </c>
      <c r="W67" s="47">
        <f t="shared" si="23"/>
        <v>78</v>
      </c>
      <c r="X67" s="47">
        <f t="shared" si="23"/>
        <v>79</v>
      </c>
      <c r="Y67" s="47">
        <f t="shared" si="24"/>
        <v>79</v>
      </c>
      <c r="Z67" s="47">
        <f t="shared" si="47"/>
        <v>78</v>
      </c>
      <c r="AA67" s="47">
        <f t="shared" si="45"/>
        <v>76</v>
      </c>
      <c r="AB67" s="133"/>
      <c r="AC67" s="37">
        <f t="shared" si="33"/>
        <v>77</v>
      </c>
      <c r="AD67" s="47">
        <f t="shared" si="54"/>
        <v>78</v>
      </c>
      <c r="AE67" s="47">
        <f t="shared" si="50"/>
        <v>78</v>
      </c>
      <c r="AF67" s="47">
        <f t="shared" si="49"/>
        <v>78</v>
      </c>
      <c r="AG67" s="47">
        <f t="shared" si="41"/>
        <v>77</v>
      </c>
      <c r="AH67" s="47">
        <f t="shared" si="34"/>
        <v>76</v>
      </c>
      <c r="AI67" s="134"/>
      <c r="AJ67" s="94"/>
      <c r="AK67" s="95"/>
      <c r="AL67" s="95"/>
      <c r="AM67" s="95"/>
      <c r="AN67" s="95"/>
      <c r="AO67" s="95"/>
      <c r="AP67" s="141"/>
      <c r="AQ67" s="95"/>
      <c r="AR67" s="95"/>
      <c r="AS67" s="95"/>
      <c r="AT67" s="95"/>
      <c r="AU67" s="95"/>
      <c r="AV67" s="95"/>
      <c r="AW67" s="95"/>
      <c r="AX67" s="106"/>
      <c r="AY67" s="107"/>
      <c r="AZ67" s="107"/>
      <c r="BA67" s="107"/>
      <c r="BB67" s="107"/>
      <c r="BC67" s="107"/>
      <c r="BD67" s="108"/>
      <c r="BE67" s="107"/>
      <c r="BF67" s="107"/>
      <c r="BG67" s="107"/>
      <c r="BH67" s="107"/>
      <c r="BI67" s="107"/>
      <c r="BJ67" s="107"/>
      <c r="BK67" s="108"/>
      <c r="BL67" s="88"/>
      <c r="BM67" s="89"/>
      <c r="BN67" s="89"/>
      <c r="BO67" s="89"/>
      <c r="BP67" s="89"/>
      <c r="BQ67" s="89"/>
      <c r="BR67" s="90"/>
      <c r="BS67" s="89"/>
      <c r="BT67" s="89"/>
      <c r="BU67" s="89"/>
      <c r="BV67" s="89"/>
      <c r="BW67" s="89"/>
      <c r="BX67" s="89"/>
      <c r="BY67" s="89"/>
      <c r="BZ67" s="37">
        <v>120</v>
      </c>
      <c r="CA67" s="47">
        <v>115</v>
      </c>
      <c r="CB67" s="47">
        <f t="shared" si="13"/>
        <v>111</v>
      </c>
      <c r="CC67" s="47">
        <v>110</v>
      </c>
      <c r="CD67" s="47">
        <f t="shared" si="30"/>
        <v>109</v>
      </c>
      <c r="CE67" s="47">
        <f t="shared" si="38"/>
        <v>109</v>
      </c>
      <c r="CF67" s="133"/>
      <c r="CG67" s="37">
        <f t="shared" si="57"/>
        <v>118</v>
      </c>
      <c r="CH67" s="47">
        <v>111</v>
      </c>
      <c r="CI67" s="47">
        <f t="shared" si="31"/>
        <v>107</v>
      </c>
      <c r="CJ67" s="47">
        <f t="shared" si="17"/>
        <v>106</v>
      </c>
      <c r="CK67" s="47">
        <f t="shared" si="18"/>
        <v>107</v>
      </c>
      <c r="CL67" s="47">
        <v>110</v>
      </c>
      <c r="CM67" s="134"/>
      <c r="CN67" s="84">
        <v>1</v>
      </c>
    </row>
    <row r="68" spans="7:92">
      <c r="G68" s="84">
        <v>64</v>
      </c>
      <c r="H68" s="30">
        <v>81</v>
      </c>
      <c r="I68" s="31">
        <f t="shared" si="53"/>
        <v>82</v>
      </c>
      <c r="J68" s="31">
        <f t="shared" si="20"/>
        <v>82</v>
      </c>
      <c r="K68" s="31">
        <f t="shared" si="46"/>
        <v>82</v>
      </c>
      <c r="L68" s="31">
        <f t="shared" si="59"/>
        <v>82</v>
      </c>
      <c r="M68" s="31">
        <f t="shared" si="21"/>
        <v>81</v>
      </c>
      <c r="N68" s="32">
        <f t="shared" si="56"/>
        <v>80</v>
      </c>
      <c r="O68" s="31">
        <f t="shared" si="39"/>
        <v>81</v>
      </c>
      <c r="P68" s="31">
        <f t="shared" si="44"/>
        <v>80</v>
      </c>
      <c r="Q68" s="31">
        <f t="shared" si="43"/>
        <v>80</v>
      </c>
      <c r="R68" s="31">
        <f t="shared" si="22"/>
        <v>80</v>
      </c>
      <c r="S68" s="31">
        <f t="shared" si="51"/>
        <v>82</v>
      </c>
      <c r="T68" s="31">
        <f t="shared" si="48"/>
        <v>84</v>
      </c>
      <c r="U68" s="31">
        <f t="shared" si="32"/>
        <v>87</v>
      </c>
      <c r="V68" s="37">
        <v>77</v>
      </c>
      <c r="W68" s="47">
        <f t="shared" si="23"/>
        <v>79</v>
      </c>
      <c r="X68" s="47">
        <f t="shared" si="23"/>
        <v>80</v>
      </c>
      <c r="Y68" s="47">
        <f t="shared" si="24"/>
        <v>80</v>
      </c>
      <c r="Z68" s="47">
        <f t="shared" si="47"/>
        <v>79</v>
      </c>
      <c r="AA68" s="47">
        <f t="shared" si="45"/>
        <v>76</v>
      </c>
      <c r="AB68" s="133"/>
      <c r="AC68" s="37">
        <f t="shared" si="33"/>
        <v>78</v>
      </c>
      <c r="AD68" s="47">
        <f t="shared" si="54"/>
        <v>78</v>
      </c>
      <c r="AE68" s="47">
        <v>78</v>
      </c>
      <c r="AF68" s="47">
        <f t="shared" si="49"/>
        <v>78</v>
      </c>
      <c r="AG68" s="47">
        <f t="shared" si="41"/>
        <v>78</v>
      </c>
      <c r="AH68" s="47">
        <f t="shared" si="34"/>
        <v>77</v>
      </c>
      <c r="AI68" s="134"/>
      <c r="AJ68" s="94"/>
      <c r="AK68" s="95"/>
      <c r="AL68" s="95"/>
      <c r="AM68" s="95"/>
      <c r="AN68" s="95"/>
      <c r="AO68" s="95"/>
      <c r="AP68" s="141"/>
      <c r="AQ68" s="95"/>
      <c r="AR68" s="95"/>
      <c r="AS68" s="95"/>
      <c r="AT68" s="95"/>
      <c r="AU68" s="95"/>
      <c r="AV68" s="95"/>
      <c r="AW68" s="95"/>
      <c r="AX68" s="106"/>
      <c r="AY68" s="107"/>
      <c r="AZ68" s="107"/>
      <c r="BA68" s="107"/>
      <c r="BB68" s="107"/>
      <c r="BC68" s="107"/>
      <c r="BD68" s="108"/>
      <c r="BE68" s="107"/>
      <c r="BF68" s="107"/>
      <c r="BG68" s="107"/>
      <c r="BH68" s="107"/>
      <c r="BI68" s="107"/>
      <c r="BJ68" s="107"/>
      <c r="BK68" s="108"/>
      <c r="BL68" s="88"/>
      <c r="BM68" s="89"/>
      <c r="BN68" s="89"/>
      <c r="BO68" s="89"/>
      <c r="BP68" s="89"/>
      <c r="BQ68" s="89"/>
      <c r="BR68" s="90"/>
      <c r="BS68" s="89"/>
      <c r="BT68" s="89"/>
      <c r="BU68" s="89"/>
      <c r="BV68" s="89"/>
      <c r="BW68" s="89"/>
      <c r="BX68" s="89"/>
      <c r="BY68" s="89"/>
      <c r="BZ68" s="37">
        <v>120</v>
      </c>
      <c r="CA68" s="47">
        <f t="shared" si="12"/>
        <v>116</v>
      </c>
      <c r="CB68" s="47">
        <f t="shared" si="13"/>
        <v>112</v>
      </c>
      <c r="CC68" s="47">
        <f t="shared" si="14"/>
        <v>111</v>
      </c>
      <c r="CD68" s="47">
        <f t="shared" si="30"/>
        <v>110</v>
      </c>
      <c r="CE68" s="47">
        <f t="shared" si="38"/>
        <v>110</v>
      </c>
      <c r="CF68" s="133"/>
      <c r="CG68" s="37">
        <v>120</v>
      </c>
      <c r="CH68" s="47">
        <f t="shared" si="16"/>
        <v>112</v>
      </c>
      <c r="CI68" s="47">
        <v>109</v>
      </c>
      <c r="CJ68" s="47">
        <f t="shared" si="17"/>
        <v>107</v>
      </c>
      <c r="CK68" s="47">
        <f t="shared" si="18"/>
        <v>108</v>
      </c>
      <c r="CL68" s="47">
        <f t="shared" si="19"/>
        <v>111</v>
      </c>
      <c r="CM68" s="134"/>
      <c r="CN68" s="84">
        <v>1</v>
      </c>
    </row>
    <row r="69" spans="7:92">
      <c r="G69" s="84">
        <v>65</v>
      </c>
      <c r="H69" s="30">
        <v>82</v>
      </c>
      <c r="I69" s="31">
        <f t="shared" si="53"/>
        <v>82</v>
      </c>
      <c r="J69" s="31">
        <f t="shared" si="20"/>
        <v>83</v>
      </c>
      <c r="K69" s="31">
        <f t="shared" si="46"/>
        <v>82</v>
      </c>
      <c r="L69" s="31">
        <f t="shared" si="59"/>
        <v>82</v>
      </c>
      <c r="M69" s="31">
        <f t="shared" si="21"/>
        <v>82</v>
      </c>
      <c r="N69" s="32">
        <f t="shared" si="56"/>
        <v>81</v>
      </c>
      <c r="O69" s="31">
        <f t="shared" si="39"/>
        <v>82</v>
      </c>
      <c r="P69" s="31">
        <f t="shared" si="44"/>
        <v>80</v>
      </c>
      <c r="Q69" s="31">
        <f t="shared" si="43"/>
        <v>80</v>
      </c>
      <c r="R69" s="31">
        <f t="shared" si="22"/>
        <v>81</v>
      </c>
      <c r="S69" s="31">
        <f t="shared" si="51"/>
        <v>83</v>
      </c>
      <c r="T69" s="31">
        <f t="shared" si="48"/>
        <v>85</v>
      </c>
      <c r="U69" s="31">
        <f t="shared" si="32"/>
        <v>87</v>
      </c>
      <c r="V69" s="37">
        <v>77</v>
      </c>
      <c r="W69" s="47">
        <f t="shared" si="23"/>
        <v>79</v>
      </c>
      <c r="X69" s="47">
        <f t="shared" si="23"/>
        <v>80</v>
      </c>
      <c r="Y69" s="47">
        <f t="shared" si="24"/>
        <v>80</v>
      </c>
      <c r="Z69" s="47">
        <f t="shared" si="47"/>
        <v>79</v>
      </c>
      <c r="AA69" s="47">
        <f t="shared" si="45"/>
        <v>77</v>
      </c>
      <c r="AB69" s="133"/>
      <c r="AC69" s="37">
        <f t="shared" si="33"/>
        <v>78</v>
      </c>
      <c r="AD69" s="47">
        <f t="shared" si="54"/>
        <v>79</v>
      </c>
      <c r="AE69" s="47">
        <f t="shared" si="50"/>
        <v>79</v>
      </c>
      <c r="AF69" s="47">
        <f t="shared" si="49"/>
        <v>79</v>
      </c>
      <c r="AG69" s="47">
        <f t="shared" si="41"/>
        <v>78</v>
      </c>
      <c r="AH69" s="47">
        <f t="shared" si="34"/>
        <v>77</v>
      </c>
      <c r="AI69" s="134"/>
      <c r="AJ69" s="94"/>
      <c r="AK69" s="95"/>
      <c r="AL69" s="95"/>
      <c r="AM69" s="95"/>
      <c r="AN69" s="95"/>
      <c r="AO69" s="95"/>
      <c r="AP69" s="141"/>
      <c r="AQ69" s="95"/>
      <c r="AR69" s="95"/>
      <c r="AS69" s="95"/>
      <c r="AT69" s="95"/>
      <c r="AU69" s="95"/>
      <c r="AV69" s="95"/>
      <c r="AW69" s="95"/>
      <c r="AX69" s="106"/>
      <c r="AY69" s="107"/>
      <c r="AZ69" s="107"/>
      <c r="BA69" s="107"/>
      <c r="BB69" s="107"/>
      <c r="BC69" s="107"/>
      <c r="BD69" s="108"/>
      <c r="BE69" s="107"/>
      <c r="BF69" s="107"/>
      <c r="BG69" s="107"/>
      <c r="BH69" s="107"/>
      <c r="BI69" s="107"/>
      <c r="BJ69" s="107"/>
      <c r="BK69" s="108"/>
      <c r="BL69" s="88"/>
      <c r="BM69" s="89"/>
      <c r="BN69" s="89"/>
      <c r="BO69" s="89"/>
      <c r="BP69" s="89"/>
      <c r="BQ69" s="89"/>
      <c r="BR69" s="90"/>
      <c r="BS69" s="89"/>
      <c r="BT69" s="89"/>
      <c r="BU69" s="89"/>
      <c r="BV69" s="89"/>
      <c r="BW69" s="89"/>
      <c r="BX69" s="89"/>
      <c r="BY69" s="89"/>
      <c r="BZ69" s="37">
        <v>120</v>
      </c>
      <c r="CA69" s="47">
        <f t="shared" si="12"/>
        <v>117</v>
      </c>
      <c r="CB69" s="47">
        <v>114</v>
      </c>
      <c r="CC69" s="47">
        <f t="shared" si="14"/>
        <v>112</v>
      </c>
      <c r="CD69" s="47">
        <f t="shared" si="30"/>
        <v>111</v>
      </c>
      <c r="CE69" s="47">
        <v>112</v>
      </c>
      <c r="CF69" s="133"/>
      <c r="CG69" s="37">
        <v>120</v>
      </c>
      <c r="CH69" s="47">
        <v>114</v>
      </c>
      <c r="CI69" s="47">
        <f t="shared" si="31"/>
        <v>110</v>
      </c>
      <c r="CJ69" s="47">
        <v>109</v>
      </c>
      <c r="CK69" s="47">
        <v>110</v>
      </c>
      <c r="CL69" s="47">
        <v>113</v>
      </c>
      <c r="CM69" s="134"/>
      <c r="CN69" s="84">
        <v>1</v>
      </c>
    </row>
    <row r="70" spans="7:92">
      <c r="G70" s="84">
        <v>66</v>
      </c>
      <c r="H70" s="30">
        <v>83</v>
      </c>
      <c r="I70" s="31">
        <f t="shared" si="53"/>
        <v>83</v>
      </c>
      <c r="J70" s="31">
        <f t="shared" si="20"/>
        <v>83</v>
      </c>
      <c r="K70" s="31">
        <f t="shared" si="46"/>
        <v>83</v>
      </c>
      <c r="L70" s="31">
        <f t="shared" si="59"/>
        <v>83</v>
      </c>
      <c r="M70" s="31">
        <f t="shared" si="21"/>
        <v>82</v>
      </c>
      <c r="N70" s="32">
        <f t="shared" si="56"/>
        <v>81</v>
      </c>
      <c r="O70" s="31">
        <f t="shared" si="39"/>
        <v>82</v>
      </c>
      <c r="P70" s="31">
        <f t="shared" si="44"/>
        <v>81</v>
      </c>
      <c r="Q70" s="31">
        <f t="shared" si="43"/>
        <v>81</v>
      </c>
      <c r="R70" s="31">
        <f t="shared" si="22"/>
        <v>81</v>
      </c>
      <c r="S70" s="31">
        <f t="shared" si="51"/>
        <v>83</v>
      </c>
      <c r="T70" s="31">
        <f t="shared" si="48"/>
        <v>85</v>
      </c>
      <c r="U70" s="31">
        <f t="shared" si="32"/>
        <v>88</v>
      </c>
      <c r="V70" s="37">
        <v>78</v>
      </c>
      <c r="W70" s="47">
        <f t="shared" si="23"/>
        <v>80</v>
      </c>
      <c r="X70" s="47">
        <f t="shared" si="23"/>
        <v>81</v>
      </c>
      <c r="Y70" s="47">
        <v>80</v>
      </c>
      <c r="Z70" s="47">
        <v>79</v>
      </c>
      <c r="AA70" s="47">
        <f t="shared" si="45"/>
        <v>77</v>
      </c>
      <c r="AB70" s="133"/>
      <c r="AC70" s="37">
        <f t="shared" si="33"/>
        <v>79</v>
      </c>
      <c r="AD70" s="47">
        <f t="shared" si="54"/>
        <v>79</v>
      </c>
      <c r="AE70" s="47">
        <f t="shared" si="50"/>
        <v>79</v>
      </c>
      <c r="AF70" s="47">
        <f t="shared" si="49"/>
        <v>79</v>
      </c>
      <c r="AG70" s="47">
        <f t="shared" si="41"/>
        <v>79</v>
      </c>
      <c r="AH70" s="47">
        <f t="shared" si="34"/>
        <v>78</v>
      </c>
      <c r="AI70" s="134"/>
      <c r="AJ70" s="94"/>
      <c r="AK70" s="95"/>
      <c r="AL70" s="95"/>
      <c r="AM70" s="95"/>
      <c r="AN70" s="95"/>
      <c r="AO70" s="95"/>
      <c r="AP70" s="141"/>
      <c r="AQ70" s="95"/>
      <c r="AR70" s="95"/>
      <c r="AS70" s="95"/>
      <c r="AT70" s="95"/>
      <c r="AU70" s="95"/>
      <c r="AV70" s="95"/>
      <c r="AW70" s="95"/>
      <c r="AX70" s="106"/>
      <c r="AY70" s="107"/>
      <c r="AZ70" s="107"/>
      <c r="BA70" s="107"/>
      <c r="BB70" s="107"/>
      <c r="BC70" s="107"/>
      <c r="BD70" s="108"/>
      <c r="BE70" s="107"/>
      <c r="BF70" s="107"/>
      <c r="BG70" s="107"/>
      <c r="BH70" s="107"/>
      <c r="BI70" s="107"/>
      <c r="BJ70" s="107"/>
      <c r="BK70" s="108"/>
      <c r="BL70" s="88"/>
      <c r="BM70" s="89"/>
      <c r="BN70" s="89"/>
      <c r="BO70" s="89"/>
      <c r="BP70" s="89"/>
      <c r="BQ70" s="89"/>
      <c r="BR70" s="90"/>
      <c r="BS70" s="89"/>
      <c r="BT70" s="89"/>
      <c r="BU70" s="89"/>
      <c r="BV70" s="89"/>
      <c r="BW70" s="89"/>
      <c r="BX70" s="89"/>
      <c r="BY70" s="89"/>
      <c r="BZ70" s="37">
        <v>120</v>
      </c>
      <c r="CA70" s="47">
        <v>119</v>
      </c>
      <c r="CB70" s="47">
        <f t="shared" ref="CB70:CB71" si="60">CB69+1</f>
        <v>115</v>
      </c>
      <c r="CC70" s="47">
        <f t="shared" ref="CC70:CC73" si="61">CC69+1</f>
        <v>113</v>
      </c>
      <c r="CD70" s="47">
        <f t="shared" ref="CD70:CD74" si="62">CD69+1</f>
        <v>112</v>
      </c>
      <c r="CE70" s="47">
        <f t="shared" si="38"/>
        <v>113</v>
      </c>
      <c r="CF70" s="133"/>
      <c r="CG70" s="37">
        <v>120</v>
      </c>
      <c r="CH70" s="47">
        <f t="shared" ref="CH70:CI73" si="63">CH69+1</f>
        <v>115</v>
      </c>
      <c r="CI70" s="47">
        <f t="shared" si="31"/>
        <v>111</v>
      </c>
      <c r="CJ70" s="47">
        <f t="shared" ref="CJ70" si="64">CJ69+1</f>
        <v>110</v>
      </c>
      <c r="CK70" s="47">
        <f t="shared" ref="CK70:CK74" si="65">CK69+1</f>
        <v>111</v>
      </c>
      <c r="CL70" s="47">
        <f t="shared" ref="CL70:CL71" si="66">CL69+1</f>
        <v>114</v>
      </c>
      <c r="CM70" s="134"/>
      <c r="CN70" s="84">
        <v>1</v>
      </c>
    </row>
    <row r="71" spans="7:92">
      <c r="G71" s="84">
        <v>67</v>
      </c>
      <c r="H71" s="30">
        <v>83</v>
      </c>
      <c r="I71" s="31">
        <v>84</v>
      </c>
      <c r="J71" s="31">
        <f t="shared" ref="J71:K105" si="67">J69+1</f>
        <v>84</v>
      </c>
      <c r="K71" s="31">
        <f t="shared" si="46"/>
        <v>83</v>
      </c>
      <c r="L71" s="31">
        <f t="shared" si="59"/>
        <v>83</v>
      </c>
      <c r="M71" s="31">
        <f t="shared" si="59"/>
        <v>83</v>
      </c>
      <c r="N71" s="32">
        <f t="shared" si="56"/>
        <v>82</v>
      </c>
      <c r="O71" s="31">
        <f t="shared" si="39"/>
        <v>83</v>
      </c>
      <c r="P71" s="31">
        <v>82</v>
      </c>
      <c r="Q71" s="31">
        <f t="shared" si="43"/>
        <v>81</v>
      </c>
      <c r="R71" s="31">
        <f t="shared" si="43"/>
        <v>82</v>
      </c>
      <c r="S71" s="31">
        <v>83</v>
      </c>
      <c r="T71" s="31">
        <f t="shared" si="48"/>
        <v>86</v>
      </c>
      <c r="U71" s="31">
        <f t="shared" si="32"/>
        <v>88</v>
      </c>
      <c r="V71" s="37">
        <v>78</v>
      </c>
      <c r="W71" s="47">
        <f t="shared" ref="W71:Y113" si="68">W69+1</f>
        <v>80</v>
      </c>
      <c r="X71" s="47">
        <f t="shared" si="68"/>
        <v>81</v>
      </c>
      <c r="Y71" s="47">
        <f t="shared" si="68"/>
        <v>81</v>
      </c>
      <c r="Z71" s="47">
        <f t="shared" si="47"/>
        <v>80</v>
      </c>
      <c r="AA71" s="47">
        <f t="shared" si="45"/>
        <v>78</v>
      </c>
      <c r="AB71" s="133"/>
      <c r="AC71" s="37">
        <f t="shared" si="33"/>
        <v>79</v>
      </c>
      <c r="AD71" s="47">
        <f t="shared" si="54"/>
        <v>80</v>
      </c>
      <c r="AE71" s="47">
        <f t="shared" si="50"/>
        <v>80</v>
      </c>
      <c r="AF71" s="47">
        <f t="shared" si="49"/>
        <v>80</v>
      </c>
      <c r="AG71" s="47">
        <f t="shared" si="41"/>
        <v>79</v>
      </c>
      <c r="AH71" s="47">
        <f t="shared" si="34"/>
        <v>78</v>
      </c>
      <c r="AI71" s="134"/>
      <c r="AJ71" s="94"/>
      <c r="AK71" s="95"/>
      <c r="AL71" s="95"/>
      <c r="AM71" s="95"/>
      <c r="AN71" s="95"/>
      <c r="AO71" s="95"/>
      <c r="AP71" s="141"/>
      <c r="AQ71" s="95"/>
      <c r="AR71" s="95"/>
      <c r="AS71" s="95"/>
      <c r="AT71" s="95"/>
      <c r="AU71" s="95"/>
      <c r="AV71" s="95"/>
      <c r="AW71" s="95"/>
      <c r="AX71" s="106"/>
      <c r="AY71" s="107"/>
      <c r="AZ71" s="107"/>
      <c r="BA71" s="107"/>
      <c r="BB71" s="107"/>
      <c r="BC71" s="107"/>
      <c r="BD71" s="108"/>
      <c r="BE71" s="107"/>
      <c r="BF71" s="107"/>
      <c r="BG71" s="107"/>
      <c r="BH71" s="107"/>
      <c r="BI71" s="107"/>
      <c r="BJ71" s="107"/>
      <c r="BK71" s="108"/>
      <c r="BL71" s="88"/>
      <c r="BM71" s="89"/>
      <c r="BN71" s="89"/>
      <c r="BO71" s="89"/>
      <c r="BP71" s="89"/>
      <c r="BQ71" s="89"/>
      <c r="BR71" s="90"/>
      <c r="BS71" s="89"/>
      <c r="BT71" s="89"/>
      <c r="BU71" s="89"/>
      <c r="BV71" s="89"/>
      <c r="BW71" s="89"/>
      <c r="BX71" s="89"/>
      <c r="BY71" s="89"/>
      <c r="BZ71" s="132">
        <v>120</v>
      </c>
      <c r="CA71" s="133">
        <v>119</v>
      </c>
      <c r="CB71" s="47">
        <f t="shared" si="60"/>
        <v>116</v>
      </c>
      <c r="CC71" s="47">
        <f t="shared" si="61"/>
        <v>114</v>
      </c>
      <c r="CD71" s="47">
        <f t="shared" si="62"/>
        <v>113</v>
      </c>
      <c r="CE71" s="47">
        <v>114</v>
      </c>
      <c r="CF71" s="133"/>
      <c r="CG71" s="37">
        <v>120</v>
      </c>
      <c r="CH71" s="47">
        <v>117</v>
      </c>
      <c r="CI71" s="47">
        <v>113</v>
      </c>
      <c r="CJ71" s="47">
        <v>111</v>
      </c>
      <c r="CK71" s="47">
        <f t="shared" si="65"/>
        <v>112</v>
      </c>
      <c r="CL71" s="47">
        <f t="shared" si="66"/>
        <v>115</v>
      </c>
      <c r="CM71" s="134"/>
      <c r="CN71" s="84">
        <v>1</v>
      </c>
    </row>
    <row r="72" spans="7:92">
      <c r="G72" s="84">
        <v>68</v>
      </c>
      <c r="H72" s="30">
        <v>84</v>
      </c>
      <c r="I72" s="31">
        <f t="shared" si="53"/>
        <v>84</v>
      </c>
      <c r="J72" s="31">
        <f t="shared" si="67"/>
        <v>84</v>
      </c>
      <c r="K72" s="31">
        <f t="shared" si="46"/>
        <v>84</v>
      </c>
      <c r="L72" s="31">
        <f t="shared" si="59"/>
        <v>84</v>
      </c>
      <c r="M72" s="31">
        <f t="shared" si="59"/>
        <v>83</v>
      </c>
      <c r="N72" s="32">
        <f t="shared" si="56"/>
        <v>82</v>
      </c>
      <c r="O72" s="31">
        <f t="shared" si="39"/>
        <v>83</v>
      </c>
      <c r="P72" s="31">
        <f t="shared" si="44"/>
        <v>82</v>
      </c>
      <c r="Q72" s="31">
        <f t="shared" si="43"/>
        <v>82</v>
      </c>
      <c r="R72" s="31">
        <f t="shared" si="43"/>
        <v>82</v>
      </c>
      <c r="S72" s="31">
        <f t="shared" si="51"/>
        <v>84</v>
      </c>
      <c r="T72" s="31">
        <f t="shared" si="48"/>
        <v>86</v>
      </c>
      <c r="U72" s="31">
        <v>88</v>
      </c>
      <c r="V72" s="37">
        <v>79</v>
      </c>
      <c r="W72" s="47">
        <f t="shared" si="68"/>
        <v>81</v>
      </c>
      <c r="X72" s="47">
        <f t="shared" si="68"/>
        <v>82</v>
      </c>
      <c r="Y72" s="47">
        <f t="shared" si="68"/>
        <v>81</v>
      </c>
      <c r="Z72" s="47">
        <f t="shared" si="47"/>
        <v>80</v>
      </c>
      <c r="AA72" s="47">
        <f t="shared" si="45"/>
        <v>78</v>
      </c>
      <c r="AB72" s="133"/>
      <c r="AC72" s="37">
        <f t="shared" ref="AC72:AD112" si="69">AC70+1</f>
        <v>80</v>
      </c>
      <c r="AD72" s="47">
        <f t="shared" si="54"/>
        <v>80</v>
      </c>
      <c r="AE72" s="47">
        <f t="shared" si="50"/>
        <v>80</v>
      </c>
      <c r="AF72" s="47">
        <f t="shared" si="49"/>
        <v>80</v>
      </c>
      <c r="AG72" s="47">
        <f t="shared" si="41"/>
        <v>80</v>
      </c>
      <c r="AH72" s="47">
        <f t="shared" si="41"/>
        <v>79</v>
      </c>
      <c r="AI72" s="134"/>
      <c r="AJ72" s="94"/>
      <c r="AK72" s="95"/>
      <c r="AL72" s="95"/>
      <c r="AM72" s="95"/>
      <c r="AN72" s="95"/>
      <c r="AO72" s="95"/>
      <c r="AP72" s="141"/>
      <c r="AQ72" s="95"/>
      <c r="AR72" s="95"/>
      <c r="AS72" s="95"/>
      <c r="AT72" s="95"/>
      <c r="AU72" s="95"/>
      <c r="AV72" s="95"/>
      <c r="AW72" s="95"/>
      <c r="AX72" s="106"/>
      <c r="AY72" s="107"/>
      <c r="AZ72" s="107"/>
      <c r="BA72" s="107"/>
      <c r="BB72" s="107"/>
      <c r="BC72" s="107"/>
      <c r="BD72" s="108"/>
      <c r="BE72" s="107"/>
      <c r="BF72" s="107"/>
      <c r="BG72" s="107"/>
      <c r="BH72" s="107"/>
      <c r="BI72" s="107"/>
      <c r="BJ72" s="107"/>
      <c r="BK72" s="108"/>
      <c r="BL72" s="88"/>
      <c r="BM72" s="89"/>
      <c r="BN72" s="89"/>
      <c r="BO72" s="89"/>
      <c r="BP72" s="89"/>
      <c r="BQ72" s="89"/>
      <c r="BR72" s="90"/>
      <c r="BS72" s="89"/>
      <c r="BT72" s="89"/>
      <c r="BU72" s="89"/>
      <c r="BV72" s="89"/>
      <c r="BW72" s="89"/>
      <c r="BX72" s="89"/>
      <c r="BY72" s="89"/>
      <c r="BZ72" s="132">
        <v>120</v>
      </c>
      <c r="CA72" s="133">
        <v>119</v>
      </c>
      <c r="CB72" s="133">
        <v>116</v>
      </c>
      <c r="CC72" s="47">
        <f t="shared" si="61"/>
        <v>115</v>
      </c>
      <c r="CD72" s="47">
        <v>115</v>
      </c>
      <c r="CE72" s="47">
        <v>115</v>
      </c>
      <c r="CF72" s="133"/>
      <c r="CG72" s="37">
        <v>120</v>
      </c>
      <c r="CH72" s="47">
        <f t="shared" si="63"/>
        <v>118</v>
      </c>
      <c r="CI72" s="47">
        <f t="shared" si="63"/>
        <v>114</v>
      </c>
      <c r="CJ72" s="47">
        <v>113</v>
      </c>
      <c r="CK72" s="47">
        <f t="shared" si="65"/>
        <v>113</v>
      </c>
      <c r="CL72" s="133">
        <v>115</v>
      </c>
      <c r="CM72" s="134"/>
      <c r="CN72" s="84">
        <v>2</v>
      </c>
    </row>
    <row r="73" spans="7:92">
      <c r="G73" s="84">
        <v>69</v>
      </c>
      <c r="H73" s="30">
        <v>85</v>
      </c>
      <c r="I73" s="31">
        <f t="shared" si="53"/>
        <v>85</v>
      </c>
      <c r="J73" s="31">
        <f t="shared" si="67"/>
        <v>85</v>
      </c>
      <c r="K73" s="31">
        <f t="shared" si="46"/>
        <v>84</v>
      </c>
      <c r="L73" s="31">
        <f t="shared" si="59"/>
        <v>84</v>
      </c>
      <c r="M73" s="31">
        <f t="shared" si="59"/>
        <v>84</v>
      </c>
      <c r="N73" s="32">
        <f t="shared" si="56"/>
        <v>83</v>
      </c>
      <c r="O73" s="31">
        <f t="shared" si="39"/>
        <v>84</v>
      </c>
      <c r="P73" s="31">
        <f t="shared" si="44"/>
        <v>83</v>
      </c>
      <c r="Q73" s="31">
        <f t="shared" si="43"/>
        <v>82</v>
      </c>
      <c r="R73" s="31">
        <f t="shared" si="43"/>
        <v>83</v>
      </c>
      <c r="S73" s="31">
        <f t="shared" si="51"/>
        <v>84</v>
      </c>
      <c r="T73" s="31">
        <v>86</v>
      </c>
      <c r="U73" s="31">
        <f t="shared" ref="U73:U102" si="70">U71+1</f>
        <v>89</v>
      </c>
      <c r="V73" s="37">
        <v>79</v>
      </c>
      <c r="W73" s="47">
        <f t="shared" si="68"/>
        <v>81</v>
      </c>
      <c r="X73" s="47">
        <f t="shared" si="68"/>
        <v>82</v>
      </c>
      <c r="Y73" s="47">
        <f t="shared" si="68"/>
        <v>82</v>
      </c>
      <c r="Z73" s="47">
        <f t="shared" si="47"/>
        <v>81</v>
      </c>
      <c r="AA73" s="47">
        <f t="shared" si="45"/>
        <v>79</v>
      </c>
      <c r="AB73" s="133"/>
      <c r="AC73" s="37">
        <f t="shared" si="69"/>
        <v>80</v>
      </c>
      <c r="AD73" s="47">
        <f t="shared" si="54"/>
        <v>81</v>
      </c>
      <c r="AE73" s="47">
        <f t="shared" si="50"/>
        <v>81</v>
      </c>
      <c r="AF73" s="47">
        <v>80</v>
      </c>
      <c r="AG73" s="47">
        <f t="shared" si="41"/>
        <v>80</v>
      </c>
      <c r="AH73" s="47">
        <f t="shared" si="41"/>
        <v>79</v>
      </c>
      <c r="AI73" s="134"/>
      <c r="AJ73" s="94"/>
      <c r="AK73" s="95"/>
      <c r="AL73" s="95"/>
      <c r="AM73" s="95"/>
      <c r="AN73" s="95"/>
      <c r="AO73" s="95"/>
      <c r="AP73" s="141"/>
      <c r="AQ73" s="95"/>
      <c r="AR73" s="95"/>
      <c r="AS73" s="95"/>
      <c r="AT73" s="95"/>
      <c r="AU73" s="95"/>
      <c r="AV73" s="95"/>
      <c r="AW73" s="95"/>
      <c r="AX73" s="106"/>
      <c r="AY73" s="107"/>
      <c r="AZ73" s="107"/>
      <c r="BA73" s="107"/>
      <c r="BB73" s="107"/>
      <c r="BC73" s="107"/>
      <c r="BD73" s="108"/>
      <c r="BE73" s="107"/>
      <c r="BF73" s="107"/>
      <c r="BG73" s="107"/>
      <c r="BH73" s="107"/>
      <c r="BI73" s="107"/>
      <c r="BJ73" s="107"/>
      <c r="BK73" s="108"/>
      <c r="BL73" s="88"/>
      <c r="BM73" s="89"/>
      <c r="BN73" s="89"/>
      <c r="BO73" s="89"/>
      <c r="BP73" s="89"/>
      <c r="BQ73" s="89"/>
      <c r="BR73" s="90"/>
      <c r="BS73" s="89"/>
      <c r="BT73" s="89"/>
      <c r="BU73" s="89"/>
      <c r="BV73" s="89"/>
      <c r="BW73" s="89"/>
      <c r="BX73" s="89"/>
      <c r="BY73" s="89"/>
      <c r="BZ73" s="100">
        <v>120</v>
      </c>
      <c r="CA73" s="101">
        <v>119</v>
      </c>
      <c r="CB73" s="101">
        <v>116</v>
      </c>
      <c r="CC73" s="47">
        <f t="shared" si="61"/>
        <v>116</v>
      </c>
      <c r="CD73" s="47">
        <f t="shared" si="62"/>
        <v>116</v>
      </c>
      <c r="CE73" s="47">
        <v>117</v>
      </c>
      <c r="CF73" s="101"/>
      <c r="CG73" s="100">
        <v>120</v>
      </c>
      <c r="CH73" s="47">
        <v>120</v>
      </c>
      <c r="CI73" s="47">
        <f t="shared" si="63"/>
        <v>115</v>
      </c>
      <c r="CJ73" s="101">
        <v>113</v>
      </c>
      <c r="CK73" s="47">
        <v>115</v>
      </c>
      <c r="CL73" s="101">
        <v>115</v>
      </c>
      <c r="CM73" s="102"/>
      <c r="CN73" s="84">
        <v>2</v>
      </c>
    </row>
    <row r="74" spans="7:92">
      <c r="G74" s="84">
        <v>70</v>
      </c>
      <c r="H74" s="30">
        <v>85</v>
      </c>
      <c r="I74" s="31">
        <f t="shared" si="53"/>
        <v>85</v>
      </c>
      <c r="J74" s="31">
        <f t="shared" si="67"/>
        <v>85</v>
      </c>
      <c r="K74" s="31">
        <f t="shared" si="46"/>
        <v>85</v>
      </c>
      <c r="L74" s="31">
        <f t="shared" si="59"/>
        <v>85</v>
      </c>
      <c r="M74" s="31">
        <f t="shared" si="59"/>
        <v>84</v>
      </c>
      <c r="N74" s="32">
        <f t="shared" si="56"/>
        <v>83</v>
      </c>
      <c r="O74" s="31">
        <v>85</v>
      </c>
      <c r="P74" s="31">
        <f t="shared" si="44"/>
        <v>83</v>
      </c>
      <c r="Q74" s="31">
        <f t="shared" si="43"/>
        <v>83</v>
      </c>
      <c r="R74" s="31">
        <f t="shared" si="43"/>
        <v>83</v>
      </c>
      <c r="S74" s="31">
        <f t="shared" si="51"/>
        <v>85</v>
      </c>
      <c r="T74" s="31">
        <f t="shared" si="48"/>
        <v>87</v>
      </c>
      <c r="U74" s="31">
        <f t="shared" si="70"/>
        <v>89</v>
      </c>
      <c r="V74" s="37">
        <v>80</v>
      </c>
      <c r="W74" s="47">
        <f t="shared" si="68"/>
        <v>82</v>
      </c>
      <c r="X74" s="47">
        <v>82</v>
      </c>
      <c r="Y74" s="47">
        <f t="shared" ref="Y74:AA114" si="71">Y72+1</f>
        <v>82</v>
      </c>
      <c r="Z74" s="47">
        <f t="shared" si="47"/>
        <v>81</v>
      </c>
      <c r="AA74" s="47">
        <f t="shared" si="45"/>
        <v>79</v>
      </c>
      <c r="AB74" s="133"/>
      <c r="AC74" s="37">
        <f t="shared" si="69"/>
        <v>81</v>
      </c>
      <c r="AD74" s="47">
        <f t="shared" si="54"/>
        <v>81</v>
      </c>
      <c r="AE74" s="47">
        <f t="shared" si="50"/>
        <v>81</v>
      </c>
      <c r="AF74" s="47">
        <f t="shared" si="49"/>
        <v>81</v>
      </c>
      <c r="AG74" s="47">
        <v>80</v>
      </c>
      <c r="AH74" s="47">
        <f t="shared" ref="AH74:AH114" si="72">AH72+1</f>
        <v>80</v>
      </c>
      <c r="AI74" s="134"/>
      <c r="AJ74" s="94"/>
      <c r="AK74" s="95"/>
      <c r="AL74" s="95"/>
      <c r="AM74" s="95"/>
      <c r="AN74" s="95"/>
      <c r="AO74" s="95"/>
      <c r="AP74" s="141"/>
      <c r="AQ74" s="95"/>
      <c r="AR74" s="95"/>
      <c r="AS74" s="95"/>
      <c r="AT74" s="95"/>
      <c r="AU74" s="95"/>
      <c r="AV74" s="95"/>
      <c r="AW74" s="95"/>
      <c r="AX74" s="106"/>
      <c r="AY74" s="107"/>
      <c r="AZ74" s="107"/>
      <c r="BA74" s="107"/>
      <c r="BB74" s="107"/>
      <c r="BC74" s="107"/>
      <c r="BD74" s="108"/>
      <c r="BE74" s="107"/>
      <c r="BF74" s="107"/>
      <c r="BG74" s="107"/>
      <c r="BH74" s="107"/>
      <c r="BI74" s="107"/>
      <c r="BJ74" s="107"/>
      <c r="BK74" s="108"/>
      <c r="BL74" s="88"/>
      <c r="BM74" s="89"/>
      <c r="BN74" s="89"/>
      <c r="BO74" s="89"/>
      <c r="BP74" s="89"/>
      <c r="BQ74" s="89"/>
      <c r="BR74" s="90"/>
      <c r="BS74" s="89"/>
      <c r="BT74" s="89"/>
      <c r="BU74" s="89"/>
      <c r="BV74" s="89"/>
      <c r="BW74" s="89"/>
      <c r="BX74" s="89"/>
      <c r="BY74" s="89"/>
      <c r="BZ74" s="100">
        <v>120</v>
      </c>
      <c r="CA74" s="101">
        <v>119</v>
      </c>
      <c r="CB74" s="101">
        <v>116</v>
      </c>
      <c r="CC74" s="101">
        <v>116</v>
      </c>
      <c r="CD74" s="47">
        <f t="shared" si="62"/>
        <v>117</v>
      </c>
      <c r="CE74" s="47">
        <v>118</v>
      </c>
      <c r="CF74" s="101"/>
      <c r="CG74" s="100">
        <v>120</v>
      </c>
      <c r="CH74" s="101">
        <v>120</v>
      </c>
      <c r="CI74" s="101">
        <v>115</v>
      </c>
      <c r="CJ74" s="101">
        <v>113</v>
      </c>
      <c r="CK74" s="47">
        <f t="shared" si="65"/>
        <v>116</v>
      </c>
      <c r="CL74" s="101">
        <v>115</v>
      </c>
      <c r="CM74" s="102"/>
      <c r="CN74" s="84">
        <v>2</v>
      </c>
    </row>
    <row r="75" spans="7:92">
      <c r="G75" s="84">
        <v>71</v>
      </c>
      <c r="H75" s="30">
        <v>86</v>
      </c>
      <c r="I75" s="31">
        <f t="shared" si="53"/>
        <v>86</v>
      </c>
      <c r="J75" s="31">
        <f t="shared" si="67"/>
        <v>86</v>
      </c>
      <c r="K75" s="31">
        <f t="shared" si="46"/>
        <v>85</v>
      </c>
      <c r="L75" s="31">
        <f t="shared" si="59"/>
        <v>85</v>
      </c>
      <c r="M75" s="31">
        <f t="shared" si="59"/>
        <v>85</v>
      </c>
      <c r="N75" s="32">
        <f t="shared" si="56"/>
        <v>84</v>
      </c>
      <c r="O75" s="31">
        <f t="shared" si="56"/>
        <v>85</v>
      </c>
      <c r="P75" s="31">
        <f t="shared" si="44"/>
        <v>84</v>
      </c>
      <c r="Q75" s="31">
        <f t="shared" si="43"/>
        <v>83</v>
      </c>
      <c r="R75" s="31">
        <f t="shared" si="43"/>
        <v>84</v>
      </c>
      <c r="S75" s="31">
        <f t="shared" si="51"/>
        <v>85</v>
      </c>
      <c r="T75" s="31">
        <f t="shared" si="48"/>
        <v>87</v>
      </c>
      <c r="U75" s="31">
        <f t="shared" si="70"/>
        <v>90</v>
      </c>
      <c r="V75" s="37">
        <v>81</v>
      </c>
      <c r="W75" s="47">
        <f t="shared" si="68"/>
        <v>82</v>
      </c>
      <c r="X75" s="47">
        <f t="shared" si="68"/>
        <v>83</v>
      </c>
      <c r="Y75" s="47">
        <f t="shared" si="71"/>
        <v>83</v>
      </c>
      <c r="Z75" s="47">
        <f t="shared" si="47"/>
        <v>82</v>
      </c>
      <c r="AA75" s="47">
        <f t="shared" si="45"/>
        <v>80</v>
      </c>
      <c r="AB75" s="133"/>
      <c r="AC75" s="37">
        <f t="shared" si="69"/>
        <v>81</v>
      </c>
      <c r="AD75" s="47">
        <v>81</v>
      </c>
      <c r="AE75" s="47">
        <v>81</v>
      </c>
      <c r="AF75" s="47">
        <f t="shared" si="49"/>
        <v>81</v>
      </c>
      <c r="AG75" s="47">
        <f t="shared" si="49"/>
        <v>81</v>
      </c>
      <c r="AH75" s="47">
        <f t="shared" si="72"/>
        <v>80</v>
      </c>
      <c r="AI75" s="134"/>
      <c r="AJ75" s="94"/>
      <c r="AK75" s="95"/>
      <c r="AL75" s="95"/>
      <c r="AM75" s="95"/>
      <c r="AN75" s="95"/>
      <c r="AO75" s="95"/>
      <c r="AP75" s="141"/>
      <c r="AQ75" s="95"/>
      <c r="AR75" s="95"/>
      <c r="AS75" s="95"/>
      <c r="AT75" s="95"/>
      <c r="AU75" s="95"/>
      <c r="AV75" s="95"/>
      <c r="AW75" s="95"/>
      <c r="AX75" s="106"/>
      <c r="AY75" s="107"/>
      <c r="AZ75" s="107"/>
      <c r="BA75" s="107"/>
      <c r="BB75" s="107"/>
      <c r="BC75" s="107"/>
      <c r="BD75" s="108"/>
      <c r="BE75" s="107"/>
      <c r="BF75" s="107"/>
      <c r="BG75" s="107"/>
      <c r="BH75" s="107"/>
      <c r="BI75" s="107"/>
      <c r="BJ75" s="107"/>
      <c r="BK75" s="108"/>
      <c r="BL75" s="88"/>
      <c r="BM75" s="89"/>
      <c r="BN75" s="89"/>
      <c r="BO75" s="89"/>
      <c r="BP75" s="89"/>
      <c r="BQ75" s="89"/>
      <c r="BR75" s="90"/>
      <c r="BS75" s="89"/>
      <c r="BT75" s="89"/>
      <c r="BU75" s="89"/>
      <c r="BV75" s="89"/>
      <c r="BW75" s="89"/>
      <c r="BX75" s="89"/>
      <c r="BY75" s="89"/>
      <c r="BZ75" s="100"/>
      <c r="CA75" s="101"/>
      <c r="CB75" s="101"/>
      <c r="CC75" s="101"/>
      <c r="CD75" s="101"/>
      <c r="CE75" s="101"/>
      <c r="CF75" s="101"/>
      <c r="CG75" s="100"/>
      <c r="CH75" s="101"/>
      <c r="CI75" s="101"/>
      <c r="CJ75" s="101"/>
      <c r="CK75" s="101"/>
      <c r="CL75" s="101"/>
      <c r="CM75" s="102"/>
      <c r="CN75" s="84">
        <v>3</v>
      </c>
    </row>
    <row r="76" spans="7:92">
      <c r="G76" s="84">
        <v>72</v>
      </c>
      <c r="H76" s="30">
        <v>86</v>
      </c>
      <c r="I76" s="31">
        <f t="shared" si="53"/>
        <v>86</v>
      </c>
      <c r="J76" s="31">
        <f t="shared" si="67"/>
        <v>86</v>
      </c>
      <c r="K76" s="31">
        <f t="shared" si="46"/>
        <v>86</v>
      </c>
      <c r="L76" s="31">
        <f t="shared" si="59"/>
        <v>86</v>
      </c>
      <c r="M76" s="31">
        <f t="shared" si="59"/>
        <v>85</v>
      </c>
      <c r="N76" s="32">
        <f t="shared" si="56"/>
        <v>84</v>
      </c>
      <c r="O76" s="31">
        <f t="shared" si="56"/>
        <v>86</v>
      </c>
      <c r="P76" s="31">
        <f t="shared" si="56"/>
        <v>84</v>
      </c>
      <c r="Q76" s="31">
        <f t="shared" si="56"/>
        <v>84</v>
      </c>
      <c r="R76" s="31">
        <v>85</v>
      </c>
      <c r="S76" s="31">
        <f t="shared" si="51"/>
        <v>86</v>
      </c>
      <c r="T76" s="31">
        <f t="shared" si="48"/>
        <v>88</v>
      </c>
      <c r="U76" s="31">
        <f t="shared" si="70"/>
        <v>90</v>
      </c>
      <c r="V76" s="37">
        <v>81</v>
      </c>
      <c r="W76" s="47">
        <f t="shared" si="68"/>
        <v>83</v>
      </c>
      <c r="X76" s="47">
        <f t="shared" si="68"/>
        <v>83</v>
      </c>
      <c r="Y76" s="47">
        <f t="shared" si="71"/>
        <v>83</v>
      </c>
      <c r="Z76" s="47">
        <f t="shared" si="47"/>
        <v>82</v>
      </c>
      <c r="AA76" s="47">
        <f t="shared" si="45"/>
        <v>80</v>
      </c>
      <c r="AB76" s="133"/>
      <c r="AC76" s="37">
        <f t="shared" si="69"/>
        <v>82</v>
      </c>
      <c r="AD76" s="47">
        <f t="shared" si="54"/>
        <v>82</v>
      </c>
      <c r="AE76" s="47">
        <f t="shared" si="50"/>
        <v>82</v>
      </c>
      <c r="AF76" s="47">
        <f t="shared" si="49"/>
        <v>82</v>
      </c>
      <c r="AG76" s="47">
        <f t="shared" si="49"/>
        <v>81</v>
      </c>
      <c r="AH76" s="47">
        <f t="shared" si="72"/>
        <v>81</v>
      </c>
      <c r="AI76" s="134"/>
      <c r="AJ76" s="94"/>
      <c r="AK76" s="95"/>
      <c r="AL76" s="95"/>
      <c r="AM76" s="95"/>
      <c r="AN76" s="95"/>
      <c r="AO76" s="95"/>
      <c r="AP76" s="141"/>
      <c r="AQ76" s="95"/>
      <c r="AR76" s="95"/>
      <c r="AS76" s="95"/>
      <c r="AT76" s="95"/>
      <c r="AU76" s="95"/>
      <c r="AV76" s="95"/>
      <c r="AW76" s="95"/>
      <c r="AX76" s="106"/>
      <c r="AY76" s="107"/>
      <c r="AZ76" s="107"/>
      <c r="BA76" s="107"/>
      <c r="BB76" s="107"/>
      <c r="BC76" s="107"/>
      <c r="BD76" s="108"/>
      <c r="BE76" s="107"/>
      <c r="BF76" s="107"/>
      <c r="BG76" s="107"/>
      <c r="BH76" s="107"/>
      <c r="BI76" s="107"/>
      <c r="BJ76" s="107"/>
      <c r="BK76" s="108"/>
      <c r="BL76" s="88"/>
      <c r="BM76" s="89"/>
      <c r="BN76" s="89"/>
      <c r="BO76" s="89"/>
      <c r="BP76" s="89"/>
      <c r="BQ76" s="89"/>
      <c r="BR76" s="90"/>
      <c r="BS76" s="89"/>
      <c r="BT76" s="89"/>
      <c r="BU76" s="89"/>
      <c r="BV76" s="89"/>
      <c r="BW76" s="89"/>
      <c r="BX76" s="89"/>
      <c r="BY76" s="89"/>
      <c r="BZ76" s="100"/>
      <c r="CA76" s="101"/>
      <c r="CB76" s="101"/>
      <c r="CC76" s="101"/>
      <c r="CD76" s="101"/>
      <c r="CE76" s="101"/>
      <c r="CF76" s="101"/>
      <c r="CG76" s="100"/>
      <c r="CH76" s="101"/>
      <c r="CI76" s="101"/>
      <c r="CJ76" s="101"/>
      <c r="CK76" s="101"/>
      <c r="CL76" s="101"/>
      <c r="CM76" s="102"/>
      <c r="CN76" s="84">
        <v>3</v>
      </c>
    </row>
    <row r="77" spans="7:92">
      <c r="G77" s="84">
        <v>73</v>
      </c>
      <c r="H77" s="30">
        <v>87</v>
      </c>
      <c r="I77" s="31">
        <f t="shared" si="53"/>
        <v>87</v>
      </c>
      <c r="J77" s="31">
        <f t="shared" si="67"/>
        <v>87</v>
      </c>
      <c r="K77" s="31">
        <f t="shared" si="46"/>
        <v>86</v>
      </c>
      <c r="L77" s="31">
        <f t="shared" si="59"/>
        <v>86</v>
      </c>
      <c r="M77" s="31">
        <f t="shared" si="59"/>
        <v>86</v>
      </c>
      <c r="N77" s="32">
        <f t="shared" si="56"/>
        <v>85</v>
      </c>
      <c r="O77" s="31">
        <f t="shared" si="56"/>
        <v>86</v>
      </c>
      <c r="P77" s="31">
        <f t="shared" si="56"/>
        <v>85</v>
      </c>
      <c r="Q77" s="31">
        <f t="shared" si="56"/>
        <v>84</v>
      </c>
      <c r="R77" s="31">
        <f t="shared" si="56"/>
        <v>85</v>
      </c>
      <c r="S77" s="31">
        <f t="shared" si="51"/>
        <v>86</v>
      </c>
      <c r="T77" s="31">
        <f t="shared" si="48"/>
        <v>88</v>
      </c>
      <c r="U77" s="31">
        <v>90</v>
      </c>
      <c r="V77" s="37">
        <v>82</v>
      </c>
      <c r="W77" s="47">
        <f t="shared" si="68"/>
        <v>83</v>
      </c>
      <c r="X77" s="47">
        <f t="shared" si="68"/>
        <v>84</v>
      </c>
      <c r="Y77" s="47">
        <f t="shared" si="71"/>
        <v>84</v>
      </c>
      <c r="Z77" s="47">
        <f t="shared" si="47"/>
        <v>83</v>
      </c>
      <c r="AA77" s="47">
        <f t="shared" si="45"/>
        <v>81</v>
      </c>
      <c r="AB77" s="133"/>
      <c r="AC77" s="37">
        <f t="shared" si="69"/>
        <v>82</v>
      </c>
      <c r="AD77" s="47">
        <f t="shared" si="54"/>
        <v>82</v>
      </c>
      <c r="AE77" s="47">
        <f t="shared" si="50"/>
        <v>82</v>
      </c>
      <c r="AF77" s="47">
        <f t="shared" si="49"/>
        <v>82</v>
      </c>
      <c r="AG77" s="47">
        <f t="shared" si="49"/>
        <v>82</v>
      </c>
      <c r="AH77" s="47">
        <f t="shared" si="72"/>
        <v>81</v>
      </c>
      <c r="AI77" s="134"/>
      <c r="AJ77" s="94"/>
      <c r="AK77" s="95"/>
      <c r="AL77" s="95"/>
      <c r="AM77" s="95"/>
      <c r="AN77" s="95"/>
      <c r="AO77" s="95"/>
      <c r="AP77" s="141"/>
      <c r="AQ77" s="95"/>
      <c r="AR77" s="95"/>
      <c r="AS77" s="95"/>
      <c r="AT77" s="95"/>
      <c r="AU77" s="95"/>
      <c r="AV77" s="95"/>
      <c r="AW77" s="95"/>
      <c r="AX77" s="106"/>
      <c r="AY77" s="107"/>
      <c r="AZ77" s="107"/>
      <c r="BA77" s="107"/>
      <c r="BB77" s="107"/>
      <c r="BC77" s="107"/>
      <c r="BD77" s="108"/>
      <c r="BE77" s="107"/>
      <c r="BF77" s="107"/>
      <c r="BG77" s="107"/>
      <c r="BH77" s="107"/>
      <c r="BI77" s="107"/>
      <c r="BJ77" s="107"/>
      <c r="BK77" s="108"/>
      <c r="BL77" s="88"/>
      <c r="BM77" s="89"/>
      <c r="BN77" s="89"/>
      <c r="BO77" s="89"/>
      <c r="BP77" s="89"/>
      <c r="BQ77" s="89"/>
      <c r="BR77" s="90"/>
      <c r="BS77" s="89"/>
      <c r="BT77" s="89"/>
      <c r="BU77" s="89"/>
      <c r="BV77" s="89"/>
      <c r="BW77" s="89"/>
      <c r="BX77" s="89"/>
      <c r="BY77" s="89"/>
      <c r="BZ77" s="100"/>
      <c r="CA77" s="101"/>
      <c r="CB77" s="101"/>
      <c r="CC77" s="101"/>
      <c r="CD77" s="101"/>
      <c r="CE77" s="101"/>
      <c r="CF77" s="101"/>
      <c r="CG77" s="100"/>
      <c r="CH77" s="101"/>
      <c r="CI77" s="101"/>
      <c r="CJ77" s="101"/>
      <c r="CK77" s="101"/>
      <c r="CL77" s="101"/>
      <c r="CM77" s="102"/>
      <c r="CN77" s="84">
        <v>4</v>
      </c>
    </row>
    <row r="78" spans="7:92">
      <c r="G78" s="84">
        <v>74</v>
      </c>
      <c r="H78" s="30">
        <v>88</v>
      </c>
      <c r="I78" s="31">
        <v>88</v>
      </c>
      <c r="J78" s="31">
        <f t="shared" si="67"/>
        <v>87</v>
      </c>
      <c r="K78" s="31">
        <f t="shared" si="46"/>
        <v>87</v>
      </c>
      <c r="L78" s="31">
        <f t="shared" si="59"/>
        <v>87</v>
      </c>
      <c r="M78" s="31">
        <f t="shared" si="59"/>
        <v>86</v>
      </c>
      <c r="N78" s="32">
        <f t="shared" si="56"/>
        <v>85</v>
      </c>
      <c r="O78" s="31">
        <f t="shared" si="56"/>
        <v>87</v>
      </c>
      <c r="P78" s="31">
        <f t="shared" si="56"/>
        <v>85</v>
      </c>
      <c r="Q78" s="31">
        <f t="shared" si="56"/>
        <v>85</v>
      </c>
      <c r="R78" s="31">
        <f t="shared" si="56"/>
        <v>86</v>
      </c>
      <c r="S78" s="31">
        <f t="shared" si="51"/>
        <v>87</v>
      </c>
      <c r="T78" s="31">
        <f t="shared" si="48"/>
        <v>89</v>
      </c>
      <c r="U78" s="31">
        <f t="shared" si="70"/>
        <v>91</v>
      </c>
      <c r="V78" s="37">
        <v>82</v>
      </c>
      <c r="W78" s="47">
        <f t="shared" si="68"/>
        <v>84</v>
      </c>
      <c r="X78" s="47">
        <f t="shared" si="68"/>
        <v>84</v>
      </c>
      <c r="Y78" s="47">
        <f t="shared" si="71"/>
        <v>84</v>
      </c>
      <c r="Z78" s="47">
        <f t="shared" si="71"/>
        <v>83</v>
      </c>
      <c r="AA78" s="47">
        <f t="shared" si="71"/>
        <v>81</v>
      </c>
      <c r="AB78" s="133"/>
      <c r="AC78" s="37">
        <f t="shared" si="69"/>
        <v>83</v>
      </c>
      <c r="AD78" s="47">
        <f t="shared" si="54"/>
        <v>83</v>
      </c>
      <c r="AE78" s="47">
        <f t="shared" si="50"/>
        <v>83</v>
      </c>
      <c r="AF78" s="47">
        <f t="shared" si="49"/>
        <v>83</v>
      </c>
      <c r="AG78" s="47">
        <f t="shared" si="49"/>
        <v>82</v>
      </c>
      <c r="AH78" s="47">
        <f t="shared" si="72"/>
        <v>82</v>
      </c>
      <c r="AI78" s="134"/>
      <c r="AJ78" s="94"/>
      <c r="AK78" s="95"/>
      <c r="AL78" s="95"/>
      <c r="AM78" s="95"/>
      <c r="AN78" s="95"/>
      <c r="AO78" s="95"/>
      <c r="AP78" s="141"/>
      <c r="AQ78" s="95"/>
      <c r="AR78" s="95"/>
      <c r="AS78" s="95"/>
      <c r="AT78" s="95"/>
      <c r="AU78" s="95"/>
      <c r="AV78" s="95"/>
      <c r="AW78" s="95"/>
      <c r="AX78" s="106"/>
      <c r="AY78" s="107"/>
      <c r="AZ78" s="107"/>
      <c r="BA78" s="107"/>
      <c r="BB78" s="107"/>
      <c r="BC78" s="107"/>
      <c r="BD78" s="108"/>
      <c r="BE78" s="107"/>
      <c r="BF78" s="107"/>
      <c r="BG78" s="107"/>
      <c r="BH78" s="107"/>
      <c r="BI78" s="107"/>
      <c r="BJ78" s="107"/>
      <c r="BK78" s="108"/>
      <c r="BL78" s="88"/>
      <c r="BM78" s="89"/>
      <c r="BN78" s="89"/>
      <c r="BO78" s="89"/>
      <c r="BP78" s="89"/>
      <c r="BQ78" s="89"/>
      <c r="BR78" s="90"/>
      <c r="BS78" s="89"/>
      <c r="BT78" s="89"/>
      <c r="BU78" s="89"/>
      <c r="BV78" s="89"/>
      <c r="BW78" s="89"/>
      <c r="BX78" s="89"/>
      <c r="BY78" s="89"/>
      <c r="BZ78" s="100"/>
      <c r="CA78" s="101"/>
      <c r="CB78" s="101"/>
      <c r="CC78" s="101"/>
      <c r="CD78" s="101"/>
      <c r="CE78" s="101"/>
      <c r="CF78" s="101"/>
      <c r="CG78" s="100"/>
      <c r="CH78" s="101"/>
      <c r="CI78" s="101"/>
      <c r="CJ78" s="101"/>
      <c r="CK78" s="101"/>
      <c r="CL78" s="101"/>
      <c r="CM78" s="102"/>
      <c r="CN78" s="84">
        <v>4</v>
      </c>
    </row>
    <row r="79" spans="7:92">
      <c r="G79" s="84">
        <v>75</v>
      </c>
      <c r="H79" s="30">
        <v>88</v>
      </c>
      <c r="I79" s="31">
        <f t="shared" si="53"/>
        <v>88</v>
      </c>
      <c r="J79" s="31">
        <f t="shared" si="67"/>
        <v>88</v>
      </c>
      <c r="K79" s="31">
        <f t="shared" si="67"/>
        <v>87</v>
      </c>
      <c r="L79" s="31">
        <f t="shared" si="59"/>
        <v>87</v>
      </c>
      <c r="M79" s="31">
        <f t="shared" si="59"/>
        <v>87</v>
      </c>
      <c r="N79" s="32">
        <f t="shared" si="56"/>
        <v>86</v>
      </c>
      <c r="O79" s="31">
        <f t="shared" si="56"/>
        <v>87</v>
      </c>
      <c r="P79" s="31">
        <f t="shared" si="56"/>
        <v>86</v>
      </c>
      <c r="Q79" s="31">
        <v>86</v>
      </c>
      <c r="R79" s="31">
        <f t="shared" ref="R79:S108" si="73">R77+1</f>
        <v>86</v>
      </c>
      <c r="S79" s="31">
        <f t="shared" si="51"/>
        <v>87</v>
      </c>
      <c r="T79" s="31">
        <f t="shared" si="48"/>
        <v>89</v>
      </c>
      <c r="U79" s="31">
        <f t="shared" si="70"/>
        <v>91</v>
      </c>
      <c r="V79" s="37">
        <v>83</v>
      </c>
      <c r="W79" s="47">
        <f t="shared" si="68"/>
        <v>84</v>
      </c>
      <c r="X79" s="47">
        <f t="shared" si="68"/>
        <v>85</v>
      </c>
      <c r="Y79" s="47">
        <v>84</v>
      </c>
      <c r="Z79" s="47">
        <f t="shared" ref="Z79:AA112" si="74">Z77+1</f>
        <v>84</v>
      </c>
      <c r="AA79" s="47">
        <f t="shared" si="74"/>
        <v>82</v>
      </c>
      <c r="AB79" s="133"/>
      <c r="AC79" s="37">
        <f t="shared" si="69"/>
        <v>83</v>
      </c>
      <c r="AD79" s="47">
        <f t="shared" si="54"/>
        <v>83</v>
      </c>
      <c r="AE79" s="47">
        <f t="shared" si="50"/>
        <v>83</v>
      </c>
      <c r="AF79" s="47">
        <f t="shared" si="50"/>
        <v>83</v>
      </c>
      <c r="AG79" s="47">
        <f t="shared" si="50"/>
        <v>83</v>
      </c>
      <c r="AH79" s="47">
        <f t="shared" si="72"/>
        <v>82</v>
      </c>
      <c r="AI79" s="134"/>
      <c r="AJ79" s="94"/>
      <c r="AK79" s="95"/>
      <c r="AL79" s="95"/>
      <c r="AM79" s="95"/>
      <c r="AN79" s="95"/>
      <c r="AO79" s="95"/>
      <c r="AP79" s="141"/>
      <c r="AQ79" s="95"/>
      <c r="AR79" s="95"/>
      <c r="AS79" s="95"/>
      <c r="AT79" s="95"/>
      <c r="AU79" s="95"/>
      <c r="AV79" s="95"/>
      <c r="AW79" s="95"/>
      <c r="AX79" s="106"/>
      <c r="AY79" s="107"/>
      <c r="AZ79" s="107"/>
      <c r="BA79" s="107"/>
      <c r="BB79" s="107"/>
      <c r="BC79" s="107"/>
      <c r="BD79" s="108"/>
      <c r="BE79" s="107"/>
      <c r="BF79" s="107"/>
      <c r="BG79" s="107"/>
      <c r="BH79" s="107"/>
      <c r="BI79" s="107"/>
      <c r="BJ79" s="107"/>
      <c r="BK79" s="108"/>
      <c r="BL79" s="88"/>
      <c r="BM79" s="89"/>
      <c r="BN79" s="89"/>
      <c r="BO79" s="89"/>
      <c r="BP79" s="89"/>
      <c r="BQ79" s="89"/>
      <c r="BR79" s="90"/>
      <c r="BS79" s="89"/>
      <c r="BT79" s="89"/>
      <c r="BU79" s="89"/>
      <c r="BV79" s="89"/>
      <c r="BW79" s="89"/>
      <c r="BX79" s="89"/>
      <c r="BY79" s="89"/>
      <c r="BZ79" s="100"/>
      <c r="CA79" s="101"/>
      <c r="CB79" s="101"/>
      <c r="CC79" s="101"/>
      <c r="CD79" s="101"/>
      <c r="CE79" s="101"/>
      <c r="CF79" s="101"/>
      <c r="CG79" s="100"/>
      <c r="CH79" s="101"/>
      <c r="CI79" s="101"/>
      <c r="CJ79" s="101"/>
      <c r="CK79" s="101"/>
      <c r="CL79" s="101"/>
      <c r="CM79" s="102"/>
      <c r="CN79" s="84">
        <v>5</v>
      </c>
    </row>
    <row r="80" spans="7:92">
      <c r="G80" s="84">
        <v>76</v>
      </c>
      <c r="H80" s="30">
        <v>89</v>
      </c>
      <c r="I80" s="31">
        <f t="shared" si="53"/>
        <v>89</v>
      </c>
      <c r="J80" s="31">
        <f t="shared" si="67"/>
        <v>88</v>
      </c>
      <c r="K80" s="31">
        <f t="shared" si="67"/>
        <v>88</v>
      </c>
      <c r="L80" s="31">
        <f t="shared" si="59"/>
        <v>88</v>
      </c>
      <c r="M80" s="31">
        <f t="shared" si="59"/>
        <v>87</v>
      </c>
      <c r="N80" s="32">
        <f t="shared" si="56"/>
        <v>86</v>
      </c>
      <c r="O80" s="31">
        <f t="shared" si="56"/>
        <v>88</v>
      </c>
      <c r="P80" s="31">
        <v>87</v>
      </c>
      <c r="Q80" s="31">
        <f t="shared" ref="Q80:Q107" si="75">Q78+1</f>
        <v>86</v>
      </c>
      <c r="R80" s="31">
        <f t="shared" si="73"/>
        <v>87</v>
      </c>
      <c r="S80" s="31">
        <f t="shared" si="51"/>
        <v>88</v>
      </c>
      <c r="T80" s="31">
        <v>89</v>
      </c>
      <c r="U80" s="31">
        <v>91</v>
      </c>
      <c r="V80" s="37">
        <v>84</v>
      </c>
      <c r="W80" s="47">
        <f t="shared" si="68"/>
        <v>85</v>
      </c>
      <c r="X80" s="47">
        <f t="shared" si="68"/>
        <v>85</v>
      </c>
      <c r="Y80" s="47">
        <f t="shared" si="71"/>
        <v>85</v>
      </c>
      <c r="Z80" s="47">
        <f t="shared" si="74"/>
        <v>84</v>
      </c>
      <c r="AA80" s="47">
        <f t="shared" si="74"/>
        <v>82</v>
      </c>
      <c r="AB80" s="133"/>
      <c r="AC80" s="37">
        <f t="shared" si="69"/>
        <v>84</v>
      </c>
      <c r="AD80" s="47">
        <f t="shared" si="54"/>
        <v>84</v>
      </c>
      <c r="AE80" s="47">
        <f t="shared" si="50"/>
        <v>84</v>
      </c>
      <c r="AF80" s="47">
        <v>83</v>
      </c>
      <c r="AG80" s="47">
        <f t="shared" ref="AG80:AG118" si="76">AG78+1</f>
        <v>83</v>
      </c>
      <c r="AH80" s="47">
        <f t="shared" si="72"/>
        <v>83</v>
      </c>
      <c r="AI80" s="134"/>
      <c r="AJ80" s="94"/>
      <c r="AK80" s="95"/>
      <c r="AL80" s="95"/>
      <c r="AM80" s="95"/>
      <c r="AN80" s="95"/>
      <c r="AO80" s="95"/>
      <c r="AP80" s="141"/>
      <c r="AQ80" s="95"/>
      <c r="AR80" s="95"/>
      <c r="AS80" s="95"/>
      <c r="AT80" s="95"/>
      <c r="AU80" s="95"/>
      <c r="AV80" s="95"/>
      <c r="AW80" s="95"/>
      <c r="AX80" s="106"/>
      <c r="AY80" s="107"/>
      <c r="AZ80" s="107"/>
      <c r="BA80" s="107"/>
      <c r="BB80" s="107"/>
      <c r="BC80" s="107"/>
      <c r="BD80" s="108"/>
      <c r="BE80" s="107"/>
      <c r="BF80" s="107"/>
      <c r="BG80" s="107"/>
      <c r="BH80" s="107"/>
      <c r="BI80" s="107"/>
      <c r="BJ80" s="107"/>
      <c r="BK80" s="108"/>
      <c r="BL80" s="88"/>
      <c r="BM80" s="89"/>
      <c r="BN80" s="89"/>
      <c r="BO80" s="89"/>
      <c r="BP80" s="89"/>
      <c r="BQ80" s="89"/>
      <c r="BR80" s="90"/>
      <c r="BS80" s="89"/>
      <c r="BT80" s="89"/>
      <c r="BU80" s="89"/>
      <c r="BV80" s="89"/>
      <c r="BW80" s="89"/>
      <c r="BX80" s="89"/>
      <c r="BY80" s="89"/>
      <c r="BZ80" s="100"/>
      <c r="CA80" s="101"/>
      <c r="CB80" s="101"/>
      <c r="CC80" s="101"/>
      <c r="CD80" s="101"/>
      <c r="CE80" s="101"/>
      <c r="CF80" s="101"/>
      <c r="CG80" s="100"/>
      <c r="CH80" s="101"/>
      <c r="CI80" s="101"/>
      <c r="CJ80" s="101"/>
      <c r="CK80" s="101"/>
      <c r="CL80" s="101"/>
      <c r="CM80" s="102"/>
      <c r="CN80" s="84">
        <v>5</v>
      </c>
    </row>
    <row r="81" spans="7:92">
      <c r="G81" s="84">
        <v>77</v>
      </c>
      <c r="H81" s="30">
        <v>90</v>
      </c>
      <c r="I81" s="31">
        <f t="shared" si="53"/>
        <v>89</v>
      </c>
      <c r="J81" s="31">
        <f t="shared" si="67"/>
        <v>89</v>
      </c>
      <c r="K81" s="31">
        <f t="shared" si="67"/>
        <v>88</v>
      </c>
      <c r="L81" s="31">
        <f t="shared" si="59"/>
        <v>88</v>
      </c>
      <c r="M81" s="31">
        <f t="shared" si="59"/>
        <v>88</v>
      </c>
      <c r="N81" s="32">
        <f t="shared" si="56"/>
        <v>87</v>
      </c>
      <c r="O81" s="31">
        <v>89</v>
      </c>
      <c r="P81" s="31">
        <f t="shared" ref="P81:P104" si="77">P79+1</f>
        <v>87</v>
      </c>
      <c r="Q81" s="31">
        <f t="shared" si="75"/>
        <v>87</v>
      </c>
      <c r="R81" s="31">
        <f t="shared" si="73"/>
        <v>87</v>
      </c>
      <c r="S81" s="31">
        <f t="shared" si="51"/>
        <v>88</v>
      </c>
      <c r="T81" s="31">
        <f t="shared" si="51"/>
        <v>90</v>
      </c>
      <c r="U81" s="31">
        <f t="shared" si="70"/>
        <v>92</v>
      </c>
      <c r="V81" s="37">
        <v>84</v>
      </c>
      <c r="W81" s="47">
        <f t="shared" si="68"/>
        <v>85</v>
      </c>
      <c r="X81" s="47">
        <f t="shared" si="68"/>
        <v>86</v>
      </c>
      <c r="Y81" s="47">
        <f t="shared" si="71"/>
        <v>85</v>
      </c>
      <c r="Z81" s="47">
        <f t="shared" si="74"/>
        <v>85</v>
      </c>
      <c r="AA81" s="47">
        <f t="shared" si="74"/>
        <v>83</v>
      </c>
      <c r="AB81" s="133"/>
      <c r="AC81" s="37">
        <f t="shared" si="69"/>
        <v>84</v>
      </c>
      <c r="AD81" s="47">
        <f t="shared" si="54"/>
        <v>84</v>
      </c>
      <c r="AE81" s="47">
        <f t="shared" si="50"/>
        <v>84</v>
      </c>
      <c r="AF81" s="47">
        <f t="shared" si="50"/>
        <v>84</v>
      </c>
      <c r="AG81" s="47">
        <f t="shared" si="76"/>
        <v>84</v>
      </c>
      <c r="AH81" s="47">
        <f t="shared" si="72"/>
        <v>83</v>
      </c>
      <c r="AI81" s="134"/>
      <c r="AJ81" s="94"/>
      <c r="AK81" s="95"/>
      <c r="AL81" s="95"/>
      <c r="AM81" s="95"/>
      <c r="AN81" s="95"/>
      <c r="AO81" s="95"/>
      <c r="AP81" s="141"/>
      <c r="AQ81" s="95"/>
      <c r="AR81" s="95"/>
      <c r="AS81" s="95"/>
      <c r="AT81" s="95"/>
      <c r="AU81" s="95"/>
      <c r="AV81" s="95"/>
      <c r="AW81" s="95"/>
      <c r="AX81" s="106"/>
      <c r="AY81" s="107"/>
      <c r="AZ81" s="107"/>
      <c r="BA81" s="107"/>
      <c r="BB81" s="107"/>
      <c r="BC81" s="107"/>
      <c r="BD81" s="108"/>
      <c r="BE81" s="107"/>
      <c r="BF81" s="107"/>
      <c r="BG81" s="107"/>
      <c r="BH81" s="107"/>
      <c r="BI81" s="107"/>
      <c r="BJ81" s="107"/>
      <c r="BK81" s="108"/>
      <c r="BL81" s="88"/>
      <c r="BM81" s="89"/>
      <c r="BN81" s="89"/>
      <c r="BO81" s="89"/>
      <c r="BP81" s="89"/>
      <c r="BQ81" s="89"/>
      <c r="BR81" s="90"/>
      <c r="BS81" s="89"/>
      <c r="BT81" s="89"/>
      <c r="BU81" s="89"/>
      <c r="BV81" s="89"/>
      <c r="BW81" s="89"/>
      <c r="BX81" s="89"/>
      <c r="BY81" s="89"/>
      <c r="BZ81" s="100"/>
      <c r="CA81" s="101"/>
      <c r="CB81" s="101"/>
      <c r="CC81" s="101"/>
      <c r="CD81" s="101"/>
      <c r="CE81" s="101"/>
      <c r="CF81" s="101"/>
      <c r="CG81" s="100"/>
      <c r="CH81" s="101"/>
      <c r="CI81" s="101"/>
      <c r="CJ81" s="101"/>
      <c r="CK81" s="101"/>
      <c r="CL81" s="101"/>
      <c r="CM81" s="102"/>
      <c r="CN81" s="84">
        <v>6</v>
      </c>
    </row>
    <row r="82" spans="7:92">
      <c r="G82" s="84">
        <v>78</v>
      </c>
      <c r="H82" s="30">
        <v>90</v>
      </c>
      <c r="I82" s="31">
        <f t="shared" si="53"/>
        <v>90</v>
      </c>
      <c r="J82" s="31">
        <f t="shared" si="67"/>
        <v>89</v>
      </c>
      <c r="K82" s="31">
        <f t="shared" si="67"/>
        <v>89</v>
      </c>
      <c r="L82" s="31">
        <f t="shared" si="59"/>
        <v>89</v>
      </c>
      <c r="M82" s="31">
        <f t="shared" si="59"/>
        <v>88</v>
      </c>
      <c r="N82" s="32">
        <f t="shared" si="56"/>
        <v>87</v>
      </c>
      <c r="O82" s="31">
        <f t="shared" si="56"/>
        <v>89</v>
      </c>
      <c r="P82" s="31">
        <f t="shared" si="77"/>
        <v>88</v>
      </c>
      <c r="Q82" s="31">
        <f t="shared" si="75"/>
        <v>87</v>
      </c>
      <c r="R82" s="31">
        <f t="shared" si="73"/>
        <v>88</v>
      </c>
      <c r="S82" s="31">
        <f t="shared" si="51"/>
        <v>89</v>
      </c>
      <c r="T82" s="31">
        <f t="shared" si="51"/>
        <v>90</v>
      </c>
      <c r="U82" s="31">
        <f t="shared" si="70"/>
        <v>92</v>
      </c>
      <c r="V82" s="37">
        <v>85</v>
      </c>
      <c r="W82" s="47">
        <f t="shared" si="68"/>
        <v>86</v>
      </c>
      <c r="X82" s="47">
        <f t="shared" si="68"/>
        <v>86</v>
      </c>
      <c r="Y82" s="47">
        <f t="shared" si="71"/>
        <v>86</v>
      </c>
      <c r="Z82" s="47">
        <f t="shared" si="74"/>
        <v>85</v>
      </c>
      <c r="AA82" s="47">
        <v>84</v>
      </c>
      <c r="AB82" s="133"/>
      <c r="AC82" s="37">
        <f t="shared" si="69"/>
        <v>85</v>
      </c>
      <c r="AD82" s="47">
        <f t="shared" si="54"/>
        <v>85</v>
      </c>
      <c r="AE82" s="47">
        <f t="shared" si="54"/>
        <v>85</v>
      </c>
      <c r="AF82" s="47">
        <f t="shared" si="54"/>
        <v>84</v>
      </c>
      <c r="AG82" s="47">
        <f t="shared" si="76"/>
        <v>84</v>
      </c>
      <c r="AH82" s="47">
        <f t="shared" si="72"/>
        <v>84</v>
      </c>
      <c r="AI82" s="134"/>
      <c r="AJ82" s="94"/>
      <c r="AK82" s="95"/>
      <c r="AL82" s="95"/>
      <c r="AM82" s="95"/>
      <c r="AN82" s="95"/>
      <c r="AO82" s="95"/>
      <c r="AP82" s="141"/>
      <c r="AQ82" s="95"/>
      <c r="AR82" s="95"/>
      <c r="AS82" s="95"/>
      <c r="AT82" s="95"/>
      <c r="AU82" s="95"/>
      <c r="AV82" s="95"/>
      <c r="AW82" s="95"/>
      <c r="AX82" s="106"/>
      <c r="AY82" s="107"/>
      <c r="AZ82" s="107"/>
      <c r="BA82" s="107"/>
      <c r="BB82" s="107"/>
      <c r="BC82" s="107"/>
      <c r="BD82" s="108"/>
      <c r="BE82" s="107"/>
      <c r="BF82" s="107"/>
      <c r="BG82" s="107"/>
      <c r="BH82" s="107"/>
      <c r="BI82" s="107"/>
      <c r="BJ82" s="107"/>
      <c r="BK82" s="108"/>
      <c r="BL82" s="88"/>
      <c r="BM82" s="89"/>
      <c r="BN82" s="89"/>
      <c r="BO82" s="89"/>
      <c r="BP82" s="89"/>
      <c r="BQ82" s="89"/>
      <c r="BR82" s="90"/>
      <c r="BS82" s="89"/>
      <c r="BT82" s="89"/>
      <c r="BU82" s="89"/>
      <c r="BV82" s="89"/>
      <c r="BW82" s="89"/>
      <c r="BX82" s="89"/>
      <c r="BY82" s="89"/>
      <c r="BZ82" s="100"/>
      <c r="CA82" s="101"/>
      <c r="CB82" s="101"/>
      <c r="CC82" s="101"/>
      <c r="CD82" s="101"/>
      <c r="CE82" s="101"/>
      <c r="CF82" s="101"/>
      <c r="CG82" s="100"/>
      <c r="CH82" s="101"/>
      <c r="CI82" s="101"/>
      <c r="CJ82" s="101"/>
      <c r="CK82" s="101"/>
      <c r="CL82" s="101"/>
      <c r="CM82" s="102"/>
      <c r="CN82" s="84">
        <v>7</v>
      </c>
    </row>
    <row r="83" spans="7:92">
      <c r="G83" s="84">
        <v>79</v>
      </c>
      <c r="H83" s="30">
        <v>91</v>
      </c>
      <c r="I83" s="31">
        <f t="shared" si="53"/>
        <v>90</v>
      </c>
      <c r="J83" s="31">
        <f t="shared" si="67"/>
        <v>90</v>
      </c>
      <c r="K83" s="31">
        <f t="shared" si="67"/>
        <v>89</v>
      </c>
      <c r="L83" s="31">
        <f t="shared" si="59"/>
        <v>89</v>
      </c>
      <c r="M83" s="31">
        <f t="shared" si="59"/>
        <v>89</v>
      </c>
      <c r="N83" s="32">
        <f t="shared" si="56"/>
        <v>88</v>
      </c>
      <c r="O83" s="31">
        <f t="shared" si="56"/>
        <v>90</v>
      </c>
      <c r="P83" s="31">
        <f t="shared" si="77"/>
        <v>88</v>
      </c>
      <c r="Q83" s="31">
        <f t="shared" si="75"/>
        <v>88</v>
      </c>
      <c r="R83" s="31">
        <f t="shared" si="73"/>
        <v>88</v>
      </c>
      <c r="S83" s="31">
        <f t="shared" si="51"/>
        <v>89</v>
      </c>
      <c r="T83" s="31">
        <f t="shared" si="51"/>
        <v>91</v>
      </c>
      <c r="U83" s="31">
        <f t="shared" si="70"/>
        <v>93</v>
      </c>
      <c r="V83" s="37">
        <v>85</v>
      </c>
      <c r="W83" s="47">
        <f t="shared" si="68"/>
        <v>86</v>
      </c>
      <c r="X83" s="47">
        <f t="shared" si="68"/>
        <v>87</v>
      </c>
      <c r="Y83" s="47">
        <f t="shared" si="71"/>
        <v>86</v>
      </c>
      <c r="Z83" s="47">
        <f t="shared" si="74"/>
        <v>86</v>
      </c>
      <c r="AA83" s="47">
        <f t="shared" si="74"/>
        <v>84</v>
      </c>
      <c r="AB83" s="133"/>
      <c r="AC83" s="37">
        <f t="shared" si="69"/>
        <v>85</v>
      </c>
      <c r="AD83" s="47">
        <f t="shared" si="54"/>
        <v>85</v>
      </c>
      <c r="AE83" s="47">
        <f t="shared" si="54"/>
        <v>85</v>
      </c>
      <c r="AF83" s="47">
        <f t="shared" si="54"/>
        <v>85</v>
      </c>
      <c r="AG83" s="47">
        <v>84</v>
      </c>
      <c r="AH83" s="47">
        <f t="shared" si="72"/>
        <v>84</v>
      </c>
      <c r="AI83" s="134"/>
      <c r="AJ83" s="94"/>
      <c r="AK83" s="95"/>
      <c r="AL83" s="95"/>
      <c r="AM83" s="95"/>
      <c r="AN83" s="95"/>
      <c r="AO83" s="95"/>
      <c r="AP83" s="141"/>
      <c r="AQ83" s="95"/>
      <c r="AR83" s="95"/>
      <c r="AS83" s="95"/>
      <c r="AT83" s="95"/>
      <c r="AU83" s="95"/>
      <c r="AV83" s="95"/>
      <c r="AW83" s="95"/>
      <c r="AX83" s="106"/>
      <c r="AY83" s="107"/>
      <c r="AZ83" s="107"/>
      <c r="BA83" s="107"/>
      <c r="BB83" s="107"/>
      <c r="BC83" s="107"/>
      <c r="BD83" s="108"/>
      <c r="BE83" s="107"/>
      <c r="BF83" s="107"/>
      <c r="BG83" s="107"/>
      <c r="BH83" s="107"/>
      <c r="BI83" s="107"/>
      <c r="BJ83" s="107"/>
      <c r="BK83" s="108"/>
      <c r="BL83" s="88"/>
      <c r="BM83" s="89"/>
      <c r="BN83" s="89"/>
      <c r="BO83" s="89"/>
      <c r="BP83" s="89"/>
      <c r="BQ83" s="89"/>
      <c r="BR83" s="90"/>
      <c r="BS83" s="89"/>
      <c r="BT83" s="89"/>
      <c r="BU83" s="89"/>
      <c r="BV83" s="89"/>
      <c r="BW83" s="89"/>
      <c r="BX83" s="89"/>
      <c r="BY83" s="89"/>
      <c r="BZ83" s="100"/>
      <c r="CA83" s="101"/>
      <c r="CB83" s="101"/>
      <c r="CC83" s="101"/>
      <c r="CD83" s="101"/>
      <c r="CE83" s="101"/>
      <c r="CF83" s="101"/>
      <c r="CG83" s="100"/>
      <c r="CH83" s="101"/>
      <c r="CI83" s="101"/>
      <c r="CJ83" s="101"/>
      <c r="CK83" s="101"/>
      <c r="CL83" s="101"/>
      <c r="CM83" s="102"/>
      <c r="CN83" s="84">
        <v>8</v>
      </c>
    </row>
    <row r="84" spans="7:92">
      <c r="G84" s="84">
        <v>80</v>
      </c>
      <c r="H84" s="30">
        <v>92</v>
      </c>
      <c r="I84" s="31">
        <f t="shared" si="53"/>
        <v>91</v>
      </c>
      <c r="J84" s="31">
        <f t="shared" si="67"/>
        <v>90</v>
      </c>
      <c r="K84" s="31">
        <f t="shared" si="67"/>
        <v>90</v>
      </c>
      <c r="L84" s="31">
        <f t="shared" si="59"/>
        <v>90</v>
      </c>
      <c r="M84" s="31">
        <f t="shared" si="59"/>
        <v>89</v>
      </c>
      <c r="N84" s="32">
        <f t="shared" si="56"/>
        <v>88</v>
      </c>
      <c r="O84" s="31">
        <f t="shared" si="56"/>
        <v>90</v>
      </c>
      <c r="P84" s="31">
        <f t="shared" si="77"/>
        <v>89</v>
      </c>
      <c r="Q84" s="31">
        <f t="shared" si="75"/>
        <v>88</v>
      </c>
      <c r="R84" s="31">
        <f t="shared" si="73"/>
        <v>89</v>
      </c>
      <c r="S84" s="31">
        <f t="shared" si="51"/>
        <v>90</v>
      </c>
      <c r="T84" s="31">
        <f t="shared" si="51"/>
        <v>91</v>
      </c>
      <c r="U84" s="31">
        <f t="shared" si="70"/>
        <v>93</v>
      </c>
      <c r="V84" s="37">
        <v>86</v>
      </c>
      <c r="W84" s="47">
        <f t="shared" si="68"/>
        <v>87</v>
      </c>
      <c r="X84" s="47">
        <f t="shared" si="68"/>
        <v>87</v>
      </c>
      <c r="Y84" s="47">
        <f t="shared" si="71"/>
        <v>87</v>
      </c>
      <c r="Z84" s="47">
        <f t="shared" si="74"/>
        <v>86</v>
      </c>
      <c r="AA84" s="47">
        <f t="shared" si="74"/>
        <v>85</v>
      </c>
      <c r="AB84" s="133"/>
      <c r="AC84" s="37">
        <f t="shared" si="69"/>
        <v>86</v>
      </c>
      <c r="AD84" s="47">
        <f t="shared" si="54"/>
        <v>86</v>
      </c>
      <c r="AE84" s="47">
        <v>85</v>
      </c>
      <c r="AF84" s="47">
        <f t="shared" ref="AF84:AF120" si="78">AF82+1</f>
        <v>85</v>
      </c>
      <c r="AG84" s="47">
        <f t="shared" si="76"/>
        <v>85</v>
      </c>
      <c r="AH84" s="47">
        <f t="shared" si="72"/>
        <v>85</v>
      </c>
      <c r="AI84" s="134"/>
      <c r="AJ84" s="94"/>
      <c r="AK84" s="95"/>
      <c r="AL84" s="95"/>
      <c r="AM84" s="95"/>
      <c r="AN84" s="95"/>
      <c r="AO84" s="95"/>
      <c r="AP84" s="141"/>
      <c r="AQ84" s="95"/>
      <c r="AR84" s="95"/>
      <c r="AS84" s="95"/>
      <c r="AT84" s="95"/>
      <c r="AU84" s="95"/>
      <c r="AV84" s="95"/>
      <c r="AW84" s="95"/>
      <c r="AX84" s="106"/>
      <c r="AY84" s="107"/>
      <c r="AZ84" s="107"/>
      <c r="BA84" s="107"/>
      <c r="BB84" s="107"/>
      <c r="BC84" s="107"/>
      <c r="BD84" s="108"/>
      <c r="BE84" s="107"/>
      <c r="BF84" s="107"/>
      <c r="BG84" s="107"/>
      <c r="BH84" s="107"/>
      <c r="BI84" s="107"/>
      <c r="BJ84" s="107"/>
      <c r="BK84" s="108"/>
      <c r="BL84" s="88"/>
      <c r="BM84" s="89"/>
      <c r="BN84" s="89"/>
      <c r="BO84" s="89"/>
      <c r="BP84" s="89"/>
      <c r="BQ84" s="89"/>
      <c r="BR84" s="90"/>
      <c r="BS84" s="89"/>
      <c r="BT84" s="89"/>
      <c r="BU84" s="89"/>
      <c r="BV84" s="89"/>
      <c r="BW84" s="89"/>
      <c r="BX84" s="89"/>
      <c r="BY84" s="89"/>
      <c r="BZ84" s="100"/>
      <c r="CA84" s="101"/>
      <c r="CB84" s="101"/>
      <c r="CC84" s="101"/>
      <c r="CD84" s="101"/>
      <c r="CE84" s="101"/>
      <c r="CF84" s="101"/>
      <c r="CG84" s="100"/>
      <c r="CH84" s="101"/>
      <c r="CI84" s="101"/>
      <c r="CJ84" s="101"/>
      <c r="CK84" s="101"/>
      <c r="CL84" s="101"/>
      <c r="CM84" s="102"/>
      <c r="CN84" s="84">
        <v>9</v>
      </c>
    </row>
    <row r="85" spans="7:92">
      <c r="G85" s="84">
        <v>81</v>
      </c>
      <c r="H85" s="30">
        <v>92</v>
      </c>
      <c r="I85" s="31">
        <f t="shared" si="53"/>
        <v>91</v>
      </c>
      <c r="J85" s="31">
        <f t="shared" si="67"/>
        <v>91</v>
      </c>
      <c r="K85" s="31">
        <f t="shared" si="67"/>
        <v>90</v>
      </c>
      <c r="L85" s="31">
        <f t="shared" si="59"/>
        <v>90</v>
      </c>
      <c r="M85" s="31">
        <f t="shared" si="59"/>
        <v>90</v>
      </c>
      <c r="N85" s="32">
        <f t="shared" si="56"/>
        <v>89</v>
      </c>
      <c r="O85" s="31">
        <f t="shared" si="56"/>
        <v>91</v>
      </c>
      <c r="P85" s="31">
        <f t="shared" si="77"/>
        <v>89</v>
      </c>
      <c r="Q85" s="31">
        <f t="shared" si="75"/>
        <v>89</v>
      </c>
      <c r="R85" s="31">
        <f t="shared" si="73"/>
        <v>89</v>
      </c>
      <c r="S85" s="31">
        <f t="shared" si="51"/>
        <v>90</v>
      </c>
      <c r="T85" s="31">
        <f t="shared" si="51"/>
        <v>92</v>
      </c>
      <c r="U85" s="31">
        <v>93</v>
      </c>
      <c r="V85" s="37">
        <v>87</v>
      </c>
      <c r="W85" s="47">
        <f t="shared" si="68"/>
        <v>87</v>
      </c>
      <c r="X85" s="47">
        <v>87</v>
      </c>
      <c r="Y85" s="47">
        <f t="shared" si="71"/>
        <v>87</v>
      </c>
      <c r="Z85" s="47">
        <v>86</v>
      </c>
      <c r="AA85" s="47">
        <f t="shared" ref="AA85:AA114" si="79">AA83+1</f>
        <v>85</v>
      </c>
      <c r="AB85" s="133"/>
      <c r="AC85" s="37">
        <f t="shared" si="69"/>
        <v>86</v>
      </c>
      <c r="AD85" s="47">
        <f t="shared" si="54"/>
        <v>86</v>
      </c>
      <c r="AE85" s="47">
        <f t="shared" si="54"/>
        <v>86</v>
      </c>
      <c r="AF85" s="47">
        <f t="shared" si="78"/>
        <v>86</v>
      </c>
      <c r="AG85" s="47">
        <f t="shared" si="76"/>
        <v>85</v>
      </c>
      <c r="AH85" s="47">
        <f t="shared" si="72"/>
        <v>85</v>
      </c>
      <c r="AI85" s="134"/>
      <c r="AJ85" s="94"/>
      <c r="AK85" s="95"/>
      <c r="AL85" s="95"/>
      <c r="AM85" s="95"/>
      <c r="AN85" s="95"/>
      <c r="AO85" s="95"/>
      <c r="AP85" s="141"/>
      <c r="AQ85" s="95"/>
      <c r="AR85" s="95"/>
      <c r="AS85" s="95"/>
      <c r="AT85" s="95"/>
      <c r="AU85" s="95"/>
      <c r="AV85" s="95"/>
      <c r="AW85" s="95"/>
      <c r="AX85" s="106"/>
      <c r="AY85" s="107"/>
      <c r="AZ85" s="107"/>
      <c r="BA85" s="107"/>
      <c r="BB85" s="107"/>
      <c r="BC85" s="107"/>
      <c r="BD85" s="108"/>
      <c r="BE85" s="107"/>
      <c r="BF85" s="107"/>
      <c r="BG85" s="107"/>
      <c r="BH85" s="107"/>
      <c r="BI85" s="107"/>
      <c r="BJ85" s="107"/>
      <c r="BK85" s="108"/>
      <c r="BL85" s="88"/>
      <c r="BM85" s="89"/>
      <c r="BN85" s="89"/>
      <c r="BO85" s="89"/>
      <c r="BP85" s="89"/>
      <c r="BQ85" s="89"/>
      <c r="BR85" s="90"/>
      <c r="BS85" s="89"/>
      <c r="BT85" s="89"/>
      <c r="BU85" s="89"/>
      <c r="BV85" s="89"/>
      <c r="BW85" s="89"/>
      <c r="BX85" s="89"/>
      <c r="BY85" s="89"/>
      <c r="BZ85" s="100"/>
      <c r="CA85" s="101"/>
      <c r="CB85" s="101"/>
      <c r="CC85" s="101"/>
      <c r="CD85" s="101"/>
      <c r="CE85" s="101"/>
      <c r="CF85" s="101"/>
      <c r="CG85" s="100"/>
      <c r="CH85" s="101"/>
      <c r="CI85" s="101"/>
      <c r="CJ85" s="101"/>
      <c r="CK85" s="101"/>
      <c r="CL85" s="101"/>
      <c r="CM85" s="102"/>
      <c r="CN85" s="84">
        <v>10</v>
      </c>
    </row>
    <row r="86" spans="7:92">
      <c r="G86" s="84">
        <v>82</v>
      </c>
      <c r="H86" s="30">
        <v>93</v>
      </c>
      <c r="I86" s="31">
        <f t="shared" si="53"/>
        <v>92</v>
      </c>
      <c r="J86" s="31">
        <f t="shared" si="67"/>
        <v>91</v>
      </c>
      <c r="K86" s="31">
        <f t="shared" si="67"/>
        <v>91</v>
      </c>
      <c r="L86" s="31">
        <v>90</v>
      </c>
      <c r="M86" s="31">
        <f t="shared" ref="M86:M106" si="80">M84+1</f>
        <v>90</v>
      </c>
      <c r="N86" s="32">
        <f t="shared" si="56"/>
        <v>89</v>
      </c>
      <c r="O86" s="31">
        <f t="shared" si="56"/>
        <v>91</v>
      </c>
      <c r="P86" s="31">
        <f t="shared" si="77"/>
        <v>90</v>
      </c>
      <c r="Q86" s="31">
        <f t="shared" si="75"/>
        <v>89</v>
      </c>
      <c r="R86" s="31">
        <f t="shared" si="73"/>
        <v>90</v>
      </c>
      <c r="S86" s="31">
        <f t="shared" si="51"/>
        <v>91</v>
      </c>
      <c r="T86" s="31">
        <f t="shared" si="51"/>
        <v>92</v>
      </c>
      <c r="U86" s="31">
        <f t="shared" si="70"/>
        <v>94</v>
      </c>
      <c r="V86" s="37">
        <v>87</v>
      </c>
      <c r="W86" s="47">
        <f t="shared" si="68"/>
        <v>88</v>
      </c>
      <c r="X86" s="47">
        <f t="shared" si="68"/>
        <v>88</v>
      </c>
      <c r="Y86" s="47">
        <f t="shared" si="71"/>
        <v>88</v>
      </c>
      <c r="Z86" s="47">
        <f t="shared" si="74"/>
        <v>87</v>
      </c>
      <c r="AA86" s="47">
        <f t="shared" si="79"/>
        <v>86</v>
      </c>
      <c r="AB86" s="133"/>
      <c r="AC86" s="37">
        <f t="shared" si="69"/>
        <v>87</v>
      </c>
      <c r="AD86" s="47">
        <v>86</v>
      </c>
      <c r="AE86" s="47">
        <f t="shared" ref="AE86:AE119" si="81">AE84+1</f>
        <v>86</v>
      </c>
      <c r="AF86" s="47">
        <f t="shared" si="78"/>
        <v>86</v>
      </c>
      <c r="AG86" s="47">
        <f t="shared" si="76"/>
        <v>86</v>
      </c>
      <c r="AH86" s="47">
        <f t="shared" si="72"/>
        <v>86</v>
      </c>
      <c r="AI86" s="134"/>
      <c r="AJ86" s="94"/>
      <c r="AK86" s="95"/>
      <c r="AL86" s="95"/>
      <c r="AM86" s="95"/>
      <c r="AN86" s="95"/>
      <c r="AO86" s="95"/>
      <c r="AP86" s="141"/>
      <c r="AQ86" s="95"/>
      <c r="AR86" s="95"/>
      <c r="AS86" s="95"/>
      <c r="AT86" s="95"/>
      <c r="AU86" s="95"/>
      <c r="AV86" s="95"/>
      <c r="AW86" s="95"/>
      <c r="AX86" s="106"/>
      <c r="AY86" s="107"/>
      <c r="AZ86" s="107"/>
      <c r="BA86" s="107"/>
      <c r="BB86" s="107"/>
      <c r="BC86" s="107"/>
      <c r="BD86" s="108"/>
      <c r="BE86" s="107"/>
      <c r="BF86" s="107"/>
      <c r="BG86" s="107"/>
      <c r="BH86" s="107"/>
      <c r="BI86" s="107"/>
      <c r="BJ86" s="107"/>
      <c r="BK86" s="108"/>
      <c r="BL86" s="88"/>
      <c r="BM86" s="89"/>
      <c r="BN86" s="89"/>
      <c r="BO86" s="89"/>
      <c r="BP86" s="89"/>
      <c r="BQ86" s="89"/>
      <c r="BR86" s="90"/>
      <c r="BS86" s="89"/>
      <c r="BT86" s="89"/>
      <c r="BU86" s="89"/>
      <c r="BV86" s="89"/>
      <c r="BW86" s="89"/>
      <c r="BX86" s="89"/>
      <c r="BY86" s="89"/>
      <c r="BZ86" s="100"/>
      <c r="CA86" s="101"/>
      <c r="CB86" s="101"/>
      <c r="CC86" s="101"/>
      <c r="CD86" s="101"/>
      <c r="CE86" s="101"/>
      <c r="CF86" s="101"/>
      <c r="CG86" s="100"/>
      <c r="CH86" s="101"/>
      <c r="CI86" s="101"/>
      <c r="CJ86" s="101"/>
      <c r="CK86" s="101"/>
      <c r="CL86" s="101"/>
      <c r="CM86" s="102"/>
      <c r="CN86" s="84">
        <v>12</v>
      </c>
    </row>
    <row r="87" spans="7:92">
      <c r="G87" s="84">
        <v>83</v>
      </c>
      <c r="H87" s="30">
        <v>93</v>
      </c>
      <c r="I87" s="31">
        <v>93</v>
      </c>
      <c r="J87" s="31">
        <f t="shared" si="67"/>
        <v>92</v>
      </c>
      <c r="K87" s="31">
        <f t="shared" si="67"/>
        <v>91</v>
      </c>
      <c r="L87" s="31">
        <f t="shared" si="59"/>
        <v>91</v>
      </c>
      <c r="M87" s="31">
        <f t="shared" si="80"/>
        <v>91</v>
      </c>
      <c r="N87" s="32">
        <f t="shared" si="56"/>
        <v>90</v>
      </c>
      <c r="O87" s="31">
        <f t="shared" si="56"/>
        <v>92</v>
      </c>
      <c r="P87" s="31">
        <f t="shared" si="77"/>
        <v>90</v>
      </c>
      <c r="Q87" s="31">
        <f t="shared" si="75"/>
        <v>90</v>
      </c>
      <c r="R87" s="31">
        <f t="shared" si="73"/>
        <v>90</v>
      </c>
      <c r="S87" s="31">
        <f t="shared" si="51"/>
        <v>91</v>
      </c>
      <c r="T87" s="31">
        <v>92</v>
      </c>
      <c r="U87" s="31">
        <f t="shared" si="70"/>
        <v>94</v>
      </c>
      <c r="V87" s="37">
        <v>88</v>
      </c>
      <c r="W87" s="47">
        <f t="shared" si="68"/>
        <v>88</v>
      </c>
      <c r="X87" s="47">
        <f t="shared" si="68"/>
        <v>88</v>
      </c>
      <c r="Y87" s="47">
        <f t="shared" si="71"/>
        <v>88</v>
      </c>
      <c r="Z87" s="47">
        <f t="shared" si="74"/>
        <v>87</v>
      </c>
      <c r="AA87" s="47">
        <f t="shared" si="79"/>
        <v>86</v>
      </c>
      <c r="AB87" s="133"/>
      <c r="AC87" s="37">
        <f t="shared" si="69"/>
        <v>87</v>
      </c>
      <c r="AD87" s="47">
        <f t="shared" si="54"/>
        <v>87</v>
      </c>
      <c r="AE87" s="47">
        <f t="shared" si="81"/>
        <v>87</v>
      </c>
      <c r="AF87" s="47">
        <v>86</v>
      </c>
      <c r="AG87" s="47">
        <f t="shared" si="76"/>
        <v>86</v>
      </c>
      <c r="AH87" s="47">
        <f t="shared" si="72"/>
        <v>86</v>
      </c>
      <c r="AI87" s="134"/>
      <c r="AJ87" s="94"/>
      <c r="AK87" s="95"/>
      <c r="AL87" s="95"/>
      <c r="AM87" s="95"/>
      <c r="AN87" s="95"/>
      <c r="AO87" s="95"/>
      <c r="AP87" s="141"/>
      <c r="AQ87" s="95"/>
      <c r="AR87" s="95"/>
      <c r="AS87" s="95"/>
      <c r="AT87" s="95"/>
      <c r="AU87" s="95"/>
      <c r="AV87" s="95"/>
      <c r="AW87" s="95"/>
      <c r="AX87" s="106"/>
      <c r="AY87" s="107"/>
      <c r="AZ87" s="107"/>
      <c r="BA87" s="107"/>
      <c r="BB87" s="107"/>
      <c r="BC87" s="107"/>
      <c r="BD87" s="108"/>
      <c r="BE87" s="107"/>
      <c r="BF87" s="107"/>
      <c r="BG87" s="107"/>
      <c r="BH87" s="107"/>
      <c r="BI87" s="107"/>
      <c r="BJ87" s="107"/>
      <c r="BK87" s="108"/>
      <c r="BL87" s="88"/>
      <c r="BM87" s="89"/>
      <c r="BN87" s="89"/>
      <c r="BO87" s="89"/>
      <c r="BP87" s="89"/>
      <c r="BQ87" s="89"/>
      <c r="BR87" s="90"/>
      <c r="BS87" s="89"/>
      <c r="BT87" s="89"/>
      <c r="BU87" s="89"/>
      <c r="BV87" s="89"/>
      <c r="BW87" s="89"/>
      <c r="BX87" s="89"/>
      <c r="BY87" s="89"/>
      <c r="BZ87" s="100"/>
      <c r="CA87" s="101"/>
      <c r="CB87" s="101"/>
      <c r="CC87" s="101"/>
      <c r="CD87" s="101"/>
      <c r="CE87" s="101"/>
      <c r="CF87" s="101"/>
      <c r="CG87" s="100"/>
      <c r="CH87" s="101"/>
      <c r="CI87" s="101"/>
      <c r="CJ87" s="101"/>
      <c r="CK87" s="101"/>
      <c r="CL87" s="101"/>
      <c r="CM87" s="102"/>
      <c r="CN87" s="84">
        <v>13</v>
      </c>
    </row>
    <row r="88" spans="7:92">
      <c r="G88" s="84">
        <v>84</v>
      </c>
      <c r="H88" s="30">
        <v>94</v>
      </c>
      <c r="I88" s="31">
        <f t="shared" si="53"/>
        <v>93</v>
      </c>
      <c r="J88" s="31">
        <f t="shared" si="67"/>
        <v>92</v>
      </c>
      <c r="K88" s="31">
        <f t="shared" si="67"/>
        <v>92</v>
      </c>
      <c r="L88" s="31">
        <f t="shared" si="59"/>
        <v>91</v>
      </c>
      <c r="M88" s="31">
        <f t="shared" si="80"/>
        <v>91</v>
      </c>
      <c r="N88" s="32">
        <v>91</v>
      </c>
      <c r="O88" s="31">
        <f t="shared" ref="O88:O100" si="82">O86+1</f>
        <v>92</v>
      </c>
      <c r="P88" s="31">
        <f t="shared" si="77"/>
        <v>91</v>
      </c>
      <c r="Q88" s="31">
        <f t="shared" si="75"/>
        <v>90</v>
      </c>
      <c r="R88" s="31">
        <f t="shared" si="73"/>
        <v>91</v>
      </c>
      <c r="S88" s="31">
        <f t="shared" si="51"/>
        <v>92</v>
      </c>
      <c r="T88" s="31">
        <f t="shared" si="51"/>
        <v>93</v>
      </c>
      <c r="U88" s="31">
        <f t="shared" si="70"/>
        <v>95</v>
      </c>
      <c r="V88" s="37">
        <v>88</v>
      </c>
      <c r="W88" s="47">
        <f t="shared" si="68"/>
        <v>89</v>
      </c>
      <c r="X88" s="47">
        <f t="shared" si="68"/>
        <v>89</v>
      </c>
      <c r="Y88" s="47">
        <f t="shared" si="71"/>
        <v>89</v>
      </c>
      <c r="Z88" s="47">
        <f t="shared" si="74"/>
        <v>88</v>
      </c>
      <c r="AA88" s="47">
        <f t="shared" si="79"/>
        <v>87</v>
      </c>
      <c r="AB88" s="133"/>
      <c r="AC88" s="37">
        <f t="shared" si="69"/>
        <v>88</v>
      </c>
      <c r="AD88" s="47">
        <f t="shared" si="54"/>
        <v>87</v>
      </c>
      <c r="AE88" s="47">
        <f t="shared" si="81"/>
        <v>87</v>
      </c>
      <c r="AF88" s="47">
        <f t="shared" si="78"/>
        <v>87</v>
      </c>
      <c r="AG88" s="47">
        <f t="shared" si="76"/>
        <v>87</v>
      </c>
      <c r="AH88" s="47">
        <f t="shared" si="72"/>
        <v>87</v>
      </c>
      <c r="AI88" s="134"/>
      <c r="AJ88" s="94"/>
      <c r="AK88" s="95"/>
      <c r="AL88" s="95"/>
      <c r="AM88" s="95"/>
      <c r="AN88" s="95"/>
      <c r="AO88" s="95"/>
      <c r="AP88" s="141"/>
      <c r="AQ88" s="95"/>
      <c r="AR88" s="95"/>
      <c r="AS88" s="95"/>
      <c r="AT88" s="95"/>
      <c r="AU88" s="95"/>
      <c r="AV88" s="95"/>
      <c r="AW88" s="95"/>
      <c r="AX88" s="106"/>
      <c r="AY88" s="107"/>
      <c r="AZ88" s="107"/>
      <c r="BA88" s="107"/>
      <c r="BB88" s="107"/>
      <c r="BC88" s="107"/>
      <c r="BD88" s="108"/>
      <c r="BE88" s="107"/>
      <c r="BF88" s="107"/>
      <c r="BG88" s="107"/>
      <c r="BH88" s="107"/>
      <c r="BI88" s="107"/>
      <c r="BJ88" s="107"/>
      <c r="BK88" s="108"/>
      <c r="BL88" s="88"/>
      <c r="BM88" s="89"/>
      <c r="BN88" s="89"/>
      <c r="BO88" s="89"/>
      <c r="BP88" s="89"/>
      <c r="BQ88" s="89"/>
      <c r="BR88" s="90"/>
      <c r="BS88" s="89"/>
      <c r="BT88" s="89"/>
      <c r="BU88" s="89"/>
      <c r="BV88" s="89"/>
      <c r="BW88" s="89"/>
      <c r="BX88" s="89"/>
      <c r="BY88" s="89"/>
      <c r="BZ88" s="100"/>
      <c r="CA88" s="101"/>
      <c r="CB88" s="101"/>
      <c r="CC88" s="101"/>
      <c r="CD88" s="101"/>
      <c r="CE88" s="101"/>
      <c r="CF88" s="101"/>
      <c r="CG88" s="100"/>
      <c r="CH88" s="101"/>
      <c r="CI88" s="101"/>
      <c r="CJ88" s="101"/>
      <c r="CK88" s="101"/>
      <c r="CL88" s="101"/>
      <c r="CM88" s="102"/>
      <c r="CN88" s="84">
        <v>14</v>
      </c>
    </row>
    <row r="89" spans="7:92">
      <c r="G89" s="84">
        <v>85</v>
      </c>
      <c r="H89" s="30">
        <v>95</v>
      </c>
      <c r="I89" s="31">
        <f t="shared" si="53"/>
        <v>94</v>
      </c>
      <c r="J89" s="31">
        <f t="shared" si="67"/>
        <v>93</v>
      </c>
      <c r="K89" s="31">
        <f t="shared" si="67"/>
        <v>92</v>
      </c>
      <c r="L89" s="31">
        <f t="shared" si="59"/>
        <v>92</v>
      </c>
      <c r="M89" s="31">
        <f t="shared" si="80"/>
        <v>92</v>
      </c>
      <c r="N89" s="32">
        <f t="shared" si="56"/>
        <v>91</v>
      </c>
      <c r="O89" s="31">
        <f t="shared" si="82"/>
        <v>93</v>
      </c>
      <c r="P89" s="31">
        <v>92</v>
      </c>
      <c r="Q89" s="31">
        <f t="shared" si="75"/>
        <v>91</v>
      </c>
      <c r="R89" s="31">
        <f t="shared" si="73"/>
        <v>91</v>
      </c>
      <c r="S89" s="31">
        <f t="shared" si="51"/>
        <v>92</v>
      </c>
      <c r="T89" s="31">
        <f t="shared" si="51"/>
        <v>93</v>
      </c>
      <c r="U89" s="31">
        <f t="shared" si="70"/>
        <v>95</v>
      </c>
      <c r="V89" s="37">
        <v>89</v>
      </c>
      <c r="W89" s="47">
        <f t="shared" si="68"/>
        <v>89</v>
      </c>
      <c r="X89" s="47">
        <f t="shared" si="68"/>
        <v>89</v>
      </c>
      <c r="Y89" s="47">
        <f t="shared" si="71"/>
        <v>89</v>
      </c>
      <c r="Z89" s="47">
        <f t="shared" si="74"/>
        <v>88</v>
      </c>
      <c r="AA89" s="47">
        <f t="shared" si="79"/>
        <v>87</v>
      </c>
      <c r="AB89" s="133"/>
      <c r="AC89" s="37">
        <f t="shared" si="69"/>
        <v>88</v>
      </c>
      <c r="AD89" s="47">
        <f t="shared" si="54"/>
        <v>88</v>
      </c>
      <c r="AE89" s="47">
        <f t="shared" si="81"/>
        <v>88</v>
      </c>
      <c r="AF89" s="47">
        <f t="shared" si="78"/>
        <v>87</v>
      </c>
      <c r="AG89" s="47">
        <f t="shared" si="76"/>
        <v>87</v>
      </c>
      <c r="AH89" s="47">
        <f t="shared" si="72"/>
        <v>87</v>
      </c>
      <c r="AI89" s="134"/>
      <c r="AJ89" s="94"/>
      <c r="AK89" s="95"/>
      <c r="AL89" s="95"/>
      <c r="AM89" s="95"/>
      <c r="AN89" s="95"/>
      <c r="AO89" s="95"/>
      <c r="AP89" s="141"/>
      <c r="AQ89" s="95"/>
      <c r="AR89" s="95"/>
      <c r="AS89" s="95"/>
      <c r="AT89" s="95"/>
      <c r="AU89" s="95"/>
      <c r="AV89" s="95"/>
      <c r="AW89" s="95"/>
      <c r="AX89" s="106"/>
      <c r="AY89" s="107"/>
      <c r="AZ89" s="107"/>
      <c r="BA89" s="107"/>
      <c r="BB89" s="107"/>
      <c r="BC89" s="107"/>
      <c r="BD89" s="108"/>
      <c r="BE89" s="107"/>
      <c r="BF89" s="107"/>
      <c r="BG89" s="107"/>
      <c r="BH89" s="107"/>
      <c r="BI89" s="107"/>
      <c r="BJ89" s="107"/>
      <c r="BK89" s="108"/>
      <c r="BL89" s="88"/>
      <c r="BM89" s="89"/>
      <c r="BN89" s="89"/>
      <c r="BO89" s="89"/>
      <c r="BP89" s="89"/>
      <c r="BQ89" s="89"/>
      <c r="BR89" s="90"/>
      <c r="BS89" s="89"/>
      <c r="BT89" s="89"/>
      <c r="BU89" s="89"/>
      <c r="BV89" s="89"/>
      <c r="BW89" s="89"/>
      <c r="BX89" s="89"/>
      <c r="BY89" s="89"/>
      <c r="BZ89" s="100"/>
      <c r="CA89" s="101"/>
      <c r="CB89" s="101"/>
      <c r="CC89" s="101"/>
      <c r="CD89" s="101"/>
      <c r="CE89" s="101"/>
      <c r="CF89" s="101"/>
      <c r="CG89" s="100"/>
      <c r="CH89" s="101"/>
      <c r="CI89" s="101"/>
      <c r="CJ89" s="101"/>
      <c r="CK89" s="101"/>
      <c r="CL89" s="101"/>
      <c r="CM89" s="102"/>
      <c r="CN89" s="84">
        <v>16</v>
      </c>
    </row>
    <row r="90" spans="7:92">
      <c r="G90" s="84">
        <v>86</v>
      </c>
      <c r="H90" s="30">
        <v>95</v>
      </c>
      <c r="I90" s="31">
        <f t="shared" si="53"/>
        <v>94</v>
      </c>
      <c r="J90" s="31">
        <v>94</v>
      </c>
      <c r="K90" s="31">
        <f t="shared" ref="K90:K104" si="83">K88+1</f>
        <v>93</v>
      </c>
      <c r="L90" s="31">
        <f t="shared" si="59"/>
        <v>92</v>
      </c>
      <c r="M90" s="31">
        <f t="shared" si="80"/>
        <v>92</v>
      </c>
      <c r="N90" s="32">
        <f t="shared" si="56"/>
        <v>92</v>
      </c>
      <c r="O90" s="31">
        <v>94</v>
      </c>
      <c r="P90" s="31">
        <f t="shared" si="77"/>
        <v>92</v>
      </c>
      <c r="Q90" s="31">
        <f t="shared" si="75"/>
        <v>91</v>
      </c>
      <c r="R90" s="31">
        <f t="shared" si="73"/>
        <v>92</v>
      </c>
      <c r="S90" s="31">
        <v>92</v>
      </c>
      <c r="T90" s="31">
        <f t="shared" ref="T90:T112" si="84">T88+1</f>
        <v>94</v>
      </c>
      <c r="U90" s="31">
        <v>95</v>
      </c>
      <c r="V90" s="37">
        <v>90</v>
      </c>
      <c r="W90" s="47">
        <f t="shared" si="68"/>
        <v>90</v>
      </c>
      <c r="X90" s="47">
        <f t="shared" si="68"/>
        <v>90</v>
      </c>
      <c r="Y90" s="47">
        <v>89</v>
      </c>
      <c r="Z90" s="47">
        <f t="shared" si="74"/>
        <v>89</v>
      </c>
      <c r="AA90" s="47">
        <f t="shared" si="79"/>
        <v>88</v>
      </c>
      <c r="AB90" s="133"/>
      <c r="AC90" s="37">
        <f t="shared" si="69"/>
        <v>89</v>
      </c>
      <c r="AD90" s="47">
        <f t="shared" si="54"/>
        <v>88</v>
      </c>
      <c r="AE90" s="47">
        <f t="shared" si="81"/>
        <v>88</v>
      </c>
      <c r="AF90" s="47">
        <f t="shared" si="78"/>
        <v>88</v>
      </c>
      <c r="AG90" s="47">
        <f t="shared" si="76"/>
        <v>88</v>
      </c>
      <c r="AH90" s="47">
        <v>87</v>
      </c>
      <c r="AI90" s="134"/>
      <c r="AJ90" s="94"/>
      <c r="AK90" s="95"/>
      <c r="AL90" s="95"/>
      <c r="AM90" s="95"/>
      <c r="AN90" s="95"/>
      <c r="AO90" s="95"/>
      <c r="AP90" s="141"/>
      <c r="AQ90" s="95"/>
      <c r="AR90" s="95"/>
      <c r="AS90" s="95"/>
      <c r="AT90" s="95"/>
      <c r="AU90" s="95"/>
      <c r="AV90" s="95"/>
      <c r="AW90" s="95"/>
      <c r="AX90" s="106"/>
      <c r="AY90" s="107"/>
      <c r="AZ90" s="107"/>
      <c r="BA90" s="107"/>
      <c r="BB90" s="107"/>
      <c r="BC90" s="107"/>
      <c r="BD90" s="108"/>
      <c r="BE90" s="107"/>
      <c r="BF90" s="107"/>
      <c r="BG90" s="107"/>
      <c r="BH90" s="107"/>
      <c r="BI90" s="107"/>
      <c r="BJ90" s="107"/>
      <c r="BK90" s="108"/>
      <c r="BL90" s="88"/>
      <c r="BM90" s="89"/>
      <c r="BN90" s="89"/>
      <c r="BO90" s="89"/>
      <c r="BP90" s="89"/>
      <c r="BQ90" s="89"/>
      <c r="BR90" s="90"/>
      <c r="BS90" s="89"/>
      <c r="BT90" s="89"/>
      <c r="BU90" s="89"/>
      <c r="BV90" s="89"/>
      <c r="BW90" s="89"/>
      <c r="BX90" s="89"/>
      <c r="BY90" s="89"/>
      <c r="BZ90" s="100"/>
      <c r="CA90" s="101"/>
      <c r="CB90" s="101"/>
      <c r="CC90" s="101"/>
      <c r="CD90" s="101"/>
      <c r="CE90" s="101"/>
      <c r="CF90" s="101"/>
      <c r="CG90" s="100"/>
      <c r="CH90" s="101"/>
      <c r="CI90" s="101"/>
      <c r="CJ90" s="101"/>
      <c r="CK90" s="101"/>
      <c r="CL90" s="101"/>
      <c r="CM90" s="102"/>
      <c r="CN90" s="84">
        <v>18</v>
      </c>
    </row>
    <row r="91" spans="7:92">
      <c r="G91" s="84">
        <v>87</v>
      </c>
      <c r="H91" s="30">
        <v>96</v>
      </c>
      <c r="I91" s="31">
        <f t="shared" si="53"/>
        <v>95</v>
      </c>
      <c r="J91" s="31">
        <f t="shared" si="67"/>
        <v>94</v>
      </c>
      <c r="K91" s="31">
        <f t="shared" si="83"/>
        <v>93</v>
      </c>
      <c r="L91" s="31">
        <f t="shared" si="59"/>
        <v>93</v>
      </c>
      <c r="M91" s="31">
        <f t="shared" si="80"/>
        <v>93</v>
      </c>
      <c r="N91" s="32">
        <f t="shared" si="56"/>
        <v>92</v>
      </c>
      <c r="O91" s="31">
        <f t="shared" si="82"/>
        <v>94</v>
      </c>
      <c r="P91" s="31">
        <f t="shared" si="77"/>
        <v>93</v>
      </c>
      <c r="Q91" s="31">
        <f t="shared" si="75"/>
        <v>92</v>
      </c>
      <c r="R91" s="31">
        <f t="shared" si="73"/>
        <v>92</v>
      </c>
      <c r="S91" s="31">
        <f t="shared" si="73"/>
        <v>93</v>
      </c>
      <c r="T91" s="31">
        <f t="shared" si="84"/>
        <v>94</v>
      </c>
      <c r="U91" s="31">
        <f t="shared" si="70"/>
        <v>96</v>
      </c>
      <c r="V91" s="37">
        <v>90</v>
      </c>
      <c r="W91" s="47">
        <f t="shared" si="68"/>
        <v>90</v>
      </c>
      <c r="X91" s="47">
        <f t="shared" si="68"/>
        <v>90</v>
      </c>
      <c r="Y91" s="47">
        <f t="shared" si="71"/>
        <v>90</v>
      </c>
      <c r="Z91" s="47">
        <f t="shared" si="74"/>
        <v>89</v>
      </c>
      <c r="AA91" s="47">
        <f t="shared" si="79"/>
        <v>88</v>
      </c>
      <c r="AB91" s="133"/>
      <c r="AC91" s="37">
        <f t="shared" si="69"/>
        <v>89</v>
      </c>
      <c r="AD91" s="47">
        <f t="shared" si="54"/>
        <v>89</v>
      </c>
      <c r="AE91" s="47">
        <v>88</v>
      </c>
      <c r="AF91" s="47">
        <f t="shared" si="78"/>
        <v>88</v>
      </c>
      <c r="AG91" s="47">
        <f t="shared" si="76"/>
        <v>88</v>
      </c>
      <c r="AH91" s="47">
        <f t="shared" si="72"/>
        <v>88</v>
      </c>
      <c r="AI91" s="134"/>
      <c r="AJ91" s="94"/>
      <c r="AK91" s="95"/>
      <c r="AL91" s="95"/>
      <c r="AM91" s="95"/>
      <c r="AN91" s="95"/>
      <c r="AO91" s="95"/>
      <c r="AP91" s="141"/>
      <c r="AQ91" s="95"/>
      <c r="AR91" s="95"/>
      <c r="AS91" s="95"/>
      <c r="AT91" s="95"/>
      <c r="AU91" s="95"/>
      <c r="AV91" s="95"/>
      <c r="AW91" s="95"/>
      <c r="AX91" s="106"/>
      <c r="AY91" s="107"/>
      <c r="AZ91" s="107"/>
      <c r="BA91" s="107"/>
      <c r="BB91" s="107"/>
      <c r="BC91" s="107"/>
      <c r="BD91" s="108"/>
      <c r="BE91" s="107"/>
      <c r="BF91" s="107"/>
      <c r="BG91" s="107"/>
      <c r="BH91" s="107"/>
      <c r="BI91" s="107"/>
      <c r="BJ91" s="107"/>
      <c r="BK91" s="108"/>
      <c r="BL91" s="88"/>
      <c r="BM91" s="89"/>
      <c r="BN91" s="89"/>
      <c r="BO91" s="89"/>
      <c r="BP91" s="89"/>
      <c r="BQ91" s="89"/>
      <c r="BR91" s="90"/>
      <c r="BS91" s="89"/>
      <c r="BT91" s="89"/>
      <c r="BU91" s="89"/>
      <c r="BV91" s="89"/>
      <c r="BW91" s="89"/>
      <c r="BX91" s="89"/>
      <c r="BY91" s="89"/>
      <c r="BZ91" s="100"/>
      <c r="CA91" s="101"/>
      <c r="CB91" s="101"/>
      <c r="CC91" s="101"/>
      <c r="CD91" s="101"/>
      <c r="CE91" s="101"/>
      <c r="CF91" s="101"/>
      <c r="CG91" s="100"/>
      <c r="CH91" s="101"/>
      <c r="CI91" s="101"/>
      <c r="CJ91" s="101"/>
      <c r="CK91" s="101"/>
      <c r="CL91" s="101"/>
      <c r="CM91" s="102"/>
      <c r="CN91" s="84">
        <v>19</v>
      </c>
    </row>
    <row r="92" spans="7:92">
      <c r="G92" s="84">
        <v>88</v>
      </c>
      <c r="H92" s="30">
        <v>97</v>
      </c>
      <c r="I92" s="31">
        <f t="shared" si="53"/>
        <v>95</v>
      </c>
      <c r="J92" s="31">
        <f t="shared" si="67"/>
        <v>95</v>
      </c>
      <c r="K92" s="31">
        <f t="shared" si="83"/>
        <v>94</v>
      </c>
      <c r="L92" s="31">
        <f t="shared" si="59"/>
        <v>93</v>
      </c>
      <c r="M92" s="31">
        <f t="shared" si="80"/>
        <v>93</v>
      </c>
      <c r="N92" s="32">
        <f t="shared" si="56"/>
        <v>93</v>
      </c>
      <c r="O92" s="31">
        <f t="shared" si="82"/>
        <v>95</v>
      </c>
      <c r="P92" s="31">
        <f t="shared" si="77"/>
        <v>93</v>
      </c>
      <c r="Q92" s="31">
        <v>93</v>
      </c>
      <c r="R92" s="31">
        <f t="shared" si="73"/>
        <v>93</v>
      </c>
      <c r="S92" s="31">
        <f t="shared" si="73"/>
        <v>93</v>
      </c>
      <c r="T92" s="31">
        <f t="shared" si="84"/>
        <v>95</v>
      </c>
      <c r="U92" s="31">
        <f t="shared" si="70"/>
        <v>96</v>
      </c>
      <c r="V92" s="37">
        <v>91</v>
      </c>
      <c r="W92" s="47">
        <f t="shared" si="68"/>
        <v>91</v>
      </c>
      <c r="X92" s="47">
        <f t="shared" si="68"/>
        <v>91</v>
      </c>
      <c r="Y92" s="47">
        <f t="shared" si="71"/>
        <v>90</v>
      </c>
      <c r="Z92" s="47">
        <f t="shared" si="74"/>
        <v>90</v>
      </c>
      <c r="AA92" s="47">
        <f t="shared" si="79"/>
        <v>89</v>
      </c>
      <c r="AB92" s="133"/>
      <c r="AC92" s="37">
        <f t="shared" si="69"/>
        <v>90</v>
      </c>
      <c r="AD92" s="47">
        <f t="shared" si="54"/>
        <v>89</v>
      </c>
      <c r="AE92" s="47">
        <f t="shared" si="81"/>
        <v>89</v>
      </c>
      <c r="AF92" s="47">
        <f t="shared" si="78"/>
        <v>89</v>
      </c>
      <c r="AG92" s="47">
        <f t="shared" si="76"/>
        <v>89</v>
      </c>
      <c r="AH92" s="47">
        <f t="shared" si="72"/>
        <v>88</v>
      </c>
      <c r="AI92" s="134"/>
      <c r="AJ92" s="94"/>
      <c r="AK92" s="95"/>
      <c r="AL92" s="95"/>
      <c r="AM92" s="95"/>
      <c r="AN92" s="95"/>
      <c r="AO92" s="95"/>
      <c r="AP92" s="141"/>
      <c r="AQ92" s="95"/>
      <c r="AR92" s="95"/>
      <c r="AS92" s="95"/>
      <c r="AT92" s="95"/>
      <c r="AU92" s="95"/>
      <c r="AV92" s="95"/>
      <c r="AW92" s="95"/>
      <c r="AX92" s="106"/>
      <c r="AY92" s="107"/>
      <c r="AZ92" s="107"/>
      <c r="BA92" s="107"/>
      <c r="BB92" s="107"/>
      <c r="BC92" s="107"/>
      <c r="BD92" s="108"/>
      <c r="BE92" s="107"/>
      <c r="BF92" s="107"/>
      <c r="BG92" s="107"/>
      <c r="BH92" s="107"/>
      <c r="BI92" s="107"/>
      <c r="BJ92" s="107"/>
      <c r="BK92" s="108"/>
      <c r="BL92" s="88"/>
      <c r="BM92" s="89"/>
      <c r="BN92" s="89"/>
      <c r="BO92" s="89"/>
      <c r="BP92" s="89"/>
      <c r="BQ92" s="89"/>
      <c r="BR92" s="90"/>
      <c r="BS92" s="89"/>
      <c r="BT92" s="89"/>
      <c r="BU92" s="89"/>
      <c r="BV92" s="89"/>
      <c r="BW92" s="89"/>
      <c r="BX92" s="89"/>
      <c r="BY92" s="89"/>
      <c r="BZ92" s="100"/>
      <c r="CA92" s="101"/>
      <c r="CB92" s="101"/>
      <c r="CC92" s="101"/>
      <c r="CD92" s="101"/>
      <c r="CE92" s="101"/>
      <c r="CF92" s="101"/>
      <c r="CG92" s="100"/>
      <c r="CH92" s="101"/>
      <c r="CI92" s="101"/>
      <c r="CJ92" s="101"/>
      <c r="CK92" s="101"/>
      <c r="CL92" s="101"/>
      <c r="CM92" s="102"/>
      <c r="CN92" s="84">
        <v>21</v>
      </c>
    </row>
    <row r="93" spans="7:92">
      <c r="G93" s="84">
        <v>89</v>
      </c>
      <c r="H93" s="30">
        <v>97</v>
      </c>
      <c r="I93" s="31">
        <f t="shared" si="53"/>
        <v>96</v>
      </c>
      <c r="J93" s="31">
        <f t="shared" si="67"/>
        <v>95</v>
      </c>
      <c r="K93" s="31">
        <f t="shared" si="83"/>
        <v>94</v>
      </c>
      <c r="L93" s="31">
        <f t="shared" si="59"/>
        <v>94</v>
      </c>
      <c r="M93" s="31">
        <f t="shared" si="80"/>
        <v>94</v>
      </c>
      <c r="N93" s="32">
        <f t="shared" si="56"/>
        <v>93</v>
      </c>
      <c r="O93" s="31">
        <f t="shared" si="82"/>
        <v>95</v>
      </c>
      <c r="P93" s="31">
        <f t="shared" si="77"/>
        <v>94</v>
      </c>
      <c r="Q93" s="31">
        <f t="shared" si="75"/>
        <v>93</v>
      </c>
      <c r="R93" s="31">
        <f t="shared" si="73"/>
        <v>93</v>
      </c>
      <c r="S93" s="31">
        <f t="shared" si="73"/>
        <v>94</v>
      </c>
      <c r="T93" s="31">
        <f t="shared" si="84"/>
        <v>95</v>
      </c>
      <c r="U93" s="31">
        <f t="shared" si="70"/>
        <v>97</v>
      </c>
      <c r="V93" s="37">
        <v>91</v>
      </c>
      <c r="W93" s="47">
        <f t="shared" si="68"/>
        <v>91</v>
      </c>
      <c r="X93" s="47">
        <f t="shared" si="68"/>
        <v>91</v>
      </c>
      <c r="Y93" s="47">
        <f t="shared" si="71"/>
        <v>91</v>
      </c>
      <c r="Z93" s="47">
        <f t="shared" si="74"/>
        <v>90</v>
      </c>
      <c r="AA93" s="47">
        <f t="shared" si="79"/>
        <v>89</v>
      </c>
      <c r="AB93" s="133"/>
      <c r="AC93" s="37">
        <f t="shared" si="69"/>
        <v>90</v>
      </c>
      <c r="AD93" s="47">
        <f t="shared" si="54"/>
        <v>90</v>
      </c>
      <c r="AE93" s="47">
        <f t="shared" si="81"/>
        <v>89</v>
      </c>
      <c r="AF93" s="47">
        <f t="shared" si="78"/>
        <v>89</v>
      </c>
      <c r="AG93" s="47">
        <f t="shared" si="76"/>
        <v>89</v>
      </c>
      <c r="AH93" s="47">
        <f t="shared" si="72"/>
        <v>89</v>
      </c>
      <c r="AI93" s="134"/>
      <c r="AJ93" s="94"/>
      <c r="AK93" s="95"/>
      <c r="AL93" s="95"/>
      <c r="AM93" s="95"/>
      <c r="AN93" s="95"/>
      <c r="AO93" s="95"/>
      <c r="AP93" s="141"/>
      <c r="AQ93" s="95"/>
      <c r="AR93" s="95"/>
      <c r="AS93" s="95"/>
      <c r="AT93" s="95"/>
      <c r="AU93" s="95"/>
      <c r="AV93" s="95"/>
      <c r="AW93" s="95"/>
      <c r="AX93" s="106"/>
      <c r="AY93" s="107"/>
      <c r="AZ93" s="107"/>
      <c r="BA93" s="107"/>
      <c r="BB93" s="107"/>
      <c r="BC93" s="107"/>
      <c r="BD93" s="108"/>
      <c r="BE93" s="107"/>
      <c r="BF93" s="107"/>
      <c r="BG93" s="107"/>
      <c r="BH93" s="107"/>
      <c r="BI93" s="107"/>
      <c r="BJ93" s="107"/>
      <c r="BK93" s="108"/>
      <c r="BL93" s="88"/>
      <c r="BM93" s="89"/>
      <c r="BN93" s="89"/>
      <c r="BO93" s="89"/>
      <c r="BP93" s="89"/>
      <c r="BQ93" s="89"/>
      <c r="BR93" s="90"/>
      <c r="BS93" s="89"/>
      <c r="BT93" s="89"/>
      <c r="BU93" s="89"/>
      <c r="BV93" s="89"/>
      <c r="BW93" s="89"/>
      <c r="BX93" s="89"/>
      <c r="BY93" s="89"/>
      <c r="BZ93" s="100"/>
      <c r="CA93" s="101"/>
      <c r="CB93" s="101"/>
      <c r="CC93" s="101"/>
      <c r="CD93" s="101"/>
      <c r="CE93" s="101"/>
      <c r="CF93" s="101"/>
      <c r="CG93" s="100"/>
      <c r="CH93" s="101"/>
      <c r="CI93" s="101"/>
      <c r="CJ93" s="101"/>
      <c r="CK93" s="101"/>
      <c r="CL93" s="101"/>
      <c r="CM93" s="102"/>
      <c r="CN93" s="84">
        <v>23</v>
      </c>
    </row>
    <row r="94" spans="7:92">
      <c r="G94" s="84">
        <v>90</v>
      </c>
      <c r="H94" s="30">
        <v>98</v>
      </c>
      <c r="I94" s="31">
        <v>97</v>
      </c>
      <c r="J94" s="31">
        <f t="shared" si="67"/>
        <v>96</v>
      </c>
      <c r="K94" s="31">
        <f t="shared" si="83"/>
        <v>95</v>
      </c>
      <c r="L94" s="31">
        <f t="shared" si="59"/>
        <v>94</v>
      </c>
      <c r="M94" s="31">
        <f t="shared" si="80"/>
        <v>94</v>
      </c>
      <c r="N94" s="32">
        <f t="shared" si="56"/>
        <v>94</v>
      </c>
      <c r="O94" s="31">
        <f t="shared" si="82"/>
        <v>96</v>
      </c>
      <c r="P94" s="31">
        <f t="shared" si="77"/>
        <v>94</v>
      </c>
      <c r="Q94" s="31">
        <f t="shared" si="75"/>
        <v>94</v>
      </c>
      <c r="R94" s="31">
        <f t="shared" si="73"/>
        <v>94</v>
      </c>
      <c r="S94" s="31">
        <f t="shared" si="73"/>
        <v>94</v>
      </c>
      <c r="T94" s="31">
        <f t="shared" si="84"/>
        <v>96</v>
      </c>
      <c r="U94" s="31">
        <f t="shared" si="70"/>
        <v>97</v>
      </c>
      <c r="V94" s="37">
        <v>92</v>
      </c>
      <c r="W94" s="47">
        <f t="shared" si="68"/>
        <v>92</v>
      </c>
      <c r="X94" s="47">
        <f t="shared" si="68"/>
        <v>92</v>
      </c>
      <c r="Y94" s="47">
        <f t="shared" si="71"/>
        <v>91</v>
      </c>
      <c r="Z94" s="47">
        <f t="shared" si="74"/>
        <v>91</v>
      </c>
      <c r="AA94" s="47">
        <f t="shared" si="79"/>
        <v>90</v>
      </c>
      <c r="AB94" s="133"/>
      <c r="AC94" s="37">
        <f t="shared" si="69"/>
        <v>91</v>
      </c>
      <c r="AD94" s="47">
        <f t="shared" si="54"/>
        <v>90</v>
      </c>
      <c r="AE94" s="47">
        <f t="shared" si="81"/>
        <v>90</v>
      </c>
      <c r="AF94" s="47">
        <v>89</v>
      </c>
      <c r="AG94" s="47">
        <v>89</v>
      </c>
      <c r="AH94" s="47">
        <f t="shared" si="72"/>
        <v>89</v>
      </c>
      <c r="AI94" s="134"/>
      <c r="AJ94" s="94"/>
      <c r="AK94" s="95"/>
      <c r="AL94" s="95"/>
      <c r="AM94" s="95"/>
      <c r="AN94" s="95"/>
      <c r="AO94" s="95"/>
      <c r="AP94" s="141"/>
      <c r="AQ94" s="95"/>
      <c r="AR94" s="95"/>
      <c r="AS94" s="95"/>
      <c r="AT94" s="95"/>
      <c r="AU94" s="95"/>
      <c r="AV94" s="95"/>
      <c r="AW94" s="95"/>
      <c r="AX94" s="106"/>
      <c r="AY94" s="107"/>
      <c r="AZ94" s="107"/>
      <c r="BA94" s="107"/>
      <c r="BB94" s="107"/>
      <c r="BC94" s="107"/>
      <c r="BD94" s="108"/>
      <c r="BE94" s="107"/>
      <c r="BF94" s="107"/>
      <c r="BG94" s="107"/>
      <c r="BH94" s="107"/>
      <c r="BI94" s="107"/>
      <c r="BJ94" s="107"/>
      <c r="BK94" s="108"/>
      <c r="BL94" s="88"/>
      <c r="BM94" s="89"/>
      <c r="BN94" s="89"/>
      <c r="BO94" s="89"/>
      <c r="BP94" s="89"/>
      <c r="BQ94" s="89"/>
      <c r="BR94" s="90"/>
      <c r="BS94" s="89"/>
      <c r="BT94" s="89"/>
      <c r="BU94" s="89"/>
      <c r="BV94" s="89"/>
      <c r="BW94" s="89"/>
      <c r="BX94" s="89"/>
      <c r="BY94" s="89"/>
      <c r="BZ94" s="100"/>
      <c r="CA94" s="101"/>
      <c r="CB94" s="101"/>
      <c r="CC94" s="101"/>
      <c r="CD94" s="101"/>
      <c r="CE94" s="101"/>
      <c r="CF94" s="101"/>
      <c r="CG94" s="100"/>
      <c r="CH94" s="101"/>
      <c r="CI94" s="101"/>
      <c r="CJ94" s="101"/>
      <c r="CK94" s="101"/>
      <c r="CL94" s="101"/>
      <c r="CM94" s="102"/>
      <c r="CN94" s="84">
        <v>25</v>
      </c>
    </row>
    <row r="95" spans="7:92">
      <c r="G95" s="84">
        <v>91</v>
      </c>
      <c r="H95" s="30">
        <v>99</v>
      </c>
      <c r="I95" s="31">
        <f t="shared" si="53"/>
        <v>97</v>
      </c>
      <c r="J95" s="31">
        <f t="shared" si="67"/>
        <v>96</v>
      </c>
      <c r="K95" s="31">
        <f t="shared" si="83"/>
        <v>95</v>
      </c>
      <c r="L95" s="31">
        <f t="shared" si="59"/>
        <v>95</v>
      </c>
      <c r="M95" s="31">
        <f t="shared" si="80"/>
        <v>95</v>
      </c>
      <c r="N95" s="32">
        <f t="shared" si="56"/>
        <v>94</v>
      </c>
      <c r="O95" s="31">
        <f t="shared" si="82"/>
        <v>96</v>
      </c>
      <c r="P95" s="31">
        <f t="shared" si="77"/>
        <v>95</v>
      </c>
      <c r="Q95" s="31">
        <f t="shared" si="75"/>
        <v>94</v>
      </c>
      <c r="R95" s="31">
        <f t="shared" si="73"/>
        <v>94</v>
      </c>
      <c r="S95" s="31">
        <f t="shared" si="73"/>
        <v>95</v>
      </c>
      <c r="T95" s="31">
        <f t="shared" si="84"/>
        <v>96</v>
      </c>
      <c r="U95" s="31">
        <v>97</v>
      </c>
      <c r="V95" s="37">
        <v>93</v>
      </c>
      <c r="W95" s="47">
        <f t="shared" si="68"/>
        <v>92</v>
      </c>
      <c r="X95" s="47">
        <f t="shared" si="68"/>
        <v>92</v>
      </c>
      <c r="Y95" s="47">
        <f t="shared" si="71"/>
        <v>92</v>
      </c>
      <c r="Z95" s="47">
        <f t="shared" si="74"/>
        <v>91</v>
      </c>
      <c r="AA95" s="47">
        <f t="shared" si="79"/>
        <v>90</v>
      </c>
      <c r="AB95" s="133"/>
      <c r="AC95" s="37">
        <f t="shared" si="69"/>
        <v>91</v>
      </c>
      <c r="AD95" s="47">
        <f t="shared" si="54"/>
        <v>91</v>
      </c>
      <c r="AE95" s="47">
        <f t="shared" si="81"/>
        <v>90</v>
      </c>
      <c r="AF95" s="47">
        <f t="shared" si="78"/>
        <v>90</v>
      </c>
      <c r="AG95" s="47">
        <f t="shared" si="76"/>
        <v>90</v>
      </c>
      <c r="AH95" s="47">
        <f t="shared" si="72"/>
        <v>90</v>
      </c>
      <c r="AI95" s="134"/>
      <c r="AJ95" s="94"/>
      <c r="AK95" s="95"/>
      <c r="AL95" s="95"/>
      <c r="AM95" s="95"/>
      <c r="AN95" s="95"/>
      <c r="AO95" s="95"/>
      <c r="AP95" s="141"/>
      <c r="AQ95" s="95"/>
      <c r="AR95" s="95"/>
      <c r="AS95" s="95"/>
      <c r="AT95" s="95"/>
      <c r="AU95" s="95"/>
      <c r="AV95" s="95"/>
      <c r="AW95" s="95"/>
      <c r="AX95" s="106"/>
      <c r="AY95" s="107"/>
      <c r="AZ95" s="107"/>
      <c r="BA95" s="107"/>
      <c r="BB95" s="107"/>
      <c r="BC95" s="107"/>
      <c r="BD95" s="108"/>
      <c r="BE95" s="107"/>
      <c r="BF95" s="107"/>
      <c r="BG95" s="107"/>
      <c r="BH95" s="107"/>
      <c r="BI95" s="107"/>
      <c r="BJ95" s="107"/>
      <c r="BK95" s="108"/>
      <c r="BL95" s="88"/>
      <c r="BM95" s="89"/>
      <c r="BN95" s="89"/>
      <c r="BO95" s="89"/>
      <c r="BP95" s="89"/>
      <c r="BQ95" s="89"/>
      <c r="BR95" s="90"/>
      <c r="BS95" s="89"/>
      <c r="BT95" s="89"/>
      <c r="BU95" s="89"/>
      <c r="BV95" s="89"/>
      <c r="BW95" s="89"/>
      <c r="BX95" s="89"/>
      <c r="BY95" s="89"/>
      <c r="BZ95" s="100"/>
      <c r="CA95" s="101"/>
      <c r="CB95" s="101"/>
      <c r="CC95" s="101"/>
      <c r="CD95" s="101"/>
      <c r="CE95" s="101"/>
      <c r="CF95" s="101"/>
      <c r="CG95" s="100"/>
      <c r="CH95" s="101"/>
      <c r="CI95" s="101"/>
      <c r="CJ95" s="101"/>
      <c r="CK95" s="101"/>
      <c r="CL95" s="101"/>
      <c r="CM95" s="102"/>
      <c r="CN95" s="84">
        <v>27</v>
      </c>
    </row>
    <row r="96" spans="7:92">
      <c r="G96" s="84">
        <v>92</v>
      </c>
      <c r="H96" s="30">
        <v>99</v>
      </c>
      <c r="I96" s="31">
        <f t="shared" si="53"/>
        <v>98</v>
      </c>
      <c r="J96" s="31">
        <f t="shared" si="67"/>
        <v>97</v>
      </c>
      <c r="K96" s="31">
        <f t="shared" si="83"/>
        <v>96</v>
      </c>
      <c r="L96" s="31">
        <f t="shared" si="59"/>
        <v>95</v>
      </c>
      <c r="M96" s="31">
        <f t="shared" si="80"/>
        <v>95</v>
      </c>
      <c r="N96" s="32">
        <f t="shared" si="56"/>
        <v>95</v>
      </c>
      <c r="O96" s="31">
        <f t="shared" si="82"/>
        <v>97</v>
      </c>
      <c r="P96" s="31">
        <f t="shared" si="77"/>
        <v>95</v>
      </c>
      <c r="Q96" s="31">
        <f t="shared" si="75"/>
        <v>95</v>
      </c>
      <c r="R96" s="31">
        <f t="shared" si="73"/>
        <v>95</v>
      </c>
      <c r="S96" s="31">
        <f t="shared" si="73"/>
        <v>95</v>
      </c>
      <c r="T96" s="31">
        <v>96</v>
      </c>
      <c r="U96" s="31">
        <f t="shared" si="70"/>
        <v>98</v>
      </c>
      <c r="V96" s="37">
        <v>93</v>
      </c>
      <c r="W96" s="47">
        <f t="shared" si="68"/>
        <v>93</v>
      </c>
      <c r="X96" s="47">
        <v>92</v>
      </c>
      <c r="Y96" s="47">
        <f t="shared" si="71"/>
        <v>92</v>
      </c>
      <c r="Z96" s="47">
        <f t="shared" si="74"/>
        <v>92</v>
      </c>
      <c r="AA96" s="47">
        <f t="shared" si="79"/>
        <v>91</v>
      </c>
      <c r="AB96" s="133"/>
      <c r="AC96" s="37">
        <f t="shared" si="69"/>
        <v>92</v>
      </c>
      <c r="AD96" s="47">
        <f t="shared" si="54"/>
        <v>91</v>
      </c>
      <c r="AE96" s="47">
        <f t="shared" si="81"/>
        <v>91</v>
      </c>
      <c r="AF96" s="47">
        <f t="shared" si="78"/>
        <v>90</v>
      </c>
      <c r="AG96" s="47">
        <f t="shared" si="76"/>
        <v>90</v>
      </c>
      <c r="AH96" s="47">
        <f t="shared" si="72"/>
        <v>90</v>
      </c>
      <c r="AI96" s="134"/>
      <c r="AJ96" s="94"/>
      <c r="AK96" s="95"/>
      <c r="AL96" s="95"/>
      <c r="AM96" s="95"/>
      <c r="AN96" s="95"/>
      <c r="AO96" s="95"/>
      <c r="AP96" s="141"/>
      <c r="AQ96" s="95"/>
      <c r="AR96" s="95"/>
      <c r="AS96" s="95"/>
      <c r="AT96" s="95"/>
      <c r="AU96" s="95"/>
      <c r="AV96" s="95"/>
      <c r="AW96" s="95"/>
      <c r="AX96" s="106"/>
      <c r="AY96" s="107"/>
      <c r="AZ96" s="107"/>
      <c r="BA96" s="107"/>
      <c r="BB96" s="107"/>
      <c r="BC96" s="107"/>
      <c r="BD96" s="108"/>
      <c r="BE96" s="107"/>
      <c r="BF96" s="107"/>
      <c r="BG96" s="107"/>
      <c r="BH96" s="107"/>
      <c r="BI96" s="107"/>
      <c r="BJ96" s="107"/>
      <c r="BK96" s="108"/>
      <c r="BL96" s="88"/>
      <c r="BM96" s="89"/>
      <c r="BN96" s="89"/>
      <c r="BO96" s="89"/>
      <c r="BP96" s="89"/>
      <c r="BQ96" s="89"/>
      <c r="BR96" s="90"/>
      <c r="BS96" s="89"/>
      <c r="BT96" s="89"/>
      <c r="BU96" s="89"/>
      <c r="BV96" s="89"/>
      <c r="BW96" s="89"/>
      <c r="BX96" s="89"/>
      <c r="BY96" s="89"/>
      <c r="BZ96" s="100"/>
      <c r="CA96" s="101"/>
      <c r="CB96" s="101"/>
      <c r="CC96" s="101"/>
      <c r="CD96" s="101"/>
      <c r="CE96" s="101"/>
      <c r="CF96" s="101"/>
      <c r="CG96" s="100"/>
      <c r="CH96" s="101"/>
      <c r="CI96" s="101"/>
      <c r="CJ96" s="101"/>
      <c r="CK96" s="101"/>
      <c r="CL96" s="101"/>
      <c r="CM96" s="102"/>
      <c r="CN96" s="84">
        <v>30</v>
      </c>
    </row>
    <row r="97" spans="7:92">
      <c r="G97" s="84">
        <v>93</v>
      </c>
      <c r="H97" s="30">
        <v>100</v>
      </c>
      <c r="I97" s="31">
        <f t="shared" ref="I97:I100" si="85">I95+1</f>
        <v>98</v>
      </c>
      <c r="J97" s="31">
        <f t="shared" si="67"/>
        <v>97</v>
      </c>
      <c r="K97" s="31">
        <f t="shared" si="83"/>
        <v>96</v>
      </c>
      <c r="L97" s="31">
        <f t="shared" si="59"/>
        <v>96</v>
      </c>
      <c r="M97" s="31">
        <f t="shared" si="80"/>
        <v>96</v>
      </c>
      <c r="N97" s="32">
        <f t="shared" si="56"/>
        <v>95</v>
      </c>
      <c r="O97" s="31">
        <v>98</v>
      </c>
      <c r="P97" s="31">
        <f t="shared" si="77"/>
        <v>96</v>
      </c>
      <c r="Q97" s="31">
        <f t="shared" si="75"/>
        <v>95</v>
      </c>
      <c r="R97" s="31">
        <f t="shared" si="73"/>
        <v>95</v>
      </c>
      <c r="S97" s="31">
        <f t="shared" si="73"/>
        <v>96</v>
      </c>
      <c r="T97" s="31">
        <f t="shared" si="84"/>
        <v>97</v>
      </c>
      <c r="U97" s="31">
        <f t="shared" si="70"/>
        <v>98</v>
      </c>
      <c r="V97" s="37">
        <v>94</v>
      </c>
      <c r="W97" s="47">
        <f t="shared" si="68"/>
        <v>93</v>
      </c>
      <c r="X97" s="47">
        <f t="shared" si="68"/>
        <v>93</v>
      </c>
      <c r="Y97" s="47">
        <f t="shared" si="71"/>
        <v>93</v>
      </c>
      <c r="Z97" s="47">
        <f t="shared" si="74"/>
        <v>92</v>
      </c>
      <c r="AA97" s="47">
        <f t="shared" si="79"/>
        <v>91</v>
      </c>
      <c r="AB97" s="133"/>
      <c r="AC97" s="37">
        <f t="shared" si="69"/>
        <v>92</v>
      </c>
      <c r="AD97" s="47">
        <v>91</v>
      </c>
      <c r="AE97" s="47">
        <f t="shared" si="81"/>
        <v>91</v>
      </c>
      <c r="AF97" s="47">
        <f t="shared" si="78"/>
        <v>91</v>
      </c>
      <c r="AG97" s="47">
        <f t="shared" si="76"/>
        <v>91</v>
      </c>
      <c r="AH97" s="47">
        <f t="shared" si="72"/>
        <v>91</v>
      </c>
      <c r="AI97" s="134"/>
      <c r="AJ97" s="94"/>
      <c r="AK97" s="95"/>
      <c r="AL97" s="95"/>
      <c r="AM97" s="95"/>
      <c r="AN97" s="95"/>
      <c r="AO97" s="95"/>
      <c r="AP97" s="141"/>
      <c r="AQ97" s="95"/>
      <c r="AR97" s="95"/>
      <c r="AS97" s="95"/>
      <c r="AT97" s="95"/>
      <c r="AU97" s="95"/>
      <c r="AV97" s="95"/>
      <c r="AW97" s="95"/>
      <c r="AX97" s="106"/>
      <c r="AY97" s="107"/>
      <c r="AZ97" s="107"/>
      <c r="BA97" s="107"/>
      <c r="BB97" s="107"/>
      <c r="BC97" s="107"/>
      <c r="BD97" s="108"/>
      <c r="BE97" s="107"/>
      <c r="BF97" s="107"/>
      <c r="BG97" s="107"/>
      <c r="BH97" s="107"/>
      <c r="BI97" s="107"/>
      <c r="BJ97" s="107"/>
      <c r="BK97" s="108"/>
      <c r="BL97" s="88"/>
      <c r="BM97" s="89"/>
      <c r="BN97" s="89"/>
      <c r="BO97" s="89"/>
      <c r="BP97" s="89"/>
      <c r="BQ97" s="89"/>
      <c r="BR97" s="90"/>
      <c r="BS97" s="89"/>
      <c r="BT97" s="89"/>
      <c r="BU97" s="89"/>
      <c r="BV97" s="89"/>
      <c r="BW97" s="89"/>
      <c r="BX97" s="89"/>
      <c r="BY97" s="89"/>
      <c r="BZ97" s="100"/>
      <c r="CA97" s="101"/>
      <c r="CB97" s="101"/>
      <c r="CC97" s="101"/>
      <c r="CD97" s="101"/>
      <c r="CE97" s="101"/>
      <c r="CF97" s="101"/>
      <c r="CG97" s="100"/>
      <c r="CH97" s="101"/>
      <c r="CI97" s="101"/>
      <c r="CJ97" s="101"/>
      <c r="CK97" s="101"/>
      <c r="CL97" s="101"/>
      <c r="CM97" s="102"/>
      <c r="CN97" s="84">
        <v>32</v>
      </c>
    </row>
    <row r="98" spans="7:92">
      <c r="G98" s="84">
        <v>94</v>
      </c>
      <c r="H98" s="30">
        <v>101</v>
      </c>
      <c r="I98" s="31">
        <f t="shared" si="85"/>
        <v>99</v>
      </c>
      <c r="J98" s="31">
        <f t="shared" si="67"/>
        <v>98</v>
      </c>
      <c r="K98" s="31">
        <f t="shared" si="83"/>
        <v>97</v>
      </c>
      <c r="L98" s="31">
        <f t="shared" si="59"/>
        <v>96</v>
      </c>
      <c r="M98" s="31">
        <f t="shared" si="80"/>
        <v>96</v>
      </c>
      <c r="N98" s="32">
        <f t="shared" si="56"/>
        <v>96</v>
      </c>
      <c r="O98" s="31">
        <f t="shared" si="82"/>
        <v>98</v>
      </c>
      <c r="P98" s="31">
        <v>97</v>
      </c>
      <c r="Q98" s="31">
        <f t="shared" si="75"/>
        <v>96</v>
      </c>
      <c r="R98" s="31">
        <f t="shared" si="73"/>
        <v>96</v>
      </c>
      <c r="S98" s="31">
        <f t="shared" si="73"/>
        <v>96</v>
      </c>
      <c r="T98" s="31">
        <f t="shared" si="84"/>
        <v>97</v>
      </c>
      <c r="U98" s="31">
        <f t="shared" si="70"/>
        <v>99</v>
      </c>
      <c r="V98" s="37">
        <v>94</v>
      </c>
      <c r="W98" s="47">
        <f t="shared" si="68"/>
        <v>94</v>
      </c>
      <c r="X98" s="47">
        <f t="shared" si="68"/>
        <v>93</v>
      </c>
      <c r="Y98" s="47">
        <f t="shared" si="71"/>
        <v>93</v>
      </c>
      <c r="Z98" s="47">
        <v>92</v>
      </c>
      <c r="AA98" s="47">
        <f t="shared" si="79"/>
        <v>92</v>
      </c>
      <c r="AB98" s="133"/>
      <c r="AC98" s="37">
        <f t="shared" si="69"/>
        <v>93</v>
      </c>
      <c r="AD98" s="47">
        <f t="shared" si="69"/>
        <v>92</v>
      </c>
      <c r="AE98" s="47">
        <v>91</v>
      </c>
      <c r="AF98" s="47">
        <f t="shared" si="78"/>
        <v>91</v>
      </c>
      <c r="AG98" s="47">
        <f t="shared" si="76"/>
        <v>91</v>
      </c>
      <c r="AH98" s="47">
        <f t="shared" si="72"/>
        <v>91</v>
      </c>
      <c r="AI98" s="134"/>
      <c r="AJ98" s="94"/>
      <c r="AK98" s="95"/>
      <c r="AL98" s="95"/>
      <c r="AM98" s="95"/>
      <c r="AN98" s="95"/>
      <c r="AO98" s="95"/>
      <c r="AP98" s="141"/>
      <c r="AQ98" s="95"/>
      <c r="AR98" s="95"/>
      <c r="AS98" s="95"/>
      <c r="AT98" s="95"/>
      <c r="AU98" s="95"/>
      <c r="AV98" s="95"/>
      <c r="AW98" s="95"/>
      <c r="AX98" s="106"/>
      <c r="AY98" s="107"/>
      <c r="AZ98" s="107"/>
      <c r="BA98" s="107"/>
      <c r="BB98" s="107"/>
      <c r="BC98" s="107"/>
      <c r="BD98" s="108"/>
      <c r="BE98" s="107"/>
      <c r="BF98" s="107"/>
      <c r="BG98" s="107"/>
      <c r="BH98" s="107"/>
      <c r="BI98" s="107"/>
      <c r="BJ98" s="107"/>
      <c r="BK98" s="108"/>
      <c r="BL98" s="88"/>
      <c r="BM98" s="89"/>
      <c r="BN98" s="89"/>
      <c r="BO98" s="89"/>
      <c r="BP98" s="89"/>
      <c r="BQ98" s="89"/>
      <c r="BR98" s="90"/>
      <c r="BS98" s="89"/>
      <c r="BT98" s="89"/>
      <c r="BU98" s="89"/>
      <c r="BV98" s="89"/>
      <c r="BW98" s="89"/>
      <c r="BX98" s="89"/>
      <c r="BY98" s="89"/>
      <c r="BZ98" s="100"/>
      <c r="CA98" s="101"/>
      <c r="CB98" s="101"/>
      <c r="CC98" s="101"/>
      <c r="CD98" s="101"/>
      <c r="CE98" s="101"/>
      <c r="CF98" s="101"/>
      <c r="CG98" s="100"/>
      <c r="CH98" s="101"/>
      <c r="CI98" s="101"/>
      <c r="CJ98" s="101"/>
      <c r="CK98" s="101"/>
      <c r="CL98" s="101"/>
      <c r="CM98" s="102"/>
      <c r="CN98" s="84">
        <v>34</v>
      </c>
    </row>
    <row r="99" spans="7:92">
      <c r="G99" s="84">
        <v>95</v>
      </c>
      <c r="H99" s="30">
        <v>102</v>
      </c>
      <c r="I99" s="31">
        <f t="shared" si="85"/>
        <v>99</v>
      </c>
      <c r="J99" s="31">
        <f t="shared" si="67"/>
        <v>98</v>
      </c>
      <c r="K99" s="31">
        <f t="shared" si="83"/>
        <v>97</v>
      </c>
      <c r="L99" s="31">
        <f t="shared" si="59"/>
        <v>97</v>
      </c>
      <c r="M99" s="31">
        <f t="shared" si="80"/>
        <v>97</v>
      </c>
      <c r="N99" s="32">
        <f t="shared" si="56"/>
        <v>96</v>
      </c>
      <c r="O99" s="31">
        <f t="shared" si="82"/>
        <v>99</v>
      </c>
      <c r="P99" s="31">
        <f t="shared" si="77"/>
        <v>97</v>
      </c>
      <c r="Q99" s="31">
        <f t="shared" si="75"/>
        <v>96</v>
      </c>
      <c r="R99" s="31">
        <f t="shared" si="73"/>
        <v>96</v>
      </c>
      <c r="S99" s="31">
        <f t="shared" si="73"/>
        <v>97</v>
      </c>
      <c r="T99" s="31">
        <f t="shared" si="84"/>
        <v>98</v>
      </c>
      <c r="U99" s="31">
        <f t="shared" si="70"/>
        <v>99</v>
      </c>
      <c r="V99" s="37">
        <v>95</v>
      </c>
      <c r="W99" s="47">
        <f t="shared" si="68"/>
        <v>94</v>
      </c>
      <c r="X99" s="47">
        <f t="shared" si="68"/>
        <v>94</v>
      </c>
      <c r="Y99" s="47">
        <v>93</v>
      </c>
      <c r="Z99" s="47">
        <f t="shared" si="74"/>
        <v>93</v>
      </c>
      <c r="AA99" s="47">
        <f t="shared" si="79"/>
        <v>92</v>
      </c>
      <c r="AB99" s="133"/>
      <c r="AC99" s="37">
        <f t="shared" si="69"/>
        <v>93</v>
      </c>
      <c r="AD99" s="47">
        <f t="shared" si="69"/>
        <v>92</v>
      </c>
      <c r="AE99" s="47">
        <f t="shared" si="81"/>
        <v>92</v>
      </c>
      <c r="AF99" s="47">
        <f t="shared" si="78"/>
        <v>92</v>
      </c>
      <c r="AG99" s="47">
        <f t="shared" si="76"/>
        <v>92</v>
      </c>
      <c r="AH99" s="47">
        <f t="shared" si="72"/>
        <v>92</v>
      </c>
      <c r="AI99" s="134"/>
      <c r="AJ99" s="94"/>
      <c r="AK99" s="95"/>
      <c r="AL99" s="95"/>
      <c r="AM99" s="95"/>
      <c r="AN99" s="95"/>
      <c r="AO99" s="95"/>
      <c r="AP99" s="141"/>
      <c r="AQ99" s="95"/>
      <c r="AR99" s="95"/>
      <c r="AS99" s="95"/>
      <c r="AT99" s="95"/>
      <c r="AU99" s="95"/>
      <c r="AV99" s="95"/>
      <c r="AW99" s="95"/>
      <c r="AX99" s="106"/>
      <c r="AY99" s="107"/>
      <c r="AZ99" s="107"/>
      <c r="BA99" s="107"/>
      <c r="BB99" s="107"/>
      <c r="BC99" s="107"/>
      <c r="BD99" s="108"/>
      <c r="BE99" s="107"/>
      <c r="BF99" s="107"/>
      <c r="BG99" s="107"/>
      <c r="BH99" s="107"/>
      <c r="BI99" s="107"/>
      <c r="BJ99" s="107"/>
      <c r="BK99" s="108"/>
      <c r="BL99" s="88"/>
      <c r="BM99" s="89"/>
      <c r="BN99" s="89"/>
      <c r="BO99" s="89"/>
      <c r="BP99" s="89"/>
      <c r="BQ99" s="89"/>
      <c r="BR99" s="90"/>
      <c r="BS99" s="89"/>
      <c r="BT99" s="89"/>
      <c r="BU99" s="89"/>
      <c r="BV99" s="89"/>
      <c r="BW99" s="89"/>
      <c r="BX99" s="89"/>
      <c r="BY99" s="89"/>
      <c r="BZ99" s="100"/>
      <c r="CA99" s="101"/>
      <c r="CB99" s="101"/>
      <c r="CC99" s="101"/>
      <c r="CD99" s="101"/>
      <c r="CE99" s="101"/>
      <c r="CF99" s="101"/>
      <c r="CG99" s="100"/>
      <c r="CH99" s="101"/>
      <c r="CI99" s="101"/>
      <c r="CJ99" s="101"/>
      <c r="CK99" s="101"/>
      <c r="CL99" s="101"/>
      <c r="CM99" s="102"/>
      <c r="CN99" s="84">
        <v>37</v>
      </c>
    </row>
    <row r="100" spans="7:92">
      <c r="G100" s="84">
        <v>96</v>
      </c>
      <c r="H100" s="30">
        <v>103</v>
      </c>
      <c r="I100" s="31">
        <f t="shared" si="85"/>
        <v>100</v>
      </c>
      <c r="J100" s="31">
        <f t="shared" si="67"/>
        <v>99</v>
      </c>
      <c r="K100" s="31">
        <f t="shared" si="83"/>
        <v>98</v>
      </c>
      <c r="L100" s="31">
        <f t="shared" si="59"/>
        <v>97</v>
      </c>
      <c r="M100" s="31">
        <f t="shared" si="80"/>
        <v>97</v>
      </c>
      <c r="N100" s="32">
        <f t="shared" si="56"/>
        <v>97</v>
      </c>
      <c r="O100" s="31">
        <f t="shared" si="82"/>
        <v>99</v>
      </c>
      <c r="P100" s="31">
        <f t="shared" si="77"/>
        <v>98</v>
      </c>
      <c r="Q100" s="31">
        <f t="shared" si="75"/>
        <v>97</v>
      </c>
      <c r="R100" s="31">
        <f t="shared" si="73"/>
        <v>97</v>
      </c>
      <c r="S100" s="31">
        <f t="shared" si="73"/>
        <v>97</v>
      </c>
      <c r="T100" s="31">
        <f t="shared" si="84"/>
        <v>98</v>
      </c>
      <c r="U100" s="31">
        <v>99</v>
      </c>
      <c r="V100" s="37">
        <v>96</v>
      </c>
      <c r="W100" s="47">
        <f t="shared" si="68"/>
        <v>95</v>
      </c>
      <c r="X100" s="47">
        <f t="shared" si="68"/>
        <v>94</v>
      </c>
      <c r="Y100" s="47">
        <f t="shared" si="71"/>
        <v>94</v>
      </c>
      <c r="Z100" s="47">
        <f t="shared" si="74"/>
        <v>93</v>
      </c>
      <c r="AA100" s="47">
        <f t="shared" si="79"/>
        <v>93</v>
      </c>
      <c r="AB100" s="133"/>
      <c r="AC100" s="37">
        <f t="shared" si="69"/>
        <v>94</v>
      </c>
      <c r="AD100" s="47">
        <f t="shared" si="69"/>
        <v>93</v>
      </c>
      <c r="AE100" s="47">
        <f t="shared" si="81"/>
        <v>92</v>
      </c>
      <c r="AF100" s="47">
        <f t="shared" si="78"/>
        <v>92</v>
      </c>
      <c r="AG100" s="47">
        <f t="shared" si="76"/>
        <v>92</v>
      </c>
      <c r="AH100" s="47">
        <f t="shared" si="72"/>
        <v>92</v>
      </c>
      <c r="AI100" s="134"/>
      <c r="AJ100" s="94"/>
      <c r="AK100" s="95"/>
      <c r="AL100" s="95"/>
      <c r="AM100" s="95"/>
      <c r="AN100" s="95"/>
      <c r="AO100" s="95"/>
      <c r="AP100" s="141"/>
      <c r="AQ100" s="95"/>
      <c r="AR100" s="95"/>
      <c r="AS100" s="95"/>
      <c r="AT100" s="95"/>
      <c r="AU100" s="95"/>
      <c r="AV100" s="95"/>
      <c r="AW100" s="95"/>
      <c r="AX100" s="106"/>
      <c r="AY100" s="107"/>
      <c r="AZ100" s="107"/>
      <c r="BA100" s="107"/>
      <c r="BB100" s="107"/>
      <c r="BC100" s="107"/>
      <c r="BD100" s="108"/>
      <c r="BE100" s="107"/>
      <c r="BF100" s="107"/>
      <c r="BG100" s="107"/>
      <c r="BH100" s="107"/>
      <c r="BI100" s="107"/>
      <c r="BJ100" s="107"/>
      <c r="BK100" s="108"/>
      <c r="BL100" s="88"/>
      <c r="BM100" s="89"/>
      <c r="BN100" s="89"/>
      <c r="BO100" s="89"/>
      <c r="BP100" s="89"/>
      <c r="BQ100" s="89"/>
      <c r="BR100" s="90"/>
      <c r="BS100" s="89"/>
      <c r="BT100" s="89"/>
      <c r="BU100" s="89"/>
      <c r="BV100" s="89"/>
      <c r="BW100" s="89"/>
      <c r="BX100" s="89"/>
      <c r="BY100" s="89"/>
      <c r="BZ100" s="100"/>
      <c r="CA100" s="101"/>
      <c r="CB100" s="101"/>
      <c r="CC100" s="101"/>
      <c r="CD100" s="101"/>
      <c r="CE100" s="101"/>
      <c r="CF100" s="101"/>
      <c r="CG100" s="100"/>
      <c r="CH100" s="101"/>
      <c r="CI100" s="101"/>
      <c r="CJ100" s="101"/>
      <c r="CK100" s="101"/>
      <c r="CL100" s="101"/>
      <c r="CM100" s="102"/>
      <c r="CN100" s="84">
        <v>39</v>
      </c>
    </row>
    <row r="101" spans="7:92">
      <c r="G101" s="84">
        <v>97</v>
      </c>
      <c r="H101" s="30">
        <v>104</v>
      </c>
      <c r="I101" s="31">
        <v>101</v>
      </c>
      <c r="J101" s="31">
        <f t="shared" si="67"/>
        <v>99</v>
      </c>
      <c r="K101" s="31">
        <f t="shared" si="83"/>
        <v>98</v>
      </c>
      <c r="L101" s="31">
        <f t="shared" si="59"/>
        <v>98</v>
      </c>
      <c r="M101" s="31">
        <f t="shared" si="80"/>
        <v>98</v>
      </c>
      <c r="N101" s="32">
        <f t="shared" si="56"/>
        <v>97</v>
      </c>
      <c r="O101" s="31">
        <v>100</v>
      </c>
      <c r="P101" s="31">
        <f t="shared" si="77"/>
        <v>98</v>
      </c>
      <c r="Q101" s="31">
        <f t="shared" si="75"/>
        <v>97</v>
      </c>
      <c r="R101" s="31">
        <f t="shared" si="73"/>
        <v>97</v>
      </c>
      <c r="S101" s="31">
        <f t="shared" si="73"/>
        <v>98</v>
      </c>
      <c r="T101" s="31">
        <f t="shared" si="84"/>
        <v>99</v>
      </c>
      <c r="U101" s="31">
        <f t="shared" si="70"/>
        <v>100</v>
      </c>
      <c r="V101" s="37">
        <v>96</v>
      </c>
      <c r="W101" s="47">
        <f t="shared" si="68"/>
        <v>95</v>
      </c>
      <c r="X101" s="47">
        <f t="shared" si="68"/>
        <v>95</v>
      </c>
      <c r="Y101" s="47">
        <f t="shared" si="71"/>
        <v>94</v>
      </c>
      <c r="Z101" s="47">
        <f t="shared" si="74"/>
        <v>94</v>
      </c>
      <c r="AA101" s="47">
        <f t="shared" si="79"/>
        <v>93</v>
      </c>
      <c r="AB101" s="133"/>
      <c r="AC101" s="37">
        <f t="shared" si="69"/>
        <v>94</v>
      </c>
      <c r="AD101" s="47">
        <f t="shared" si="69"/>
        <v>93</v>
      </c>
      <c r="AE101" s="47">
        <f t="shared" si="81"/>
        <v>93</v>
      </c>
      <c r="AF101" s="47">
        <v>92</v>
      </c>
      <c r="AG101" s="47">
        <f t="shared" si="76"/>
        <v>93</v>
      </c>
      <c r="AH101" s="47">
        <f t="shared" si="72"/>
        <v>93</v>
      </c>
      <c r="AI101" s="134"/>
      <c r="AJ101" s="94"/>
      <c r="AK101" s="95"/>
      <c r="AL101" s="95"/>
      <c r="AM101" s="95"/>
      <c r="AN101" s="95"/>
      <c r="AO101" s="95"/>
      <c r="AP101" s="141"/>
      <c r="AQ101" s="95"/>
      <c r="AR101" s="95"/>
      <c r="AS101" s="95"/>
      <c r="AT101" s="95"/>
      <c r="AU101" s="95"/>
      <c r="AV101" s="95"/>
      <c r="AW101" s="95"/>
      <c r="AX101" s="106"/>
      <c r="AY101" s="107"/>
      <c r="AZ101" s="107"/>
      <c r="BA101" s="107"/>
      <c r="BB101" s="107"/>
      <c r="BC101" s="107"/>
      <c r="BD101" s="108"/>
      <c r="BE101" s="107"/>
      <c r="BF101" s="107"/>
      <c r="BG101" s="107"/>
      <c r="BH101" s="107"/>
      <c r="BI101" s="107"/>
      <c r="BJ101" s="107"/>
      <c r="BK101" s="108"/>
      <c r="BL101" s="88"/>
      <c r="BM101" s="89"/>
      <c r="BN101" s="89"/>
      <c r="BO101" s="89"/>
      <c r="BP101" s="89"/>
      <c r="BQ101" s="89"/>
      <c r="BR101" s="90"/>
      <c r="BS101" s="89"/>
      <c r="BT101" s="89"/>
      <c r="BU101" s="89"/>
      <c r="BV101" s="89"/>
      <c r="BW101" s="89"/>
      <c r="BX101" s="89"/>
      <c r="BY101" s="89"/>
      <c r="BZ101" s="100"/>
      <c r="CA101" s="101"/>
      <c r="CB101" s="101"/>
      <c r="CC101" s="101"/>
      <c r="CD101" s="101"/>
      <c r="CE101" s="101"/>
      <c r="CF101" s="101"/>
      <c r="CG101" s="100"/>
      <c r="CH101" s="101"/>
      <c r="CI101" s="101"/>
      <c r="CJ101" s="101"/>
      <c r="CK101" s="101"/>
      <c r="CL101" s="101"/>
      <c r="CM101" s="102"/>
      <c r="CN101" s="84">
        <v>42</v>
      </c>
    </row>
    <row r="102" spans="7:92">
      <c r="G102" s="84">
        <v>98</v>
      </c>
      <c r="H102" s="30">
        <v>105</v>
      </c>
      <c r="I102" s="31">
        <f>I101+1</f>
        <v>102</v>
      </c>
      <c r="J102" s="31">
        <f t="shared" si="67"/>
        <v>100</v>
      </c>
      <c r="K102" s="31">
        <f t="shared" si="83"/>
        <v>99</v>
      </c>
      <c r="L102" s="31">
        <f t="shared" si="59"/>
        <v>98</v>
      </c>
      <c r="M102" s="31">
        <f t="shared" si="80"/>
        <v>98</v>
      </c>
      <c r="N102" s="32">
        <f t="shared" si="56"/>
        <v>98</v>
      </c>
      <c r="O102" s="31">
        <f>O101+1</f>
        <v>101</v>
      </c>
      <c r="P102" s="31">
        <f t="shared" si="77"/>
        <v>99</v>
      </c>
      <c r="Q102" s="31">
        <f t="shared" si="75"/>
        <v>98</v>
      </c>
      <c r="R102" s="31">
        <f t="shared" si="73"/>
        <v>98</v>
      </c>
      <c r="S102" s="31">
        <f t="shared" si="73"/>
        <v>98</v>
      </c>
      <c r="T102" s="31">
        <f t="shared" si="84"/>
        <v>99</v>
      </c>
      <c r="U102" s="31">
        <f t="shared" si="70"/>
        <v>100</v>
      </c>
      <c r="V102" s="37">
        <v>97</v>
      </c>
      <c r="W102" s="47">
        <f t="shared" si="68"/>
        <v>96</v>
      </c>
      <c r="X102" s="47">
        <f t="shared" si="68"/>
        <v>95</v>
      </c>
      <c r="Y102" s="47">
        <f t="shared" si="71"/>
        <v>95</v>
      </c>
      <c r="Z102" s="47">
        <f t="shared" si="74"/>
        <v>94</v>
      </c>
      <c r="AA102" s="47">
        <f t="shared" si="79"/>
        <v>94</v>
      </c>
      <c r="AB102" s="133"/>
      <c r="AC102" s="37">
        <f t="shared" si="69"/>
        <v>95</v>
      </c>
      <c r="AD102" s="47">
        <f t="shared" si="69"/>
        <v>94</v>
      </c>
      <c r="AE102" s="47">
        <f t="shared" si="81"/>
        <v>93</v>
      </c>
      <c r="AF102" s="47">
        <f t="shared" si="78"/>
        <v>93</v>
      </c>
      <c r="AG102" s="47">
        <f t="shared" si="76"/>
        <v>93</v>
      </c>
      <c r="AH102" s="47">
        <f t="shared" si="72"/>
        <v>93</v>
      </c>
      <c r="AI102" s="134"/>
      <c r="AJ102" s="94"/>
      <c r="AK102" s="95"/>
      <c r="AL102" s="95"/>
      <c r="AM102" s="95"/>
      <c r="AN102" s="95"/>
      <c r="AO102" s="95"/>
      <c r="AP102" s="141"/>
      <c r="AQ102" s="95"/>
      <c r="AR102" s="95"/>
      <c r="AS102" s="95"/>
      <c r="AT102" s="95"/>
      <c r="AU102" s="95"/>
      <c r="AV102" s="95"/>
      <c r="AW102" s="95"/>
      <c r="AX102" s="106"/>
      <c r="AY102" s="107"/>
      <c r="AZ102" s="107"/>
      <c r="BA102" s="107"/>
      <c r="BB102" s="107"/>
      <c r="BC102" s="107"/>
      <c r="BD102" s="108"/>
      <c r="BE102" s="107"/>
      <c r="BF102" s="107"/>
      <c r="BG102" s="107"/>
      <c r="BH102" s="107"/>
      <c r="BI102" s="107"/>
      <c r="BJ102" s="107"/>
      <c r="BK102" s="108"/>
      <c r="BL102" s="88"/>
      <c r="BM102" s="89"/>
      <c r="BN102" s="89"/>
      <c r="BO102" s="89"/>
      <c r="BP102" s="89"/>
      <c r="BQ102" s="89"/>
      <c r="BR102" s="90"/>
      <c r="BS102" s="89"/>
      <c r="BT102" s="89"/>
      <c r="BU102" s="89"/>
      <c r="BV102" s="89"/>
      <c r="BW102" s="89"/>
      <c r="BX102" s="89"/>
      <c r="BY102" s="89"/>
      <c r="BZ102" s="100"/>
      <c r="CA102" s="101"/>
      <c r="CB102" s="101"/>
      <c r="CC102" s="101"/>
      <c r="CD102" s="101"/>
      <c r="CE102" s="101"/>
      <c r="CF102" s="101"/>
      <c r="CG102" s="100"/>
      <c r="CH102" s="101"/>
      <c r="CI102" s="101"/>
      <c r="CJ102" s="101"/>
      <c r="CK102" s="101"/>
      <c r="CL102" s="101"/>
      <c r="CM102" s="102"/>
      <c r="CN102" s="84">
        <v>45</v>
      </c>
    </row>
    <row r="103" spans="7:92">
      <c r="G103" s="84">
        <v>99</v>
      </c>
      <c r="H103" s="30">
        <v>106</v>
      </c>
      <c r="I103" s="31">
        <f t="shared" ref="I103:I121" si="86">I102+1</f>
        <v>103</v>
      </c>
      <c r="J103" s="31">
        <v>101</v>
      </c>
      <c r="K103" s="31">
        <f t="shared" si="83"/>
        <v>99</v>
      </c>
      <c r="L103" s="31">
        <f t="shared" si="59"/>
        <v>99</v>
      </c>
      <c r="M103" s="31">
        <f t="shared" si="80"/>
        <v>99</v>
      </c>
      <c r="N103" s="32">
        <f t="shared" si="56"/>
        <v>98</v>
      </c>
      <c r="O103" s="31">
        <f t="shared" ref="O103:O116" si="87">O102+1</f>
        <v>102</v>
      </c>
      <c r="P103" s="31">
        <f t="shared" si="77"/>
        <v>99</v>
      </c>
      <c r="Q103" s="31">
        <v>99</v>
      </c>
      <c r="R103" s="31">
        <f t="shared" si="73"/>
        <v>98</v>
      </c>
      <c r="S103" s="31">
        <f t="shared" si="73"/>
        <v>99</v>
      </c>
      <c r="T103" s="31">
        <v>99</v>
      </c>
      <c r="U103" s="31">
        <v>101</v>
      </c>
      <c r="V103" s="37">
        <v>97</v>
      </c>
      <c r="W103" s="47">
        <f t="shared" si="68"/>
        <v>96</v>
      </c>
      <c r="X103" s="47">
        <f t="shared" si="68"/>
        <v>96</v>
      </c>
      <c r="Y103" s="47">
        <f t="shared" si="71"/>
        <v>95</v>
      </c>
      <c r="Z103" s="47">
        <f t="shared" si="74"/>
        <v>95</v>
      </c>
      <c r="AA103" s="47">
        <f t="shared" si="79"/>
        <v>94</v>
      </c>
      <c r="AB103" s="133"/>
      <c r="AC103" s="37">
        <f t="shared" si="69"/>
        <v>95</v>
      </c>
      <c r="AD103" s="47">
        <f t="shared" si="69"/>
        <v>94</v>
      </c>
      <c r="AE103" s="47">
        <f t="shared" si="81"/>
        <v>94</v>
      </c>
      <c r="AF103" s="47">
        <f t="shared" si="78"/>
        <v>93</v>
      </c>
      <c r="AG103" s="47">
        <v>93</v>
      </c>
      <c r="AH103" s="47">
        <f t="shared" si="72"/>
        <v>94</v>
      </c>
      <c r="AI103" s="134"/>
      <c r="AJ103" s="94"/>
      <c r="AK103" s="95"/>
      <c r="AL103" s="95"/>
      <c r="AM103" s="95"/>
      <c r="AN103" s="95"/>
      <c r="AO103" s="95"/>
      <c r="AP103" s="141"/>
      <c r="AQ103" s="95"/>
      <c r="AR103" s="95"/>
      <c r="AS103" s="95"/>
      <c r="AT103" s="95"/>
      <c r="AU103" s="95"/>
      <c r="AV103" s="95"/>
      <c r="AW103" s="95"/>
      <c r="AX103" s="106"/>
      <c r="AY103" s="107"/>
      <c r="AZ103" s="107"/>
      <c r="BA103" s="107"/>
      <c r="BB103" s="107"/>
      <c r="BC103" s="107"/>
      <c r="BD103" s="108"/>
      <c r="BE103" s="107"/>
      <c r="BF103" s="107"/>
      <c r="BG103" s="107"/>
      <c r="BH103" s="107"/>
      <c r="BI103" s="107"/>
      <c r="BJ103" s="107"/>
      <c r="BK103" s="108"/>
      <c r="BL103" s="88"/>
      <c r="BM103" s="89"/>
      <c r="BN103" s="89"/>
      <c r="BO103" s="89"/>
      <c r="BP103" s="89"/>
      <c r="BQ103" s="89"/>
      <c r="BR103" s="90"/>
      <c r="BS103" s="89"/>
      <c r="BT103" s="89"/>
      <c r="BU103" s="89"/>
      <c r="BV103" s="89"/>
      <c r="BW103" s="89"/>
      <c r="BX103" s="89"/>
      <c r="BY103" s="89"/>
      <c r="BZ103" s="100"/>
      <c r="CA103" s="101"/>
      <c r="CB103" s="101"/>
      <c r="CC103" s="101"/>
      <c r="CD103" s="101"/>
      <c r="CE103" s="101"/>
      <c r="CF103" s="101"/>
      <c r="CG103" s="100"/>
      <c r="CH103" s="101"/>
      <c r="CI103" s="101"/>
      <c r="CJ103" s="101"/>
      <c r="CK103" s="101"/>
      <c r="CL103" s="101"/>
      <c r="CM103" s="102"/>
      <c r="CN103" s="84">
        <v>47</v>
      </c>
    </row>
    <row r="104" spans="7:92">
      <c r="G104" s="84">
        <v>100</v>
      </c>
      <c r="H104" s="30">
        <v>107</v>
      </c>
      <c r="I104" s="31">
        <f t="shared" si="86"/>
        <v>104</v>
      </c>
      <c r="J104" s="31">
        <f t="shared" si="67"/>
        <v>101</v>
      </c>
      <c r="K104" s="31">
        <f t="shared" si="83"/>
        <v>100</v>
      </c>
      <c r="L104" s="31">
        <f t="shared" si="59"/>
        <v>99</v>
      </c>
      <c r="M104" s="31">
        <f t="shared" si="80"/>
        <v>99</v>
      </c>
      <c r="N104" s="32">
        <f t="shared" si="56"/>
        <v>99</v>
      </c>
      <c r="O104" s="31">
        <f t="shared" si="87"/>
        <v>103</v>
      </c>
      <c r="P104" s="31">
        <f t="shared" si="77"/>
        <v>100</v>
      </c>
      <c r="Q104" s="31">
        <f t="shared" si="75"/>
        <v>99</v>
      </c>
      <c r="R104" s="31">
        <f t="shared" si="73"/>
        <v>99</v>
      </c>
      <c r="S104" s="31">
        <f t="shared" si="73"/>
        <v>99</v>
      </c>
      <c r="T104" s="31">
        <f t="shared" si="84"/>
        <v>100</v>
      </c>
      <c r="U104" s="31">
        <v>102</v>
      </c>
      <c r="V104" s="37">
        <v>98</v>
      </c>
      <c r="W104" s="47">
        <f t="shared" si="68"/>
        <v>97</v>
      </c>
      <c r="X104" s="47">
        <f t="shared" si="68"/>
        <v>96</v>
      </c>
      <c r="Y104" s="47">
        <f t="shared" si="71"/>
        <v>96</v>
      </c>
      <c r="Z104" s="47">
        <f t="shared" si="74"/>
        <v>95</v>
      </c>
      <c r="AA104" s="47">
        <f t="shared" si="79"/>
        <v>95</v>
      </c>
      <c r="AB104" s="133"/>
      <c r="AC104" s="37">
        <f t="shared" si="69"/>
        <v>96</v>
      </c>
      <c r="AD104" s="47">
        <f t="shared" si="69"/>
        <v>95</v>
      </c>
      <c r="AE104" s="47">
        <f t="shared" si="81"/>
        <v>94</v>
      </c>
      <c r="AF104" s="47">
        <f t="shared" si="78"/>
        <v>94</v>
      </c>
      <c r="AG104" s="47">
        <f t="shared" si="76"/>
        <v>94</v>
      </c>
      <c r="AH104" s="47">
        <f t="shared" si="72"/>
        <v>94</v>
      </c>
      <c r="AI104" s="134"/>
      <c r="AJ104" s="94"/>
      <c r="AK104" s="95"/>
      <c r="AL104" s="95"/>
      <c r="AM104" s="95"/>
      <c r="AN104" s="95"/>
      <c r="AO104" s="95"/>
      <c r="AP104" s="141"/>
      <c r="AQ104" s="95"/>
      <c r="AR104" s="95"/>
      <c r="AS104" s="95"/>
      <c r="AT104" s="95"/>
      <c r="AU104" s="95"/>
      <c r="AV104" s="95"/>
      <c r="AW104" s="95"/>
      <c r="AX104" s="106"/>
      <c r="AY104" s="107"/>
      <c r="AZ104" s="107"/>
      <c r="BA104" s="107"/>
      <c r="BB104" s="107"/>
      <c r="BC104" s="107"/>
      <c r="BD104" s="108"/>
      <c r="BE104" s="107"/>
      <c r="BF104" s="107"/>
      <c r="BG104" s="107"/>
      <c r="BH104" s="107"/>
      <c r="BI104" s="107"/>
      <c r="BJ104" s="107"/>
      <c r="BK104" s="108"/>
      <c r="BL104" s="88"/>
      <c r="BM104" s="89"/>
      <c r="BN104" s="89"/>
      <c r="BO104" s="89"/>
      <c r="BP104" s="89"/>
      <c r="BQ104" s="89"/>
      <c r="BR104" s="90"/>
      <c r="BS104" s="89"/>
      <c r="BT104" s="89"/>
      <c r="BU104" s="89"/>
      <c r="BV104" s="89"/>
      <c r="BW104" s="89"/>
      <c r="BX104" s="89"/>
      <c r="BY104" s="89"/>
      <c r="BZ104" s="100"/>
      <c r="CA104" s="101"/>
      <c r="CB104" s="101"/>
      <c r="CC104" s="101"/>
      <c r="CD104" s="101"/>
      <c r="CE104" s="101"/>
      <c r="CF104" s="101"/>
      <c r="CG104" s="100"/>
      <c r="CH104" s="101"/>
      <c r="CI104" s="101"/>
      <c r="CJ104" s="101"/>
      <c r="CK104" s="101"/>
      <c r="CL104" s="101"/>
      <c r="CM104" s="102"/>
      <c r="CN104" s="84">
        <v>50</v>
      </c>
    </row>
    <row r="105" spans="7:92">
      <c r="G105" s="84">
        <v>101</v>
      </c>
      <c r="H105" s="30">
        <v>107</v>
      </c>
      <c r="I105" s="31">
        <f t="shared" si="86"/>
        <v>105</v>
      </c>
      <c r="J105" s="31">
        <f t="shared" si="67"/>
        <v>102</v>
      </c>
      <c r="K105" s="31">
        <f>K104+1</f>
        <v>101</v>
      </c>
      <c r="L105" s="31">
        <f t="shared" si="59"/>
        <v>100</v>
      </c>
      <c r="M105" s="31">
        <f t="shared" si="80"/>
        <v>100</v>
      </c>
      <c r="N105" s="32">
        <f t="shared" si="56"/>
        <v>99</v>
      </c>
      <c r="O105" s="31">
        <v>105</v>
      </c>
      <c r="P105" s="31">
        <f>P104+1</f>
        <v>101</v>
      </c>
      <c r="Q105" s="31">
        <f t="shared" si="75"/>
        <v>100</v>
      </c>
      <c r="R105" s="31">
        <f t="shared" si="73"/>
        <v>99</v>
      </c>
      <c r="S105" s="31">
        <f t="shared" si="73"/>
        <v>100</v>
      </c>
      <c r="T105" s="31">
        <v>101</v>
      </c>
      <c r="U105" s="31">
        <v>103</v>
      </c>
      <c r="V105" s="37">
        <v>98</v>
      </c>
      <c r="W105" s="47">
        <f t="shared" si="68"/>
        <v>97</v>
      </c>
      <c r="X105" s="47">
        <f t="shared" si="68"/>
        <v>97</v>
      </c>
      <c r="Y105" s="47">
        <f t="shared" si="71"/>
        <v>96</v>
      </c>
      <c r="Z105" s="47">
        <f t="shared" si="74"/>
        <v>96</v>
      </c>
      <c r="AA105" s="47">
        <f t="shared" si="79"/>
        <v>95</v>
      </c>
      <c r="AB105" s="133"/>
      <c r="AC105" s="37">
        <f t="shared" si="69"/>
        <v>96</v>
      </c>
      <c r="AD105" s="47">
        <f t="shared" si="69"/>
        <v>95</v>
      </c>
      <c r="AE105" s="47">
        <v>94</v>
      </c>
      <c r="AF105" s="47">
        <f t="shared" si="78"/>
        <v>94</v>
      </c>
      <c r="AG105" s="47">
        <f t="shared" si="76"/>
        <v>94</v>
      </c>
      <c r="AH105" s="47">
        <f t="shared" si="72"/>
        <v>95</v>
      </c>
      <c r="AI105" s="134"/>
      <c r="AJ105" s="94"/>
      <c r="AK105" s="95"/>
      <c r="AL105" s="95"/>
      <c r="AM105" s="95"/>
      <c r="AN105" s="95"/>
      <c r="AO105" s="95"/>
      <c r="AP105" s="141"/>
      <c r="AQ105" s="95"/>
      <c r="AR105" s="95"/>
      <c r="AS105" s="95"/>
      <c r="AT105" s="95"/>
      <c r="AU105" s="95"/>
      <c r="AV105" s="95"/>
      <c r="AW105" s="95"/>
      <c r="AX105" s="106"/>
      <c r="AY105" s="107"/>
      <c r="AZ105" s="107"/>
      <c r="BA105" s="107"/>
      <c r="BB105" s="107"/>
      <c r="BC105" s="107"/>
      <c r="BD105" s="108"/>
      <c r="BE105" s="107"/>
      <c r="BF105" s="107"/>
      <c r="BG105" s="107"/>
      <c r="BH105" s="107"/>
      <c r="BI105" s="107"/>
      <c r="BJ105" s="107"/>
      <c r="BK105" s="108"/>
      <c r="BL105" s="88"/>
      <c r="BM105" s="89"/>
      <c r="BN105" s="89"/>
      <c r="BO105" s="89"/>
      <c r="BP105" s="89"/>
      <c r="BQ105" s="89"/>
      <c r="BR105" s="90"/>
      <c r="BS105" s="89"/>
      <c r="BT105" s="89"/>
      <c r="BU105" s="89"/>
      <c r="BV105" s="89"/>
      <c r="BW105" s="89"/>
      <c r="BX105" s="89"/>
      <c r="BY105" s="89"/>
      <c r="BZ105" s="100"/>
      <c r="CA105" s="101"/>
      <c r="CB105" s="101"/>
      <c r="CC105" s="101"/>
      <c r="CD105" s="101"/>
      <c r="CE105" s="101"/>
      <c r="CF105" s="101"/>
      <c r="CG105" s="100"/>
      <c r="CH105" s="101"/>
      <c r="CI105" s="101"/>
      <c r="CJ105" s="101"/>
      <c r="CK105" s="101"/>
      <c r="CL105" s="101"/>
      <c r="CM105" s="102"/>
      <c r="CN105" s="84">
        <v>53</v>
      </c>
    </row>
    <row r="106" spans="7:92">
      <c r="G106" s="84">
        <v>102</v>
      </c>
      <c r="H106" s="30">
        <v>108</v>
      </c>
      <c r="I106" s="31">
        <f t="shared" si="86"/>
        <v>106</v>
      </c>
      <c r="J106" s="31">
        <f>J105+1</f>
        <v>103</v>
      </c>
      <c r="K106" s="31">
        <f t="shared" ref="K106:K124" si="88">K105+1</f>
        <v>102</v>
      </c>
      <c r="L106" s="31">
        <f>L105+1</f>
        <v>101</v>
      </c>
      <c r="M106" s="31">
        <f t="shared" si="80"/>
        <v>100</v>
      </c>
      <c r="N106" s="32">
        <f t="shared" si="56"/>
        <v>100</v>
      </c>
      <c r="O106" s="31">
        <f t="shared" si="87"/>
        <v>106</v>
      </c>
      <c r="P106" s="31">
        <f t="shared" ref="P106:P126" si="89">P105+1</f>
        <v>102</v>
      </c>
      <c r="Q106" s="31">
        <f t="shared" si="75"/>
        <v>100</v>
      </c>
      <c r="R106" s="31">
        <f t="shared" si="73"/>
        <v>100</v>
      </c>
      <c r="S106" s="31">
        <f t="shared" si="73"/>
        <v>100</v>
      </c>
      <c r="T106" s="31">
        <f t="shared" si="84"/>
        <v>101</v>
      </c>
      <c r="U106" s="31">
        <v>105</v>
      </c>
      <c r="V106" s="37">
        <v>99</v>
      </c>
      <c r="W106" s="47">
        <f t="shared" si="68"/>
        <v>98</v>
      </c>
      <c r="X106" s="47">
        <f t="shared" si="68"/>
        <v>97</v>
      </c>
      <c r="Y106" s="47">
        <f t="shared" si="71"/>
        <v>97</v>
      </c>
      <c r="Z106" s="47">
        <f t="shared" si="74"/>
        <v>96</v>
      </c>
      <c r="AA106" s="47">
        <f t="shared" si="79"/>
        <v>96</v>
      </c>
      <c r="AB106" s="133"/>
      <c r="AC106" s="37">
        <f t="shared" si="69"/>
        <v>97</v>
      </c>
      <c r="AD106" s="47">
        <f t="shared" si="69"/>
        <v>96</v>
      </c>
      <c r="AE106" s="47">
        <f t="shared" si="81"/>
        <v>95</v>
      </c>
      <c r="AF106" s="47">
        <f t="shared" si="78"/>
        <v>95</v>
      </c>
      <c r="AG106" s="47">
        <f t="shared" si="76"/>
        <v>95</v>
      </c>
      <c r="AH106" s="47">
        <f t="shared" si="72"/>
        <v>95</v>
      </c>
      <c r="AI106" s="134"/>
      <c r="AJ106" s="94"/>
      <c r="AK106" s="95"/>
      <c r="AL106" s="95"/>
      <c r="AM106" s="95"/>
      <c r="AN106" s="95"/>
      <c r="AO106" s="95"/>
      <c r="AP106" s="141"/>
      <c r="AQ106" s="95"/>
      <c r="AR106" s="95"/>
      <c r="AS106" s="95"/>
      <c r="AT106" s="95"/>
      <c r="AU106" s="95"/>
      <c r="AV106" s="95"/>
      <c r="AW106" s="95"/>
      <c r="AX106" s="106"/>
      <c r="AY106" s="107"/>
      <c r="AZ106" s="107"/>
      <c r="BA106" s="107"/>
      <c r="BB106" s="107"/>
      <c r="BC106" s="107"/>
      <c r="BD106" s="108"/>
      <c r="BE106" s="107"/>
      <c r="BF106" s="107"/>
      <c r="BG106" s="107"/>
      <c r="BH106" s="107"/>
      <c r="BI106" s="107"/>
      <c r="BJ106" s="107"/>
      <c r="BK106" s="108"/>
      <c r="BL106" s="88"/>
      <c r="BM106" s="89"/>
      <c r="BN106" s="89"/>
      <c r="BO106" s="89"/>
      <c r="BP106" s="89"/>
      <c r="BQ106" s="89"/>
      <c r="BR106" s="90"/>
      <c r="BS106" s="89"/>
      <c r="BT106" s="89"/>
      <c r="BU106" s="89"/>
      <c r="BV106" s="89"/>
      <c r="BW106" s="89"/>
      <c r="BX106" s="89"/>
      <c r="BY106" s="89"/>
      <c r="BZ106" s="100"/>
      <c r="CA106" s="101"/>
      <c r="CB106" s="101"/>
      <c r="CC106" s="101"/>
      <c r="CD106" s="101"/>
      <c r="CE106" s="101"/>
      <c r="CF106" s="101"/>
      <c r="CG106" s="100"/>
      <c r="CH106" s="101"/>
      <c r="CI106" s="101"/>
      <c r="CJ106" s="101"/>
      <c r="CK106" s="101"/>
      <c r="CL106" s="101"/>
      <c r="CM106" s="102"/>
      <c r="CN106" s="84">
        <v>55</v>
      </c>
    </row>
    <row r="107" spans="7:92">
      <c r="G107" s="84">
        <v>103</v>
      </c>
      <c r="H107" s="30">
        <v>109</v>
      </c>
      <c r="I107" s="31">
        <f t="shared" si="86"/>
        <v>107</v>
      </c>
      <c r="J107" s="31">
        <f t="shared" ref="J107:J122" si="90">J106+1</f>
        <v>104</v>
      </c>
      <c r="K107" s="31">
        <f t="shared" si="88"/>
        <v>103</v>
      </c>
      <c r="L107" s="31">
        <f t="shared" ref="L107:L123" si="91">L106+1</f>
        <v>102</v>
      </c>
      <c r="M107" s="31">
        <v>101</v>
      </c>
      <c r="N107" s="32">
        <f>N106+1</f>
        <v>101</v>
      </c>
      <c r="O107" s="31">
        <f t="shared" si="87"/>
        <v>107</v>
      </c>
      <c r="P107" s="31">
        <f t="shared" si="89"/>
        <v>103</v>
      </c>
      <c r="Q107" s="31">
        <f t="shared" si="75"/>
        <v>101</v>
      </c>
      <c r="R107" s="31">
        <f t="shared" si="73"/>
        <v>100</v>
      </c>
      <c r="S107" s="31">
        <f t="shared" si="73"/>
        <v>101</v>
      </c>
      <c r="T107" s="31">
        <v>102</v>
      </c>
      <c r="U107" s="31">
        <f>U106+1</f>
        <v>106</v>
      </c>
      <c r="V107" s="37">
        <v>100</v>
      </c>
      <c r="W107" s="47">
        <f t="shared" si="68"/>
        <v>98</v>
      </c>
      <c r="X107" s="47">
        <f t="shared" si="68"/>
        <v>98</v>
      </c>
      <c r="Y107" s="47">
        <f t="shared" si="71"/>
        <v>97</v>
      </c>
      <c r="Z107" s="47">
        <f t="shared" si="74"/>
        <v>97</v>
      </c>
      <c r="AA107" s="47">
        <f t="shared" si="79"/>
        <v>96</v>
      </c>
      <c r="AB107" s="133"/>
      <c r="AC107" s="37">
        <f t="shared" si="69"/>
        <v>97</v>
      </c>
      <c r="AD107" s="47">
        <f t="shared" si="69"/>
        <v>96</v>
      </c>
      <c r="AE107" s="47">
        <f t="shared" si="81"/>
        <v>95</v>
      </c>
      <c r="AF107" s="47">
        <f t="shared" si="78"/>
        <v>95</v>
      </c>
      <c r="AG107" s="47">
        <f t="shared" si="76"/>
        <v>95</v>
      </c>
      <c r="AH107" s="47">
        <f t="shared" si="72"/>
        <v>96</v>
      </c>
      <c r="AI107" s="134"/>
      <c r="AJ107" s="94"/>
      <c r="AK107" s="95"/>
      <c r="AL107" s="95"/>
      <c r="AM107" s="95"/>
      <c r="AN107" s="95"/>
      <c r="AO107" s="95"/>
      <c r="AP107" s="141"/>
      <c r="AQ107" s="95"/>
      <c r="AR107" s="95"/>
      <c r="AS107" s="95"/>
      <c r="AT107" s="95"/>
      <c r="AU107" s="95"/>
      <c r="AV107" s="95"/>
      <c r="AW107" s="95"/>
      <c r="AX107" s="106"/>
      <c r="AY107" s="107"/>
      <c r="AZ107" s="107"/>
      <c r="BA107" s="107"/>
      <c r="BB107" s="107"/>
      <c r="BC107" s="107"/>
      <c r="BD107" s="108"/>
      <c r="BE107" s="107"/>
      <c r="BF107" s="107"/>
      <c r="BG107" s="107"/>
      <c r="BH107" s="107"/>
      <c r="BI107" s="107"/>
      <c r="BJ107" s="107"/>
      <c r="BK107" s="108"/>
      <c r="BL107" s="88"/>
      <c r="BM107" s="89"/>
      <c r="BN107" s="89"/>
      <c r="BO107" s="89"/>
      <c r="BP107" s="89"/>
      <c r="BQ107" s="89"/>
      <c r="BR107" s="90"/>
      <c r="BS107" s="89"/>
      <c r="BT107" s="89"/>
      <c r="BU107" s="89"/>
      <c r="BV107" s="89"/>
      <c r="BW107" s="89"/>
      <c r="BX107" s="89"/>
      <c r="BY107" s="89"/>
      <c r="BZ107" s="100"/>
      <c r="CA107" s="101"/>
      <c r="CB107" s="101"/>
      <c r="CC107" s="101"/>
      <c r="CD107" s="101"/>
      <c r="CE107" s="101"/>
      <c r="CF107" s="101"/>
      <c r="CG107" s="100"/>
      <c r="CH107" s="101"/>
      <c r="CI107" s="101"/>
      <c r="CJ107" s="101"/>
      <c r="CK107" s="101"/>
      <c r="CL107" s="101"/>
      <c r="CM107" s="102"/>
      <c r="CN107" s="84">
        <v>58</v>
      </c>
    </row>
    <row r="108" spans="7:92">
      <c r="G108" s="84">
        <v>104</v>
      </c>
      <c r="H108" s="30">
        <v>110</v>
      </c>
      <c r="I108" s="31">
        <f t="shared" si="86"/>
        <v>108</v>
      </c>
      <c r="J108" s="31">
        <f t="shared" si="90"/>
        <v>105</v>
      </c>
      <c r="K108" s="31">
        <f t="shared" si="88"/>
        <v>104</v>
      </c>
      <c r="L108" s="31">
        <v>102</v>
      </c>
      <c r="M108" s="31">
        <f>M107+1</f>
        <v>102</v>
      </c>
      <c r="N108" s="32">
        <f t="shared" ref="N108:N127" si="92">N107+1</f>
        <v>102</v>
      </c>
      <c r="O108" s="31">
        <f t="shared" si="87"/>
        <v>108</v>
      </c>
      <c r="P108" s="31">
        <f t="shared" si="89"/>
        <v>104</v>
      </c>
      <c r="Q108" s="31">
        <f>Q107+1</f>
        <v>102</v>
      </c>
      <c r="R108" s="31">
        <f t="shared" si="73"/>
        <v>101</v>
      </c>
      <c r="S108" s="31">
        <v>102</v>
      </c>
      <c r="T108" s="31">
        <v>103</v>
      </c>
      <c r="U108" s="31">
        <f t="shared" ref="U108:U121" si="93">U107+1</f>
        <v>107</v>
      </c>
      <c r="V108" s="37">
        <v>100</v>
      </c>
      <c r="W108" s="47">
        <f t="shared" si="68"/>
        <v>99</v>
      </c>
      <c r="X108" s="47">
        <f t="shared" si="68"/>
        <v>98</v>
      </c>
      <c r="Y108" s="47">
        <v>97</v>
      </c>
      <c r="Z108" s="47">
        <f t="shared" si="74"/>
        <v>97</v>
      </c>
      <c r="AA108" s="47">
        <f t="shared" si="79"/>
        <v>97</v>
      </c>
      <c r="AB108" s="133"/>
      <c r="AC108" s="37">
        <f t="shared" si="69"/>
        <v>98</v>
      </c>
      <c r="AD108" s="47">
        <v>96</v>
      </c>
      <c r="AE108" s="47">
        <f t="shared" si="81"/>
        <v>96</v>
      </c>
      <c r="AF108" s="47">
        <f t="shared" si="78"/>
        <v>96</v>
      </c>
      <c r="AG108" s="47">
        <f t="shared" si="76"/>
        <v>96</v>
      </c>
      <c r="AH108" s="47">
        <f t="shared" si="72"/>
        <v>96</v>
      </c>
      <c r="AI108" s="134"/>
      <c r="AJ108" s="94"/>
      <c r="AK108" s="95"/>
      <c r="AL108" s="95"/>
      <c r="AM108" s="95"/>
      <c r="AN108" s="95"/>
      <c r="AO108" s="95"/>
      <c r="AP108" s="141"/>
      <c r="AQ108" s="95"/>
      <c r="AR108" s="95"/>
      <c r="AS108" s="95"/>
      <c r="AT108" s="95"/>
      <c r="AU108" s="95"/>
      <c r="AV108" s="95"/>
      <c r="AW108" s="95"/>
      <c r="AX108" s="106"/>
      <c r="AY108" s="107"/>
      <c r="AZ108" s="107"/>
      <c r="BA108" s="107"/>
      <c r="BB108" s="107"/>
      <c r="BC108" s="107"/>
      <c r="BD108" s="108"/>
      <c r="BE108" s="107"/>
      <c r="BF108" s="107"/>
      <c r="BG108" s="107"/>
      <c r="BH108" s="107"/>
      <c r="BI108" s="107"/>
      <c r="BJ108" s="107"/>
      <c r="BK108" s="108"/>
      <c r="BL108" s="88"/>
      <c r="BM108" s="89"/>
      <c r="BN108" s="89"/>
      <c r="BO108" s="89"/>
      <c r="BP108" s="89"/>
      <c r="BQ108" s="89"/>
      <c r="BR108" s="90"/>
      <c r="BS108" s="89"/>
      <c r="BT108" s="89"/>
      <c r="BU108" s="89"/>
      <c r="BV108" s="89"/>
      <c r="BW108" s="89"/>
      <c r="BX108" s="89"/>
      <c r="BY108" s="89"/>
      <c r="BZ108" s="100"/>
      <c r="CA108" s="101"/>
      <c r="CB108" s="101"/>
      <c r="CC108" s="101"/>
      <c r="CD108" s="101"/>
      <c r="CE108" s="101"/>
      <c r="CF108" s="101"/>
      <c r="CG108" s="100"/>
      <c r="CH108" s="101"/>
      <c r="CI108" s="101"/>
      <c r="CJ108" s="101"/>
      <c r="CK108" s="101"/>
      <c r="CL108" s="101"/>
      <c r="CM108" s="102"/>
      <c r="CN108" s="84">
        <v>61</v>
      </c>
    </row>
    <row r="109" spans="7:92">
      <c r="G109" s="84">
        <v>105</v>
      </c>
      <c r="H109" s="30">
        <v>111</v>
      </c>
      <c r="I109" s="31">
        <v>108</v>
      </c>
      <c r="J109" s="31">
        <f t="shared" si="90"/>
        <v>106</v>
      </c>
      <c r="K109" s="31">
        <f t="shared" si="88"/>
        <v>105</v>
      </c>
      <c r="L109" s="31">
        <f t="shared" si="91"/>
        <v>103</v>
      </c>
      <c r="M109" s="31">
        <f t="shared" ref="M109:M124" si="94">M108+1</f>
        <v>103</v>
      </c>
      <c r="N109" s="32">
        <f t="shared" si="92"/>
        <v>103</v>
      </c>
      <c r="O109" s="31">
        <v>110</v>
      </c>
      <c r="P109" s="31">
        <v>104</v>
      </c>
      <c r="Q109" s="31">
        <f t="shared" ref="Q109:Q123" si="95">Q108+1</f>
        <v>103</v>
      </c>
      <c r="R109" s="31">
        <v>102</v>
      </c>
      <c r="S109" s="31">
        <f t="shared" ref="S109:S122" si="96">S107+1</f>
        <v>102</v>
      </c>
      <c r="T109" s="31">
        <v>104</v>
      </c>
      <c r="U109" s="31">
        <f t="shared" si="93"/>
        <v>108</v>
      </c>
      <c r="V109" s="37">
        <v>101</v>
      </c>
      <c r="W109" s="47">
        <f t="shared" si="68"/>
        <v>99</v>
      </c>
      <c r="X109" s="47">
        <v>98</v>
      </c>
      <c r="Y109" s="47">
        <f t="shared" si="71"/>
        <v>98</v>
      </c>
      <c r="Z109" s="47">
        <f t="shared" si="74"/>
        <v>98</v>
      </c>
      <c r="AA109" s="47">
        <v>98</v>
      </c>
      <c r="AB109" s="133"/>
      <c r="AC109" s="37">
        <f t="shared" si="69"/>
        <v>98</v>
      </c>
      <c r="AD109" s="47">
        <f t="shared" si="69"/>
        <v>97</v>
      </c>
      <c r="AE109" s="47">
        <f t="shared" si="81"/>
        <v>96</v>
      </c>
      <c r="AF109" s="47">
        <f t="shared" si="78"/>
        <v>96</v>
      </c>
      <c r="AG109" s="47">
        <f t="shared" si="76"/>
        <v>96</v>
      </c>
      <c r="AH109" s="47">
        <f t="shared" si="72"/>
        <v>97</v>
      </c>
      <c r="AI109" s="134"/>
      <c r="AJ109" s="94"/>
      <c r="AK109" s="95"/>
      <c r="AL109" s="95"/>
      <c r="AM109" s="95"/>
      <c r="AN109" s="95"/>
      <c r="AO109" s="95"/>
      <c r="AP109" s="141"/>
      <c r="AQ109" s="95"/>
      <c r="AR109" s="95"/>
      <c r="AS109" s="95"/>
      <c r="AT109" s="95"/>
      <c r="AU109" s="95"/>
      <c r="AV109" s="95"/>
      <c r="AW109" s="95"/>
      <c r="AX109" s="106"/>
      <c r="AY109" s="107"/>
      <c r="AZ109" s="107"/>
      <c r="BA109" s="107"/>
      <c r="BB109" s="107"/>
      <c r="BC109" s="107"/>
      <c r="BD109" s="108"/>
      <c r="BE109" s="107"/>
      <c r="BF109" s="107"/>
      <c r="BG109" s="107"/>
      <c r="BH109" s="107"/>
      <c r="BI109" s="107"/>
      <c r="BJ109" s="107"/>
      <c r="BK109" s="108"/>
      <c r="BL109" s="88"/>
      <c r="BM109" s="89"/>
      <c r="BN109" s="89"/>
      <c r="BO109" s="89"/>
      <c r="BP109" s="89"/>
      <c r="BQ109" s="89"/>
      <c r="BR109" s="90"/>
      <c r="BS109" s="89"/>
      <c r="BT109" s="89"/>
      <c r="BU109" s="89"/>
      <c r="BV109" s="89"/>
      <c r="BW109" s="89"/>
      <c r="BX109" s="89"/>
      <c r="BY109" s="89"/>
      <c r="BZ109" s="100"/>
      <c r="CA109" s="101"/>
      <c r="CB109" s="101"/>
      <c r="CC109" s="101"/>
      <c r="CD109" s="101"/>
      <c r="CE109" s="101"/>
      <c r="CF109" s="101"/>
      <c r="CG109" s="100"/>
      <c r="CH109" s="101"/>
      <c r="CI109" s="101"/>
      <c r="CJ109" s="101"/>
      <c r="CK109" s="101"/>
      <c r="CL109" s="101"/>
      <c r="CM109" s="102"/>
      <c r="CN109" s="84">
        <v>63</v>
      </c>
    </row>
    <row r="110" spans="7:92">
      <c r="G110" s="84">
        <v>106</v>
      </c>
      <c r="H110" s="30">
        <v>112</v>
      </c>
      <c r="I110" s="31">
        <f t="shared" si="86"/>
        <v>109</v>
      </c>
      <c r="J110" s="31">
        <f t="shared" si="90"/>
        <v>107</v>
      </c>
      <c r="K110" s="31">
        <v>105</v>
      </c>
      <c r="L110" s="31">
        <f t="shared" si="91"/>
        <v>104</v>
      </c>
      <c r="M110" s="31">
        <f t="shared" si="94"/>
        <v>104</v>
      </c>
      <c r="N110" s="32">
        <f t="shared" si="92"/>
        <v>104</v>
      </c>
      <c r="O110" s="31">
        <f t="shared" si="87"/>
        <v>111</v>
      </c>
      <c r="P110" s="31">
        <f t="shared" si="89"/>
        <v>105</v>
      </c>
      <c r="Q110" s="31">
        <v>103</v>
      </c>
      <c r="R110" s="31">
        <v>103</v>
      </c>
      <c r="S110" s="31">
        <f t="shared" si="96"/>
        <v>103</v>
      </c>
      <c r="T110" s="31">
        <v>105</v>
      </c>
      <c r="U110" s="31">
        <f t="shared" si="93"/>
        <v>109</v>
      </c>
      <c r="V110" s="37">
        <f>V109+1</f>
        <v>102</v>
      </c>
      <c r="W110" s="47">
        <f t="shared" si="68"/>
        <v>100</v>
      </c>
      <c r="X110" s="47">
        <f t="shared" si="68"/>
        <v>99</v>
      </c>
      <c r="Y110" s="47">
        <f t="shared" si="71"/>
        <v>98</v>
      </c>
      <c r="Z110" s="47">
        <f t="shared" si="74"/>
        <v>98</v>
      </c>
      <c r="AA110" s="47">
        <f t="shared" si="79"/>
        <v>98</v>
      </c>
      <c r="AB110" s="133"/>
      <c r="AC110" s="37">
        <f t="shared" si="69"/>
        <v>99</v>
      </c>
      <c r="AD110" s="47">
        <f t="shared" si="69"/>
        <v>97</v>
      </c>
      <c r="AE110" s="47">
        <f t="shared" si="81"/>
        <v>97</v>
      </c>
      <c r="AF110" s="47">
        <v>96</v>
      </c>
      <c r="AG110" s="47">
        <f t="shared" si="76"/>
        <v>97</v>
      </c>
      <c r="AH110" s="47">
        <f t="shared" si="72"/>
        <v>97</v>
      </c>
      <c r="AI110" s="134"/>
      <c r="AJ110" s="94"/>
      <c r="AK110" s="95"/>
      <c r="AL110" s="95"/>
      <c r="AM110" s="95"/>
      <c r="AN110" s="95"/>
      <c r="AO110" s="95"/>
      <c r="AP110" s="141"/>
      <c r="AQ110" s="95"/>
      <c r="AR110" s="95"/>
      <c r="AS110" s="95"/>
      <c r="AT110" s="95"/>
      <c r="AU110" s="95"/>
      <c r="AV110" s="95"/>
      <c r="AW110" s="95"/>
      <c r="AX110" s="106"/>
      <c r="AY110" s="107"/>
      <c r="AZ110" s="107"/>
      <c r="BA110" s="107"/>
      <c r="BB110" s="107"/>
      <c r="BC110" s="107"/>
      <c r="BD110" s="108"/>
      <c r="BE110" s="107"/>
      <c r="BF110" s="107"/>
      <c r="BG110" s="107"/>
      <c r="BH110" s="107"/>
      <c r="BI110" s="107"/>
      <c r="BJ110" s="107"/>
      <c r="BK110" s="108"/>
      <c r="BL110" s="88"/>
      <c r="BM110" s="89"/>
      <c r="BN110" s="89"/>
      <c r="BO110" s="89"/>
      <c r="BP110" s="89"/>
      <c r="BQ110" s="89"/>
      <c r="BR110" s="90"/>
      <c r="BS110" s="89"/>
      <c r="BT110" s="89"/>
      <c r="BU110" s="89"/>
      <c r="BV110" s="89"/>
      <c r="BW110" s="89"/>
      <c r="BX110" s="89"/>
      <c r="BY110" s="89"/>
      <c r="BZ110" s="100"/>
      <c r="CA110" s="101"/>
      <c r="CB110" s="101"/>
      <c r="CC110" s="101"/>
      <c r="CD110" s="101"/>
      <c r="CE110" s="101"/>
      <c r="CF110" s="101"/>
      <c r="CG110" s="100"/>
      <c r="CH110" s="101"/>
      <c r="CI110" s="101"/>
      <c r="CJ110" s="101"/>
      <c r="CK110" s="101"/>
      <c r="CL110" s="101"/>
      <c r="CM110" s="102"/>
      <c r="CN110" s="84">
        <v>66</v>
      </c>
    </row>
    <row r="111" spans="7:92">
      <c r="G111" s="84">
        <v>107</v>
      </c>
      <c r="H111" s="30">
        <v>113</v>
      </c>
      <c r="I111" s="31">
        <f t="shared" si="86"/>
        <v>110</v>
      </c>
      <c r="J111" s="31">
        <f t="shared" si="90"/>
        <v>108</v>
      </c>
      <c r="K111" s="31">
        <f t="shared" si="88"/>
        <v>106</v>
      </c>
      <c r="L111" s="31">
        <f t="shared" si="91"/>
        <v>105</v>
      </c>
      <c r="M111" s="31">
        <f t="shared" si="94"/>
        <v>105</v>
      </c>
      <c r="N111" s="32">
        <f t="shared" si="92"/>
        <v>105</v>
      </c>
      <c r="O111" s="31">
        <f t="shared" si="87"/>
        <v>112</v>
      </c>
      <c r="P111" s="31">
        <f t="shared" si="89"/>
        <v>106</v>
      </c>
      <c r="Q111" s="31">
        <f t="shared" si="95"/>
        <v>104</v>
      </c>
      <c r="R111" s="31">
        <v>103</v>
      </c>
      <c r="S111" s="31">
        <v>104</v>
      </c>
      <c r="T111" s="31">
        <v>106</v>
      </c>
      <c r="U111" s="31">
        <f t="shared" si="93"/>
        <v>110</v>
      </c>
      <c r="V111" s="37">
        <f t="shared" ref="V111:V127" si="97">V110+1</f>
        <v>103</v>
      </c>
      <c r="W111" s="47">
        <v>101</v>
      </c>
      <c r="X111" s="47">
        <f t="shared" ref="X111:X114" si="98">X109+1</f>
        <v>99</v>
      </c>
      <c r="Y111" s="47">
        <f t="shared" si="71"/>
        <v>99</v>
      </c>
      <c r="Z111" s="47">
        <f t="shared" si="74"/>
        <v>99</v>
      </c>
      <c r="AA111" s="47">
        <f t="shared" si="79"/>
        <v>99</v>
      </c>
      <c r="AB111" s="133"/>
      <c r="AC111" s="37">
        <f t="shared" si="69"/>
        <v>99</v>
      </c>
      <c r="AD111" s="47">
        <f t="shared" si="69"/>
        <v>98</v>
      </c>
      <c r="AE111" s="47">
        <f t="shared" si="81"/>
        <v>97</v>
      </c>
      <c r="AF111" s="47">
        <f t="shared" si="78"/>
        <v>97</v>
      </c>
      <c r="AG111" s="47">
        <f t="shared" si="76"/>
        <v>97</v>
      </c>
      <c r="AH111" s="47">
        <f t="shared" si="72"/>
        <v>98</v>
      </c>
      <c r="AI111" s="134"/>
      <c r="AJ111" s="94"/>
      <c r="AK111" s="95"/>
      <c r="AL111" s="95"/>
      <c r="AM111" s="95"/>
      <c r="AN111" s="95"/>
      <c r="AO111" s="95"/>
      <c r="AP111" s="141"/>
      <c r="AQ111" s="95"/>
      <c r="AR111" s="95"/>
      <c r="AS111" s="95"/>
      <c r="AT111" s="95"/>
      <c r="AU111" s="95"/>
      <c r="AV111" s="95"/>
      <c r="AW111" s="95"/>
      <c r="AX111" s="106"/>
      <c r="AY111" s="107"/>
      <c r="AZ111" s="107"/>
      <c r="BA111" s="107"/>
      <c r="BB111" s="107"/>
      <c r="BC111" s="107"/>
      <c r="BD111" s="108"/>
      <c r="BE111" s="107"/>
      <c r="BF111" s="107"/>
      <c r="BG111" s="107"/>
      <c r="BH111" s="107"/>
      <c r="BI111" s="107"/>
      <c r="BJ111" s="107"/>
      <c r="BK111" s="108"/>
      <c r="BL111" s="88"/>
      <c r="BM111" s="89"/>
      <c r="BN111" s="89"/>
      <c r="BO111" s="89"/>
      <c r="BP111" s="89"/>
      <c r="BQ111" s="89"/>
      <c r="BR111" s="90"/>
      <c r="BS111" s="89"/>
      <c r="BT111" s="89"/>
      <c r="BU111" s="89"/>
      <c r="BV111" s="89"/>
      <c r="BW111" s="89"/>
      <c r="BX111" s="89"/>
      <c r="BY111" s="89"/>
      <c r="BZ111" s="100"/>
      <c r="CA111" s="101"/>
      <c r="CB111" s="101"/>
      <c r="CC111" s="101"/>
      <c r="CD111" s="101"/>
      <c r="CE111" s="101"/>
      <c r="CF111" s="101"/>
      <c r="CG111" s="100"/>
      <c r="CH111" s="101"/>
      <c r="CI111" s="101"/>
      <c r="CJ111" s="101"/>
      <c r="CK111" s="101"/>
      <c r="CL111" s="101"/>
      <c r="CM111" s="102"/>
      <c r="CN111" s="84">
        <v>68</v>
      </c>
    </row>
    <row r="112" spans="7:92">
      <c r="G112" s="84">
        <v>108</v>
      </c>
      <c r="H112" s="30">
        <v>114</v>
      </c>
      <c r="I112" s="31">
        <f t="shared" si="86"/>
        <v>111</v>
      </c>
      <c r="J112" s="31">
        <f t="shared" si="90"/>
        <v>109</v>
      </c>
      <c r="K112" s="31">
        <f t="shared" si="88"/>
        <v>107</v>
      </c>
      <c r="L112" s="31">
        <f t="shared" si="91"/>
        <v>106</v>
      </c>
      <c r="M112" s="31">
        <f t="shared" si="94"/>
        <v>106</v>
      </c>
      <c r="N112" s="32">
        <f t="shared" si="92"/>
        <v>106</v>
      </c>
      <c r="O112" s="31">
        <f t="shared" si="87"/>
        <v>113</v>
      </c>
      <c r="P112" s="31">
        <f t="shared" si="89"/>
        <v>107</v>
      </c>
      <c r="Q112" s="31">
        <f t="shared" si="95"/>
        <v>105</v>
      </c>
      <c r="R112" s="31">
        <v>104</v>
      </c>
      <c r="S112" s="31">
        <v>105</v>
      </c>
      <c r="T112" s="31">
        <f t="shared" si="84"/>
        <v>106</v>
      </c>
      <c r="U112" s="31">
        <f t="shared" si="93"/>
        <v>111</v>
      </c>
      <c r="V112" s="37">
        <f t="shared" si="97"/>
        <v>104</v>
      </c>
      <c r="W112" s="47">
        <f t="shared" si="68"/>
        <v>101</v>
      </c>
      <c r="X112" s="47">
        <f t="shared" si="98"/>
        <v>100</v>
      </c>
      <c r="Y112" s="47">
        <f t="shared" si="71"/>
        <v>99</v>
      </c>
      <c r="Z112" s="47">
        <f t="shared" si="74"/>
        <v>99</v>
      </c>
      <c r="AA112" s="47">
        <f t="shared" si="79"/>
        <v>99</v>
      </c>
      <c r="AB112" s="133"/>
      <c r="AC112" s="37">
        <f t="shared" si="69"/>
        <v>100</v>
      </c>
      <c r="AD112" s="47">
        <f t="shared" si="69"/>
        <v>98</v>
      </c>
      <c r="AE112" s="47">
        <v>97</v>
      </c>
      <c r="AF112" s="47">
        <f t="shared" si="78"/>
        <v>97</v>
      </c>
      <c r="AG112" s="47">
        <v>97</v>
      </c>
      <c r="AH112" s="47">
        <f t="shared" si="72"/>
        <v>98</v>
      </c>
      <c r="AI112" s="134"/>
      <c r="AJ112" s="94"/>
      <c r="AK112" s="95"/>
      <c r="AL112" s="95"/>
      <c r="AM112" s="95"/>
      <c r="AN112" s="95"/>
      <c r="AO112" s="95"/>
      <c r="AP112" s="141"/>
      <c r="AQ112" s="95"/>
      <c r="AR112" s="95"/>
      <c r="AS112" s="95"/>
      <c r="AT112" s="95"/>
      <c r="AU112" s="95"/>
      <c r="AV112" s="95"/>
      <c r="AW112" s="95"/>
      <c r="AX112" s="106"/>
      <c r="AY112" s="107"/>
      <c r="AZ112" s="107"/>
      <c r="BA112" s="107"/>
      <c r="BB112" s="107"/>
      <c r="BC112" s="107"/>
      <c r="BD112" s="108"/>
      <c r="BE112" s="107"/>
      <c r="BF112" s="107"/>
      <c r="BG112" s="107"/>
      <c r="BH112" s="107"/>
      <c r="BI112" s="107"/>
      <c r="BJ112" s="107"/>
      <c r="BK112" s="108"/>
      <c r="BL112" s="88"/>
      <c r="BM112" s="89"/>
      <c r="BN112" s="89"/>
      <c r="BO112" s="89"/>
      <c r="BP112" s="89"/>
      <c r="BQ112" s="89"/>
      <c r="BR112" s="90"/>
      <c r="BS112" s="89"/>
      <c r="BT112" s="89"/>
      <c r="BU112" s="89"/>
      <c r="BV112" s="89"/>
      <c r="BW112" s="89"/>
      <c r="BX112" s="89"/>
      <c r="BY112" s="89"/>
      <c r="BZ112" s="100"/>
      <c r="CA112" s="101"/>
      <c r="CB112" s="101"/>
      <c r="CC112" s="101"/>
      <c r="CD112" s="101"/>
      <c r="CE112" s="101"/>
      <c r="CF112" s="101"/>
      <c r="CG112" s="100"/>
      <c r="CH112" s="101"/>
      <c r="CI112" s="101"/>
      <c r="CJ112" s="101"/>
      <c r="CK112" s="101"/>
      <c r="CL112" s="101"/>
      <c r="CM112" s="102"/>
      <c r="CN112" s="84">
        <v>70</v>
      </c>
    </row>
    <row r="113" spans="7:92">
      <c r="G113" s="84">
        <v>109</v>
      </c>
      <c r="H113" s="30">
        <v>115</v>
      </c>
      <c r="I113" s="31">
        <f t="shared" si="86"/>
        <v>112</v>
      </c>
      <c r="J113" s="31">
        <f t="shared" si="90"/>
        <v>110</v>
      </c>
      <c r="K113" s="31">
        <f t="shared" si="88"/>
        <v>108</v>
      </c>
      <c r="L113" s="31">
        <f t="shared" si="91"/>
        <v>107</v>
      </c>
      <c r="M113" s="31">
        <f t="shared" si="94"/>
        <v>107</v>
      </c>
      <c r="N113" s="32">
        <f t="shared" si="92"/>
        <v>107</v>
      </c>
      <c r="O113" s="31">
        <v>115</v>
      </c>
      <c r="P113" s="31">
        <f t="shared" si="89"/>
        <v>108</v>
      </c>
      <c r="Q113" s="31">
        <f t="shared" si="95"/>
        <v>106</v>
      </c>
      <c r="R113" s="31">
        <v>105</v>
      </c>
      <c r="S113" s="31">
        <f t="shared" si="96"/>
        <v>105</v>
      </c>
      <c r="T113" s="31">
        <v>107</v>
      </c>
      <c r="U113" s="31">
        <f t="shared" si="93"/>
        <v>112</v>
      </c>
      <c r="V113" s="37">
        <f t="shared" si="97"/>
        <v>105</v>
      </c>
      <c r="W113" s="47">
        <f t="shared" si="68"/>
        <v>102</v>
      </c>
      <c r="X113" s="47">
        <f t="shared" si="98"/>
        <v>100</v>
      </c>
      <c r="Y113" s="47">
        <f t="shared" si="71"/>
        <v>100</v>
      </c>
      <c r="Z113" s="47">
        <v>99</v>
      </c>
      <c r="AA113" s="47">
        <f t="shared" si="79"/>
        <v>100</v>
      </c>
      <c r="AB113" s="133"/>
      <c r="AC113" s="37">
        <f>AC112+1</f>
        <v>101</v>
      </c>
      <c r="AD113" s="47">
        <f t="shared" ref="AD113:AD117" si="99">AD111+1</f>
        <v>99</v>
      </c>
      <c r="AE113" s="47">
        <f t="shared" si="81"/>
        <v>98</v>
      </c>
      <c r="AF113" s="47">
        <f t="shared" si="78"/>
        <v>98</v>
      </c>
      <c r="AG113" s="47">
        <f t="shared" si="76"/>
        <v>98</v>
      </c>
      <c r="AH113" s="47">
        <f t="shared" si="72"/>
        <v>99</v>
      </c>
      <c r="AI113" s="134"/>
      <c r="AJ113" s="94"/>
      <c r="AK113" s="95"/>
      <c r="AL113" s="95"/>
      <c r="AM113" s="95"/>
      <c r="AN113" s="95"/>
      <c r="AO113" s="95"/>
      <c r="AP113" s="141"/>
      <c r="AQ113" s="95"/>
      <c r="AR113" s="95"/>
      <c r="AS113" s="95"/>
      <c r="AT113" s="95"/>
      <c r="AU113" s="95"/>
      <c r="AV113" s="95"/>
      <c r="AW113" s="95"/>
      <c r="AX113" s="106"/>
      <c r="AY113" s="107"/>
      <c r="AZ113" s="107"/>
      <c r="BA113" s="107"/>
      <c r="BB113" s="107"/>
      <c r="BC113" s="107"/>
      <c r="BD113" s="108"/>
      <c r="BE113" s="107"/>
      <c r="BF113" s="107"/>
      <c r="BG113" s="107"/>
      <c r="BH113" s="107"/>
      <c r="BI113" s="107"/>
      <c r="BJ113" s="107"/>
      <c r="BK113" s="108"/>
      <c r="BL113" s="88"/>
      <c r="BM113" s="89"/>
      <c r="BN113" s="89"/>
      <c r="BO113" s="89"/>
      <c r="BP113" s="89"/>
      <c r="BQ113" s="89"/>
      <c r="BR113" s="90"/>
      <c r="BS113" s="89"/>
      <c r="BT113" s="89"/>
      <c r="BU113" s="89"/>
      <c r="BV113" s="89"/>
      <c r="BW113" s="89"/>
      <c r="BX113" s="89"/>
      <c r="BY113" s="89"/>
      <c r="BZ113" s="100"/>
      <c r="CA113" s="101"/>
      <c r="CB113" s="101"/>
      <c r="CC113" s="101"/>
      <c r="CD113" s="101"/>
      <c r="CE113" s="101"/>
      <c r="CF113" s="101"/>
      <c r="CG113" s="100"/>
      <c r="CH113" s="101"/>
      <c r="CI113" s="101"/>
      <c r="CJ113" s="101"/>
      <c r="CK113" s="101"/>
      <c r="CL113" s="101"/>
      <c r="CM113" s="102"/>
      <c r="CN113" s="84">
        <v>73</v>
      </c>
    </row>
    <row r="114" spans="7:92">
      <c r="G114" s="84">
        <v>110</v>
      </c>
      <c r="H114" s="30">
        <v>116</v>
      </c>
      <c r="I114" s="31">
        <f t="shared" si="86"/>
        <v>113</v>
      </c>
      <c r="J114" s="31">
        <f t="shared" si="90"/>
        <v>111</v>
      </c>
      <c r="K114" s="31">
        <f t="shared" si="88"/>
        <v>109</v>
      </c>
      <c r="L114" s="31">
        <f t="shared" si="91"/>
        <v>108</v>
      </c>
      <c r="M114" s="31">
        <f t="shared" si="94"/>
        <v>108</v>
      </c>
      <c r="N114" s="32">
        <f t="shared" si="92"/>
        <v>108</v>
      </c>
      <c r="O114" s="31">
        <f t="shared" si="87"/>
        <v>116</v>
      </c>
      <c r="P114" s="31">
        <f t="shared" si="89"/>
        <v>109</v>
      </c>
      <c r="Q114" s="31">
        <v>106</v>
      </c>
      <c r="R114" s="31">
        <v>106</v>
      </c>
      <c r="S114" s="31">
        <f t="shared" si="96"/>
        <v>106</v>
      </c>
      <c r="T114" s="31">
        <v>108</v>
      </c>
      <c r="U114" s="31">
        <f t="shared" si="93"/>
        <v>113</v>
      </c>
      <c r="V114" s="37">
        <f t="shared" si="97"/>
        <v>106</v>
      </c>
      <c r="W114" s="47">
        <f>W113+1</f>
        <v>103</v>
      </c>
      <c r="X114" s="47">
        <f t="shared" si="98"/>
        <v>101</v>
      </c>
      <c r="Y114" s="47">
        <f t="shared" si="71"/>
        <v>100</v>
      </c>
      <c r="Z114" s="47">
        <v>100</v>
      </c>
      <c r="AA114" s="47">
        <f t="shared" si="79"/>
        <v>100</v>
      </c>
      <c r="AB114" s="133"/>
      <c r="AC114" s="37">
        <f t="shared" ref="AC114:AC132" si="100">AC113+1</f>
        <v>102</v>
      </c>
      <c r="AD114" s="47">
        <f t="shared" si="99"/>
        <v>99</v>
      </c>
      <c r="AE114" s="47">
        <f t="shared" si="81"/>
        <v>98</v>
      </c>
      <c r="AF114" s="47">
        <f t="shared" si="78"/>
        <v>98</v>
      </c>
      <c r="AG114" s="47">
        <f t="shared" si="76"/>
        <v>98</v>
      </c>
      <c r="AH114" s="47">
        <f t="shared" si="72"/>
        <v>99</v>
      </c>
      <c r="AI114" s="134"/>
      <c r="AJ114" s="94"/>
      <c r="AK114" s="95"/>
      <c r="AL114" s="95"/>
      <c r="AM114" s="95"/>
      <c r="AN114" s="95"/>
      <c r="AO114" s="95"/>
      <c r="AP114" s="141"/>
      <c r="AQ114" s="95"/>
      <c r="AR114" s="95"/>
      <c r="AS114" s="95"/>
      <c r="AT114" s="95"/>
      <c r="AU114" s="95"/>
      <c r="AV114" s="95"/>
      <c r="AW114" s="95"/>
      <c r="AX114" s="106"/>
      <c r="AY114" s="107"/>
      <c r="AZ114" s="107"/>
      <c r="BA114" s="107"/>
      <c r="BB114" s="107"/>
      <c r="BC114" s="107"/>
      <c r="BD114" s="108"/>
      <c r="BE114" s="107"/>
      <c r="BF114" s="107"/>
      <c r="BG114" s="107"/>
      <c r="BH114" s="107"/>
      <c r="BI114" s="107"/>
      <c r="BJ114" s="107"/>
      <c r="BK114" s="108"/>
      <c r="BL114" s="88"/>
      <c r="BM114" s="89"/>
      <c r="BN114" s="89"/>
      <c r="BO114" s="89"/>
      <c r="BP114" s="89"/>
      <c r="BQ114" s="89"/>
      <c r="BR114" s="90"/>
      <c r="BS114" s="89"/>
      <c r="BT114" s="89"/>
      <c r="BU114" s="89"/>
      <c r="BV114" s="89"/>
      <c r="BW114" s="89"/>
      <c r="BX114" s="89"/>
      <c r="BY114" s="89"/>
      <c r="BZ114" s="100"/>
      <c r="CA114" s="101"/>
      <c r="CB114" s="101"/>
      <c r="CC114" s="101"/>
      <c r="CD114" s="101"/>
      <c r="CE114" s="101"/>
      <c r="CF114" s="101"/>
      <c r="CG114" s="100"/>
      <c r="CH114" s="101"/>
      <c r="CI114" s="101"/>
      <c r="CJ114" s="101"/>
      <c r="CK114" s="101"/>
      <c r="CL114" s="101"/>
      <c r="CM114" s="102"/>
      <c r="CN114" s="84">
        <v>75</v>
      </c>
    </row>
    <row r="115" spans="7:92">
      <c r="G115" s="84">
        <v>111</v>
      </c>
      <c r="H115" s="30">
        <v>117</v>
      </c>
      <c r="I115" s="31">
        <f t="shared" si="86"/>
        <v>114</v>
      </c>
      <c r="J115" s="31">
        <f t="shared" si="90"/>
        <v>112</v>
      </c>
      <c r="K115" s="31">
        <f t="shared" si="88"/>
        <v>110</v>
      </c>
      <c r="L115" s="31">
        <f t="shared" si="91"/>
        <v>109</v>
      </c>
      <c r="M115" s="31">
        <v>108</v>
      </c>
      <c r="N115" s="32">
        <v>108</v>
      </c>
      <c r="O115" s="31">
        <f t="shared" si="87"/>
        <v>117</v>
      </c>
      <c r="P115" s="31">
        <f t="shared" si="89"/>
        <v>110</v>
      </c>
      <c r="Q115" s="31">
        <f t="shared" si="95"/>
        <v>107</v>
      </c>
      <c r="R115" s="31">
        <v>106</v>
      </c>
      <c r="S115" s="31">
        <v>107</v>
      </c>
      <c r="T115" s="31">
        <v>109</v>
      </c>
      <c r="U115" s="31">
        <f t="shared" si="93"/>
        <v>114</v>
      </c>
      <c r="V115" s="37">
        <f t="shared" si="97"/>
        <v>107</v>
      </c>
      <c r="W115" s="47">
        <f t="shared" ref="W115:Y120" si="101">W114+1</f>
        <v>104</v>
      </c>
      <c r="X115" s="47">
        <f>X114+1</f>
        <v>102</v>
      </c>
      <c r="Y115" s="47">
        <f>Y114+1</f>
        <v>101</v>
      </c>
      <c r="Z115" s="47">
        <v>101</v>
      </c>
      <c r="AA115" s="47">
        <v>101</v>
      </c>
      <c r="AB115" s="133"/>
      <c r="AC115" s="37">
        <f t="shared" si="100"/>
        <v>103</v>
      </c>
      <c r="AD115" s="47">
        <f t="shared" si="99"/>
        <v>100</v>
      </c>
      <c r="AE115" s="47">
        <f t="shared" si="81"/>
        <v>99</v>
      </c>
      <c r="AF115" s="47">
        <f t="shared" si="78"/>
        <v>99</v>
      </c>
      <c r="AG115" s="47">
        <f t="shared" si="76"/>
        <v>99</v>
      </c>
      <c r="AH115" s="47">
        <v>100</v>
      </c>
      <c r="AI115" s="134"/>
      <c r="AJ115" s="94"/>
      <c r="AK115" s="95"/>
      <c r="AL115" s="95"/>
      <c r="AM115" s="95"/>
      <c r="AN115" s="95"/>
      <c r="AO115" s="95"/>
      <c r="AP115" s="141"/>
      <c r="AQ115" s="95"/>
      <c r="AR115" s="95"/>
      <c r="AS115" s="95"/>
      <c r="AT115" s="95"/>
      <c r="AU115" s="95"/>
      <c r="AV115" s="95"/>
      <c r="AW115" s="95"/>
      <c r="AX115" s="106"/>
      <c r="AY115" s="107"/>
      <c r="AZ115" s="107"/>
      <c r="BA115" s="107"/>
      <c r="BB115" s="107"/>
      <c r="BC115" s="107"/>
      <c r="BD115" s="108"/>
      <c r="BE115" s="107"/>
      <c r="BF115" s="107"/>
      <c r="BG115" s="107"/>
      <c r="BH115" s="107"/>
      <c r="BI115" s="107"/>
      <c r="BJ115" s="107"/>
      <c r="BK115" s="108"/>
      <c r="BL115" s="88"/>
      <c r="BM115" s="89"/>
      <c r="BN115" s="89"/>
      <c r="BO115" s="89"/>
      <c r="BP115" s="89"/>
      <c r="BQ115" s="89"/>
      <c r="BR115" s="90"/>
      <c r="BS115" s="89"/>
      <c r="BT115" s="89"/>
      <c r="BU115" s="89"/>
      <c r="BV115" s="89"/>
      <c r="BW115" s="89"/>
      <c r="BX115" s="89"/>
      <c r="BY115" s="89"/>
      <c r="BZ115" s="100"/>
      <c r="CA115" s="101"/>
      <c r="CB115" s="101"/>
      <c r="CC115" s="101"/>
      <c r="CD115" s="101"/>
      <c r="CE115" s="101"/>
      <c r="CF115" s="101"/>
      <c r="CG115" s="100"/>
      <c r="CH115" s="101"/>
      <c r="CI115" s="101"/>
      <c r="CJ115" s="101"/>
      <c r="CK115" s="101"/>
      <c r="CL115" s="101"/>
      <c r="CM115" s="102"/>
      <c r="CN115" s="84">
        <v>77</v>
      </c>
    </row>
    <row r="116" spans="7:92">
      <c r="G116" s="84">
        <v>112</v>
      </c>
      <c r="H116" s="30">
        <v>118</v>
      </c>
      <c r="I116" s="31">
        <f t="shared" si="86"/>
        <v>115</v>
      </c>
      <c r="J116" s="31">
        <f t="shared" si="90"/>
        <v>113</v>
      </c>
      <c r="K116" s="31">
        <f t="shared" si="88"/>
        <v>111</v>
      </c>
      <c r="L116" s="31">
        <f t="shared" si="91"/>
        <v>110</v>
      </c>
      <c r="M116" s="31">
        <f t="shared" si="94"/>
        <v>109</v>
      </c>
      <c r="N116" s="32">
        <f t="shared" si="92"/>
        <v>109</v>
      </c>
      <c r="O116" s="31">
        <f t="shared" si="87"/>
        <v>118</v>
      </c>
      <c r="P116" s="31">
        <f t="shared" si="89"/>
        <v>111</v>
      </c>
      <c r="Q116" s="31">
        <f t="shared" si="95"/>
        <v>108</v>
      </c>
      <c r="R116" s="31">
        <v>107</v>
      </c>
      <c r="S116" s="31">
        <v>108</v>
      </c>
      <c r="T116" s="31">
        <v>110</v>
      </c>
      <c r="U116" s="31">
        <f t="shared" si="93"/>
        <v>115</v>
      </c>
      <c r="V116" s="37">
        <f t="shared" si="97"/>
        <v>108</v>
      </c>
      <c r="W116" s="47">
        <f t="shared" si="101"/>
        <v>105</v>
      </c>
      <c r="X116" s="47">
        <f t="shared" si="101"/>
        <v>103</v>
      </c>
      <c r="Y116" s="47">
        <f t="shared" si="101"/>
        <v>102</v>
      </c>
      <c r="Z116" s="47">
        <v>101</v>
      </c>
      <c r="AA116" s="47">
        <v>102</v>
      </c>
      <c r="AB116" s="133"/>
      <c r="AC116" s="37">
        <f t="shared" si="100"/>
        <v>104</v>
      </c>
      <c r="AD116" s="47">
        <f t="shared" si="99"/>
        <v>100</v>
      </c>
      <c r="AE116" s="47">
        <f t="shared" si="81"/>
        <v>99</v>
      </c>
      <c r="AF116" s="47">
        <f t="shared" si="78"/>
        <v>99</v>
      </c>
      <c r="AG116" s="47">
        <f t="shared" si="76"/>
        <v>99</v>
      </c>
      <c r="AH116" s="47">
        <v>100</v>
      </c>
      <c r="AI116" s="134"/>
      <c r="AJ116" s="94"/>
      <c r="AK116" s="95"/>
      <c r="AL116" s="95"/>
      <c r="AM116" s="95"/>
      <c r="AN116" s="95"/>
      <c r="AO116" s="95"/>
      <c r="AP116" s="141"/>
      <c r="AQ116" s="95"/>
      <c r="AR116" s="95"/>
      <c r="AS116" s="95"/>
      <c r="AT116" s="95"/>
      <c r="AU116" s="95"/>
      <c r="AV116" s="95"/>
      <c r="AW116" s="95"/>
      <c r="AX116" s="106"/>
      <c r="AY116" s="107"/>
      <c r="AZ116" s="107"/>
      <c r="BA116" s="107"/>
      <c r="BB116" s="107"/>
      <c r="BC116" s="107"/>
      <c r="BD116" s="108"/>
      <c r="BE116" s="107"/>
      <c r="BF116" s="107"/>
      <c r="BG116" s="107"/>
      <c r="BH116" s="107"/>
      <c r="BI116" s="107"/>
      <c r="BJ116" s="107"/>
      <c r="BK116" s="108"/>
      <c r="BL116" s="88"/>
      <c r="BM116" s="89"/>
      <c r="BN116" s="89"/>
      <c r="BO116" s="89"/>
      <c r="BP116" s="89"/>
      <c r="BQ116" s="89"/>
      <c r="BR116" s="90"/>
      <c r="BS116" s="89"/>
      <c r="BT116" s="89"/>
      <c r="BU116" s="89"/>
      <c r="BV116" s="89"/>
      <c r="BW116" s="89"/>
      <c r="BX116" s="89"/>
      <c r="BY116" s="89"/>
      <c r="BZ116" s="100"/>
      <c r="CA116" s="101"/>
      <c r="CB116" s="101"/>
      <c r="CC116" s="101"/>
      <c r="CD116" s="101"/>
      <c r="CE116" s="101"/>
      <c r="CF116" s="101"/>
      <c r="CG116" s="100"/>
      <c r="CH116" s="101"/>
      <c r="CI116" s="101"/>
      <c r="CJ116" s="101"/>
      <c r="CK116" s="101"/>
      <c r="CL116" s="101"/>
      <c r="CM116" s="102"/>
      <c r="CN116" s="84">
        <v>79</v>
      </c>
    </row>
    <row r="117" spans="7:92">
      <c r="G117" s="84">
        <v>113</v>
      </c>
      <c r="H117" s="30">
        <v>119</v>
      </c>
      <c r="I117" s="31">
        <f t="shared" si="86"/>
        <v>116</v>
      </c>
      <c r="J117" s="31">
        <f t="shared" si="90"/>
        <v>114</v>
      </c>
      <c r="K117" s="31">
        <f t="shared" si="88"/>
        <v>112</v>
      </c>
      <c r="L117" s="31">
        <f t="shared" si="91"/>
        <v>111</v>
      </c>
      <c r="M117" s="31">
        <f t="shared" si="94"/>
        <v>110</v>
      </c>
      <c r="N117" s="32">
        <f t="shared" si="92"/>
        <v>110</v>
      </c>
      <c r="O117" s="31">
        <v>120</v>
      </c>
      <c r="P117" s="31">
        <f t="shared" si="89"/>
        <v>112</v>
      </c>
      <c r="Q117" s="31">
        <f t="shared" si="95"/>
        <v>109</v>
      </c>
      <c r="R117" s="31">
        <v>108</v>
      </c>
      <c r="S117" s="31">
        <f t="shared" si="96"/>
        <v>108</v>
      </c>
      <c r="T117" s="31">
        <v>111</v>
      </c>
      <c r="U117" s="31">
        <f t="shared" si="93"/>
        <v>116</v>
      </c>
      <c r="V117" s="37">
        <f t="shared" si="97"/>
        <v>109</v>
      </c>
      <c r="W117" s="47">
        <f t="shared" si="101"/>
        <v>106</v>
      </c>
      <c r="X117" s="47">
        <f t="shared" si="101"/>
        <v>104</v>
      </c>
      <c r="Y117" s="47">
        <f t="shared" si="101"/>
        <v>103</v>
      </c>
      <c r="Z117" s="47">
        <v>102</v>
      </c>
      <c r="AA117" s="47">
        <v>102</v>
      </c>
      <c r="AB117" s="133"/>
      <c r="AC117" s="37">
        <f t="shared" si="100"/>
        <v>105</v>
      </c>
      <c r="AD117" s="47">
        <f t="shared" si="99"/>
        <v>101</v>
      </c>
      <c r="AE117" s="47">
        <f t="shared" si="81"/>
        <v>100</v>
      </c>
      <c r="AF117" s="47">
        <v>99</v>
      </c>
      <c r="AG117" s="47">
        <f t="shared" si="76"/>
        <v>100</v>
      </c>
      <c r="AH117" s="47">
        <f>AH116+1</f>
        <v>101</v>
      </c>
      <c r="AI117" s="134"/>
      <c r="AJ117" s="94"/>
      <c r="AK117" s="95"/>
      <c r="AL117" s="95"/>
      <c r="AM117" s="95"/>
      <c r="AN117" s="95"/>
      <c r="AO117" s="95"/>
      <c r="AP117" s="141"/>
      <c r="AQ117" s="95"/>
      <c r="AR117" s="95"/>
      <c r="AS117" s="95"/>
      <c r="AT117" s="95"/>
      <c r="AU117" s="95"/>
      <c r="AV117" s="95"/>
      <c r="AW117" s="95"/>
      <c r="AX117" s="106"/>
      <c r="AY117" s="107"/>
      <c r="AZ117" s="107"/>
      <c r="BA117" s="107"/>
      <c r="BB117" s="107"/>
      <c r="BC117" s="107"/>
      <c r="BD117" s="108"/>
      <c r="BE117" s="107"/>
      <c r="BF117" s="107"/>
      <c r="BG117" s="107"/>
      <c r="BH117" s="107"/>
      <c r="BI117" s="107"/>
      <c r="BJ117" s="107"/>
      <c r="BK117" s="108"/>
      <c r="BL117" s="88"/>
      <c r="BM117" s="89"/>
      <c r="BN117" s="89"/>
      <c r="BO117" s="89"/>
      <c r="BP117" s="89"/>
      <c r="BQ117" s="89"/>
      <c r="BR117" s="90"/>
      <c r="BS117" s="89"/>
      <c r="BT117" s="89"/>
      <c r="BU117" s="89"/>
      <c r="BV117" s="89"/>
      <c r="BW117" s="89"/>
      <c r="BX117" s="89"/>
      <c r="BY117" s="89"/>
      <c r="BZ117" s="100"/>
      <c r="CA117" s="101"/>
      <c r="CB117" s="101"/>
      <c r="CC117" s="101"/>
      <c r="CD117" s="101"/>
      <c r="CE117" s="101"/>
      <c r="CF117" s="101"/>
      <c r="CG117" s="100"/>
      <c r="CH117" s="101"/>
      <c r="CI117" s="101"/>
      <c r="CJ117" s="101"/>
      <c r="CK117" s="101"/>
      <c r="CL117" s="101"/>
      <c r="CM117" s="102"/>
      <c r="CN117" s="84">
        <v>81</v>
      </c>
    </row>
    <row r="118" spans="7:92">
      <c r="G118" s="84">
        <v>114</v>
      </c>
      <c r="H118" s="30">
        <v>120</v>
      </c>
      <c r="I118" s="31">
        <f t="shared" si="86"/>
        <v>117</v>
      </c>
      <c r="J118" s="31">
        <f t="shared" si="90"/>
        <v>115</v>
      </c>
      <c r="K118" s="31">
        <f t="shared" si="88"/>
        <v>113</v>
      </c>
      <c r="L118" s="31">
        <f t="shared" si="91"/>
        <v>112</v>
      </c>
      <c r="M118" s="31">
        <f t="shared" si="94"/>
        <v>111</v>
      </c>
      <c r="N118" s="32">
        <f t="shared" si="92"/>
        <v>111</v>
      </c>
      <c r="O118" s="31">
        <v>120</v>
      </c>
      <c r="P118" s="31">
        <f t="shared" si="89"/>
        <v>113</v>
      </c>
      <c r="Q118" s="31">
        <f t="shared" si="95"/>
        <v>110</v>
      </c>
      <c r="R118" s="31">
        <v>109</v>
      </c>
      <c r="S118" s="31">
        <v>109</v>
      </c>
      <c r="T118" s="31">
        <v>112</v>
      </c>
      <c r="U118" s="31">
        <f t="shared" si="93"/>
        <v>117</v>
      </c>
      <c r="V118" s="37">
        <f t="shared" si="97"/>
        <v>110</v>
      </c>
      <c r="W118" s="47">
        <f t="shared" si="101"/>
        <v>107</v>
      </c>
      <c r="X118" s="47">
        <f t="shared" si="101"/>
        <v>105</v>
      </c>
      <c r="Y118" s="47">
        <v>103</v>
      </c>
      <c r="Z118" s="47">
        <v>103</v>
      </c>
      <c r="AA118" s="47">
        <v>103</v>
      </c>
      <c r="AB118" s="133"/>
      <c r="AC118" s="37">
        <f t="shared" si="100"/>
        <v>106</v>
      </c>
      <c r="AD118" s="47">
        <f>AD117+1</f>
        <v>102</v>
      </c>
      <c r="AE118" s="47">
        <f t="shared" si="81"/>
        <v>100</v>
      </c>
      <c r="AF118" s="47">
        <f t="shared" si="78"/>
        <v>100</v>
      </c>
      <c r="AG118" s="47">
        <f t="shared" si="76"/>
        <v>100</v>
      </c>
      <c r="AH118" s="47">
        <f t="shared" ref="AH118:AH137" si="102">AH117+1</f>
        <v>102</v>
      </c>
      <c r="AI118" s="134"/>
      <c r="AJ118" s="94"/>
      <c r="AK118" s="95"/>
      <c r="AL118" s="95"/>
      <c r="AM118" s="95"/>
      <c r="AN118" s="95"/>
      <c r="AO118" s="95"/>
      <c r="AP118" s="141"/>
      <c r="AQ118" s="95"/>
      <c r="AR118" s="95"/>
      <c r="AS118" s="95"/>
      <c r="AT118" s="95"/>
      <c r="AU118" s="95"/>
      <c r="AV118" s="95"/>
      <c r="AW118" s="95"/>
      <c r="AX118" s="106"/>
      <c r="AY118" s="107"/>
      <c r="AZ118" s="107"/>
      <c r="BA118" s="107"/>
      <c r="BB118" s="107"/>
      <c r="BC118" s="107"/>
      <c r="BD118" s="108"/>
      <c r="BE118" s="107"/>
      <c r="BF118" s="107"/>
      <c r="BG118" s="107"/>
      <c r="BH118" s="107"/>
      <c r="BI118" s="107"/>
      <c r="BJ118" s="107"/>
      <c r="BK118" s="108"/>
      <c r="BL118" s="88"/>
      <c r="BM118" s="89"/>
      <c r="BN118" s="89"/>
      <c r="BO118" s="89"/>
      <c r="BP118" s="89"/>
      <c r="BQ118" s="89"/>
      <c r="BR118" s="90"/>
      <c r="BS118" s="89"/>
      <c r="BT118" s="89"/>
      <c r="BU118" s="89"/>
      <c r="BV118" s="89"/>
      <c r="BW118" s="89"/>
      <c r="BX118" s="89"/>
      <c r="BY118" s="89"/>
      <c r="BZ118" s="100"/>
      <c r="CA118" s="101"/>
      <c r="CB118" s="101"/>
      <c r="CC118" s="101"/>
      <c r="CD118" s="101"/>
      <c r="CE118" s="101"/>
      <c r="CF118" s="101"/>
      <c r="CG118" s="100"/>
      <c r="CH118" s="101"/>
      <c r="CI118" s="101"/>
      <c r="CJ118" s="101"/>
      <c r="CK118" s="101"/>
      <c r="CL118" s="101"/>
      <c r="CM118" s="102"/>
      <c r="CN118" s="84">
        <v>82</v>
      </c>
    </row>
    <row r="119" spans="7:92">
      <c r="G119" s="84">
        <v>115</v>
      </c>
      <c r="H119" s="30">
        <v>120</v>
      </c>
      <c r="I119" s="31">
        <f t="shared" si="86"/>
        <v>118</v>
      </c>
      <c r="J119" s="31">
        <f t="shared" si="90"/>
        <v>116</v>
      </c>
      <c r="K119" s="31">
        <f t="shared" si="88"/>
        <v>114</v>
      </c>
      <c r="L119" s="31">
        <f t="shared" si="91"/>
        <v>113</v>
      </c>
      <c r="M119" s="31">
        <f t="shared" si="94"/>
        <v>112</v>
      </c>
      <c r="N119" s="32">
        <f t="shared" si="92"/>
        <v>112</v>
      </c>
      <c r="O119" s="31">
        <v>120</v>
      </c>
      <c r="P119" s="31">
        <f t="shared" si="89"/>
        <v>114</v>
      </c>
      <c r="Q119" s="31">
        <v>110</v>
      </c>
      <c r="R119" s="31">
        <v>109</v>
      </c>
      <c r="S119" s="31">
        <v>110</v>
      </c>
      <c r="T119" s="31">
        <v>112</v>
      </c>
      <c r="U119" s="31">
        <f t="shared" si="93"/>
        <v>118</v>
      </c>
      <c r="V119" s="37">
        <f t="shared" si="97"/>
        <v>111</v>
      </c>
      <c r="W119" s="47">
        <f t="shared" si="101"/>
        <v>108</v>
      </c>
      <c r="X119" s="47">
        <v>105</v>
      </c>
      <c r="Y119" s="47">
        <f t="shared" ref="Y119:Y136" si="103">Y118+1</f>
        <v>104</v>
      </c>
      <c r="Z119" s="47">
        <v>104</v>
      </c>
      <c r="AA119" s="47">
        <v>104</v>
      </c>
      <c r="AB119" s="133"/>
      <c r="AC119" s="37">
        <f t="shared" si="100"/>
        <v>107</v>
      </c>
      <c r="AD119" s="47">
        <f t="shared" ref="AD119:AD138" si="104">AD118+1</f>
        <v>103</v>
      </c>
      <c r="AE119" s="47">
        <f t="shared" si="81"/>
        <v>101</v>
      </c>
      <c r="AF119" s="47">
        <f t="shared" si="78"/>
        <v>100</v>
      </c>
      <c r="AG119" s="47">
        <v>101</v>
      </c>
      <c r="AH119" s="47">
        <f t="shared" si="102"/>
        <v>103</v>
      </c>
      <c r="AI119" s="134"/>
      <c r="AJ119" s="94"/>
      <c r="AK119" s="95"/>
      <c r="AL119" s="95"/>
      <c r="AM119" s="95"/>
      <c r="AN119" s="95"/>
      <c r="AO119" s="95"/>
      <c r="AP119" s="141"/>
      <c r="AQ119" s="95"/>
      <c r="AR119" s="95"/>
      <c r="AS119" s="95"/>
      <c r="AT119" s="95"/>
      <c r="AU119" s="95"/>
      <c r="AV119" s="95"/>
      <c r="AW119" s="95"/>
      <c r="AX119" s="106"/>
      <c r="AY119" s="107"/>
      <c r="AZ119" s="107"/>
      <c r="BA119" s="107"/>
      <c r="BB119" s="107"/>
      <c r="BC119" s="107"/>
      <c r="BD119" s="108"/>
      <c r="BE119" s="107"/>
      <c r="BF119" s="107"/>
      <c r="BG119" s="107"/>
      <c r="BH119" s="107"/>
      <c r="BI119" s="107"/>
      <c r="BJ119" s="107"/>
      <c r="BK119" s="108"/>
      <c r="BL119" s="88"/>
      <c r="BM119" s="89"/>
      <c r="BN119" s="89"/>
      <c r="BO119" s="89"/>
      <c r="BP119" s="89"/>
      <c r="BQ119" s="89"/>
      <c r="BR119" s="90"/>
      <c r="BS119" s="89"/>
      <c r="BT119" s="89"/>
      <c r="BU119" s="89"/>
      <c r="BV119" s="89"/>
      <c r="BW119" s="89"/>
      <c r="BX119" s="89"/>
      <c r="BY119" s="89"/>
      <c r="BZ119" s="100"/>
      <c r="CA119" s="101"/>
      <c r="CB119" s="101"/>
      <c r="CC119" s="101"/>
      <c r="CD119" s="101"/>
      <c r="CE119" s="101"/>
      <c r="CF119" s="101"/>
      <c r="CG119" s="100"/>
      <c r="CH119" s="101"/>
      <c r="CI119" s="101"/>
      <c r="CJ119" s="101"/>
      <c r="CK119" s="101"/>
      <c r="CL119" s="101"/>
      <c r="CM119" s="102"/>
      <c r="CN119" s="84">
        <v>84</v>
      </c>
    </row>
    <row r="120" spans="7:92">
      <c r="G120" s="84">
        <v>116</v>
      </c>
      <c r="H120" s="30">
        <v>120</v>
      </c>
      <c r="I120" s="31">
        <f t="shared" si="86"/>
        <v>119</v>
      </c>
      <c r="J120" s="31">
        <f t="shared" si="90"/>
        <v>117</v>
      </c>
      <c r="K120" s="31">
        <f t="shared" si="88"/>
        <v>115</v>
      </c>
      <c r="L120" s="31">
        <f t="shared" si="91"/>
        <v>114</v>
      </c>
      <c r="M120" s="31">
        <f t="shared" si="94"/>
        <v>113</v>
      </c>
      <c r="N120" s="32">
        <f t="shared" si="92"/>
        <v>113</v>
      </c>
      <c r="O120" s="31">
        <v>120</v>
      </c>
      <c r="P120" s="31">
        <f t="shared" si="89"/>
        <v>115</v>
      </c>
      <c r="Q120" s="31">
        <f t="shared" si="95"/>
        <v>111</v>
      </c>
      <c r="R120" s="31">
        <v>110</v>
      </c>
      <c r="S120" s="31">
        <v>111</v>
      </c>
      <c r="T120" s="31">
        <v>113</v>
      </c>
      <c r="U120" s="31">
        <f t="shared" si="93"/>
        <v>119</v>
      </c>
      <c r="V120" s="37">
        <f t="shared" si="97"/>
        <v>112</v>
      </c>
      <c r="W120" s="47">
        <f t="shared" si="101"/>
        <v>109</v>
      </c>
      <c r="X120" s="47">
        <f t="shared" si="101"/>
        <v>106</v>
      </c>
      <c r="Y120" s="47">
        <f t="shared" si="103"/>
        <v>105</v>
      </c>
      <c r="Z120" s="47">
        <v>104</v>
      </c>
      <c r="AA120" s="47">
        <v>105</v>
      </c>
      <c r="AB120" s="133"/>
      <c r="AC120" s="37">
        <f t="shared" si="100"/>
        <v>108</v>
      </c>
      <c r="AD120" s="47">
        <f t="shared" si="104"/>
        <v>104</v>
      </c>
      <c r="AE120" s="47">
        <f>AE119+1</f>
        <v>102</v>
      </c>
      <c r="AF120" s="47">
        <f t="shared" si="78"/>
        <v>101</v>
      </c>
      <c r="AG120" s="47">
        <v>102</v>
      </c>
      <c r="AH120" s="47">
        <v>103</v>
      </c>
      <c r="AI120" s="134"/>
      <c r="AJ120" s="94"/>
      <c r="AK120" s="95"/>
      <c r="AL120" s="95"/>
      <c r="AM120" s="95"/>
      <c r="AN120" s="95"/>
      <c r="AO120" s="95"/>
      <c r="AP120" s="141"/>
      <c r="AQ120" s="95"/>
      <c r="AR120" s="95"/>
      <c r="AS120" s="95"/>
      <c r="AT120" s="95"/>
      <c r="AU120" s="95"/>
      <c r="AV120" s="95"/>
      <c r="AW120" s="95"/>
      <c r="AX120" s="106"/>
      <c r="AY120" s="107"/>
      <c r="AZ120" s="107"/>
      <c r="BA120" s="107"/>
      <c r="BB120" s="107"/>
      <c r="BC120" s="107"/>
      <c r="BD120" s="108"/>
      <c r="BE120" s="107"/>
      <c r="BF120" s="107"/>
      <c r="BG120" s="107"/>
      <c r="BH120" s="107"/>
      <c r="BI120" s="107"/>
      <c r="BJ120" s="107"/>
      <c r="BK120" s="108"/>
      <c r="BL120" s="88"/>
      <c r="BM120" s="89"/>
      <c r="BN120" s="89"/>
      <c r="BO120" s="89"/>
      <c r="BP120" s="89"/>
      <c r="BQ120" s="89"/>
      <c r="BR120" s="90"/>
      <c r="BS120" s="89"/>
      <c r="BT120" s="89"/>
      <c r="BU120" s="89"/>
      <c r="BV120" s="89"/>
      <c r="BW120" s="89"/>
      <c r="BX120" s="89"/>
      <c r="BY120" s="89"/>
      <c r="BZ120" s="100"/>
      <c r="CA120" s="101"/>
      <c r="CB120" s="101"/>
      <c r="CC120" s="101"/>
      <c r="CD120" s="101"/>
      <c r="CE120" s="101"/>
      <c r="CF120" s="101"/>
      <c r="CG120" s="100"/>
      <c r="CH120" s="101"/>
      <c r="CI120" s="101"/>
      <c r="CJ120" s="101"/>
      <c r="CK120" s="101"/>
      <c r="CL120" s="101"/>
      <c r="CM120" s="102"/>
      <c r="CN120" s="84">
        <v>86</v>
      </c>
    </row>
    <row r="121" spans="7:92">
      <c r="G121" s="84">
        <v>117</v>
      </c>
      <c r="H121" s="30">
        <v>120</v>
      </c>
      <c r="I121" s="31">
        <f t="shared" si="86"/>
        <v>120</v>
      </c>
      <c r="J121" s="31">
        <f t="shared" si="90"/>
        <v>118</v>
      </c>
      <c r="K121" s="31">
        <f t="shared" si="88"/>
        <v>116</v>
      </c>
      <c r="L121" s="31">
        <f t="shared" si="91"/>
        <v>115</v>
      </c>
      <c r="M121" s="31">
        <f t="shared" si="94"/>
        <v>114</v>
      </c>
      <c r="N121" s="32">
        <f t="shared" si="92"/>
        <v>114</v>
      </c>
      <c r="O121" s="31">
        <v>120</v>
      </c>
      <c r="P121" s="31">
        <v>115</v>
      </c>
      <c r="Q121" s="31">
        <f t="shared" si="95"/>
        <v>112</v>
      </c>
      <c r="R121" s="31">
        <v>111</v>
      </c>
      <c r="S121" s="31">
        <f t="shared" si="96"/>
        <v>111</v>
      </c>
      <c r="T121" s="31">
        <v>114</v>
      </c>
      <c r="U121" s="31">
        <f t="shared" si="93"/>
        <v>120</v>
      </c>
      <c r="V121" s="37">
        <f t="shared" si="97"/>
        <v>113</v>
      </c>
      <c r="W121" s="47">
        <v>109</v>
      </c>
      <c r="X121" s="47">
        <f t="shared" ref="X121:X135" si="105">X120+1</f>
        <v>107</v>
      </c>
      <c r="Y121" s="47">
        <f t="shared" si="103"/>
        <v>106</v>
      </c>
      <c r="Z121" s="47">
        <v>105</v>
      </c>
      <c r="AA121" s="47">
        <v>105</v>
      </c>
      <c r="AB121" s="133"/>
      <c r="AC121" s="37">
        <f t="shared" si="100"/>
        <v>109</v>
      </c>
      <c r="AD121" s="47">
        <f t="shared" si="104"/>
        <v>105</v>
      </c>
      <c r="AE121" s="47">
        <f>AE120+1</f>
        <v>103</v>
      </c>
      <c r="AF121" s="47">
        <f>AF120+1</f>
        <v>102</v>
      </c>
      <c r="AG121" s="47">
        <v>102</v>
      </c>
      <c r="AH121" s="47">
        <f t="shared" si="102"/>
        <v>104</v>
      </c>
      <c r="AI121" s="134"/>
      <c r="AJ121" s="94"/>
      <c r="AK121" s="95"/>
      <c r="AL121" s="95"/>
      <c r="AM121" s="95"/>
      <c r="AN121" s="95"/>
      <c r="AO121" s="95"/>
      <c r="AP121" s="141"/>
      <c r="AQ121" s="95"/>
      <c r="AR121" s="95"/>
      <c r="AS121" s="95"/>
      <c r="AT121" s="95"/>
      <c r="AU121" s="95"/>
      <c r="AV121" s="95"/>
      <c r="AW121" s="95"/>
      <c r="AX121" s="106"/>
      <c r="AY121" s="107"/>
      <c r="AZ121" s="107"/>
      <c r="BA121" s="107"/>
      <c r="BB121" s="107"/>
      <c r="BC121" s="107"/>
      <c r="BD121" s="108"/>
      <c r="BE121" s="107"/>
      <c r="BF121" s="107"/>
      <c r="BG121" s="107"/>
      <c r="BH121" s="107"/>
      <c r="BI121" s="107"/>
      <c r="BJ121" s="107"/>
      <c r="BK121" s="108"/>
      <c r="BL121" s="88"/>
      <c r="BM121" s="89"/>
      <c r="BN121" s="89"/>
      <c r="BO121" s="89"/>
      <c r="BP121" s="89"/>
      <c r="BQ121" s="89"/>
      <c r="BR121" s="90"/>
      <c r="BS121" s="89"/>
      <c r="BT121" s="89"/>
      <c r="BU121" s="89"/>
      <c r="BV121" s="89"/>
      <c r="BW121" s="89"/>
      <c r="BX121" s="89"/>
      <c r="BY121" s="89"/>
      <c r="BZ121" s="100"/>
      <c r="CA121" s="101"/>
      <c r="CB121" s="101"/>
      <c r="CC121" s="101"/>
      <c r="CD121" s="101"/>
      <c r="CE121" s="101"/>
      <c r="CF121" s="101"/>
      <c r="CG121" s="100"/>
      <c r="CH121" s="101"/>
      <c r="CI121" s="101"/>
      <c r="CJ121" s="101"/>
      <c r="CK121" s="101"/>
      <c r="CL121" s="101"/>
      <c r="CM121" s="102"/>
      <c r="CN121" s="84">
        <v>87</v>
      </c>
    </row>
    <row r="122" spans="7:92">
      <c r="G122" s="84">
        <v>118</v>
      </c>
      <c r="H122" s="30">
        <v>120</v>
      </c>
      <c r="I122" s="31">
        <v>120</v>
      </c>
      <c r="J122" s="31">
        <f t="shared" si="90"/>
        <v>119</v>
      </c>
      <c r="K122" s="31">
        <f t="shared" si="88"/>
        <v>117</v>
      </c>
      <c r="L122" s="31">
        <f t="shared" si="91"/>
        <v>116</v>
      </c>
      <c r="M122" s="31">
        <f t="shared" si="94"/>
        <v>115</v>
      </c>
      <c r="N122" s="32">
        <f t="shared" si="92"/>
        <v>115</v>
      </c>
      <c r="O122" s="31">
        <v>120</v>
      </c>
      <c r="P122" s="31">
        <f t="shared" si="89"/>
        <v>116</v>
      </c>
      <c r="Q122" s="31">
        <f t="shared" si="95"/>
        <v>113</v>
      </c>
      <c r="R122" s="31">
        <v>112</v>
      </c>
      <c r="S122" s="31">
        <f t="shared" si="96"/>
        <v>112</v>
      </c>
      <c r="T122" s="31">
        <v>115</v>
      </c>
      <c r="U122" s="34">
        <v>120</v>
      </c>
      <c r="V122" s="37">
        <f t="shared" si="97"/>
        <v>114</v>
      </c>
      <c r="W122" s="47">
        <f t="shared" ref="W122:W132" si="106">W121+1</f>
        <v>110</v>
      </c>
      <c r="X122" s="47">
        <f t="shared" si="105"/>
        <v>108</v>
      </c>
      <c r="Y122" s="47">
        <f t="shared" si="103"/>
        <v>107</v>
      </c>
      <c r="Z122" s="47">
        <v>106</v>
      </c>
      <c r="AA122" s="47">
        <v>106</v>
      </c>
      <c r="AB122" s="133"/>
      <c r="AC122" s="37">
        <f t="shared" si="100"/>
        <v>110</v>
      </c>
      <c r="AD122" s="47">
        <f t="shared" si="104"/>
        <v>106</v>
      </c>
      <c r="AE122" s="47">
        <f t="shared" ref="AE122:AE139" si="107">AE121+1</f>
        <v>104</v>
      </c>
      <c r="AF122" s="47">
        <f t="shared" ref="AF122:AF137" si="108">AF121+1</f>
        <v>103</v>
      </c>
      <c r="AG122" s="47">
        <v>103</v>
      </c>
      <c r="AH122" s="47">
        <f t="shared" si="102"/>
        <v>105</v>
      </c>
      <c r="AI122" s="134"/>
      <c r="AJ122" s="94"/>
      <c r="AK122" s="95"/>
      <c r="AL122" s="95"/>
      <c r="AM122" s="95"/>
      <c r="AN122" s="95"/>
      <c r="AO122" s="95"/>
      <c r="AP122" s="141"/>
      <c r="AQ122" s="95"/>
      <c r="AR122" s="95"/>
      <c r="AS122" s="95"/>
      <c r="AT122" s="95"/>
      <c r="AU122" s="95"/>
      <c r="AV122" s="95"/>
      <c r="AW122" s="95"/>
      <c r="AX122" s="106"/>
      <c r="AY122" s="107"/>
      <c r="AZ122" s="107"/>
      <c r="BA122" s="107"/>
      <c r="BB122" s="107"/>
      <c r="BC122" s="107"/>
      <c r="BD122" s="108"/>
      <c r="BE122" s="107"/>
      <c r="BF122" s="107"/>
      <c r="BG122" s="107"/>
      <c r="BH122" s="107"/>
      <c r="BI122" s="107"/>
      <c r="BJ122" s="107"/>
      <c r="BK122" s="108"/>
      <c r="BL122" s="88"/>
      <c r="BM122" s="89"/>
      <c r="BN122" s="89"/>
      <c r="BO122" s="89"/>
      <c r="BP122" s="89"/>
      <c r="BQ122" s="89"/>
      <c r="BR122" s="90"/>
      <c r="BS122" s="89"/>
      <c r="BT122" s="89"/>
      <c r="BU122" s="89"/>
      <c r="BV122" s="89"/>
      <c r="BW122" s="89"/>
      <c r="BX122" s="89"/>
      <c r="BY122" s="89"/>
      <c r="BZ122" s="100"/>
      <c r="CA122" s="101"/>
      <c r="CB122" s="101"/>
      <c r="CC122" s="101"/>
      <c r="CD122" s="101"/>
      <c r="CE122" s="101"/>
      <c r="CF122" s="101"/>
      <c r="CG122" s="100"/>
      <c r="CH122" s="101"/>
      <c r="CI122" s="101"/>
      <c r="CJ122" s="101"/>
      <c r="CK122" s="101"/>
      <c r="CL122" s="101"/>
      <c r="CM122" s="102"/>
      <c r="CN122" s="84">
        <v>88</v>
      </c>
    </row>
    <row r="123" spans="7:92">
      <c r="G123" s="84">
        <v>119</v>
      </c>
      <c r="H123" s="30">
        <v>120</v>
      </c>
      <c r="I123" s="34">
        <v>120</v>
      </c>
      <c r="J123" s="31">
        <v>119</v>
      </c>
      <c r="K123" s="31">
        <f t="shared" si="88"/>
        <v>118</v>
      </c>
      <c r="L123" s="31">
        <f t="shared" si="91"/>
        <v>117</v>
      </c>
      <c r="M123" s="31">
        <f t="shared" si="94"/>
        <v>116</v>
      </c>
      <c r="N123" s="32">
        <f t="shared" si="92"/>
        <v>116</v>
      </c>
      <c r="O123" s="31">
        <v>120</v>
      </c>
      <c r="P123" s="31">
        <f t="shared" si="89"/>
        <v>117</v>
      </c>
      <c r="Q123" s="31">
        <f t="shared" si="95"/>
        <v>114</v>
      </c>
      <c r="R123" s="31">
        <v>112</v>
      </c>
      <c r="S123" s="31">
        <v>113</v>
      </c>
      <c r="T123" s="31">
        <v>116</v>
      </c>
      <c r="U123" s="34">
        <v>120</v>
      </c>
      <c r="V123" s="37">
        <f t="shared" si="97"/>
        <v>115</v>
      </c>
      <c r="W123" s="47">
        <f t="shared" si="106"/>
        <v>111</v>
      </c>
      <c r="X123" s="47">
        <f t="shared" si="105"/>
        <v>109</v>
      </c>
      <c r="Y123" s="47">
        <v>107</v>
      </c>
      <c r="Z123" s="47">
        <v>107</v>
      </c>
      <c r="AA123" s="47">
        <v>107</v>
      </c>
      <c r="AB123" s="133"/>
      <c r="AC123" s="37">
        <f t="shared" si="100"/>
        <v>111</v>
      </c>
      <c r="AD123" s="47">
        <f t="shared" si="104"/>
        <v>107</v>
      </c>
      <c r="AE123" s="47">
        <v>104</v>
      </c>
      <c r="AF123" s="47">
        <f t="shared" si="108"/>
        <v>104</v>
      </c>
      <c r="AG123" s="47">
        <v>104</v>
      </c>
      <c r="AH123" s="47">
        <v>105</v>
      </c>
      <c r="AI123" s="134"/>
      <c r="AJ123" s="94"/>
      <c r="AK123" s="95"/>
      <c r="AL123" s="95"/>
      <c r="AM123" s="95"/>
      <c r="AN123" s="95"/>
      <c r="AO123" s="95"/>
      <c r="AP123" s="141"/>
      <c r="AQ123" s="95"/>
      <c r="AR123" s="95"/>
      <c r="AS123" s="95"/>
      <c r="AT123" s="95"/>
      <c r="AU123" s="95"/>
      <c r="AV123" s="95"/>
      <c r="AW123" s="95"/>
      <c r="AX123" s="106"/>
      <c r="AY123" s="107"/>
      <c r="AZ123" s="107"/>
      <c r="BA123" s="107"/>
      <c r="BB123" s="107"/>
      <c r="BC123" s="107"/>
      <c r="BD123" s="108"/>
      <c r="BE123" s="107"/>
      <c r="BF123" s="107"/>
      <c r="BG123" s="107"/>
      <c r="BH123" s="107"/>
      <c r="BI123" s="107"/>
      <c r="BJ123" s="107"/>
      <c r="BK123" s="108"/>
      <c r="BL123" s="88"/>
      <c r="BM123" s="89"/>
      <c r="BN123" s="89"/>
      <c r="BO123" s="89"/>
      <c r="BP123" s="89"/>
      <c r="BQ123" s="89"/>
      <c r="BR123" s="90"/>
      <c r="BS123" s="89"/>
      <c r="BT123" s="89"/>
      <c r="BU123" s="89"/>
      <c r="BV123" s="89"/>
      <c r="BW123" s="89"/>
      <c r="BX123" s="89"/>
      <c r="BY123" s="89"/>
      <c r="BZ123" s="100"/>
      <c r="CA123" s="101"/>
      <c r="CB123" s="101"/>
      <c r="CC123" s="101"/>
      <c r="CD123" s="101"/>
      <c r="CE123" s="101"/>
      <c r="CF123" s="101"/>
      <c r="CG123" s="100"/>
      <c r="CH123" s="101"/>
      <c r="CI123" s="101"/>
      <c r="CJ123" s="101"/>
      <c r="CK123" s="101"/>
      <c r="CL123" s="101"/>
      <c r="CM123" s="102"/>
      <c r="CN123" s="84">
        <v>90</v>
      </c>
    </row>
    <row r="124" spans="7:92">
      <c r="G124" s="84">
        <v>120</v>
      </c>
      <c r="H124" s="30">
        <v>120</v>
      </c>
      <c r="I124" s="34">
        <v>120</v>
      </c>
      <c r="J124" s="34">
        <v>119</v>
      </c>
      <c r="K124" s="31">
        <f t="shared" si="88"/>
        <v>119</v>
      </c>
      <c r="L124" s="31">
        <v>117</v>
      </c>
      <c r="M124" s="31">
        <f t="shared" si="94"/>
        <v>117</v>
      </c>
      <c r="N124" s="32">
        <f t="shared" si="92"/>
        <v>117</v>
      </c>
      <c r="O124" s="31">
        <v>120</v>
      </c>
      <c r="P124" s="31">
        <f t="shared" si="89"/>
        <v>118</v>
      </c>
      <c r="Q124" s="31">
        <v>114</v>
      </c>
      <c r="R124" s="31">
        <v>113</v>
      </c>
      <c r="S124" s="31">
        <v>114</v>
      </c>
      <c r="T124" s="31">
        <v>117</v>
      </c>
      <c r="U124" s="34">
        <v>120</v>
      </c>
      <c r="V124" s="37">
        <f t="shared" si="97"/>
        <v>116</v>
      </c>
      <c r="W124" s="47">
        <f t="shared" si="106"/>
        <v>112</v>
      </c>
      <c r="X124" s="47">
        <f t="shared" si="105"/>
        <v>110</v>
      </c>
      <c r="Y124" s="47">
        <f t="shared" si="103"/>
        <v>108</v>
      </c>
      <c r="Z124" s="47">
        <v>107</v>
      </c>
      <c r="AA124" s="47">
        <v>108</v>
      </c>
      <c r="AB124" s="133"/>
      <c r="AC124" s="37">
        <f t="shared" si="100"/>
        <v>112</v>
      </c>
      <c r="AD124" s="47">
        <v>107</v>
      </c>
      <c r="AE124" s="47">
        <f t="shared" si="107"/>
        <v>105</v>
      </c>
      <c r="AF124" s="47">
        <v>104</v>
      </c>
      <c r="AG124" s="47">
        <v>105</v>
      </c>
      <c r="AH124" s="47">
        <f t="shared" si="102"/>
        <v>106</v>
      </c>
      <c r="AI124" s="134"/>
      <c r="AJ124" s="94"/>
      <c r="AK124" s="95"/>
      <c r="AL124" s="95"/>
      <c r="AM124" s="95"/>
      <c r="AN124" s="95"/>
      <c r="AO124" s="95"/>
      <c r="AP124" s="141"/>
      <c r="AQ124" s="95"/>
      <c r="AR124" s="95"/>
      <c r="AS124" s="95"/>
      <c r="AT124" s="95"/>
      <c r="AU124" s="95"/>
      <c r="AV124" s="95"/>
      <c r="AW124" s="95"/>
      <c r="AX124" s="106"/>
      <c r="AY124" s="107"/>
      <c r="AZ124" s="107"/>
      <c r="BA124" s="107"/>
      <c r="BB124" s="107"/>
      <c r="BC124" s="107"/>
      <c r="BD124" s="108"/>
      <c r="BE124" s="107"/>
      <c r="BF124" s="107"/>
      <c r="BG124" s="107"/>
      <c r="BH124" s="107"/>
      <c r="BI124" s="107"/>
      <c r="BJ124" s="107"/>
      <c r="BK124" s="108"/>
      <c r="BL124" s="88"/>
      <c r="BM124" s="89"/>
      <c r="BN124" s="89"/>
      <c r="BO124" s="89"/>
      <c r="BP124" s="89"/>
      <c r="BQ124" s="89"/>
      <c r="BR124" s="90"/>
      <c r="BS124" s="89"/>
      <c r="BT124" s="89"/>
      <c r="BU124" s="89"/>
      <c r="BV124" s="89"/>
      <c r="BW124" s="89"/>
      <c r="BX124" s="89"/>
      <c r="BY124" s="89"/>
      <c r="BZ124" s="100"/>
      <c r="CA124" s="101"/>
      <c r="CB124" s="101"/>
      <c r="CC124" s="101"/>
      <c r="CD124" s="101"/>
      <c r="CE124" s="101"/>
      <c r="CF124" s="101"/>
      <c r="CG124" s="100"/>
      <c r="CH124" s="101"/>
      <c r="CI124" s="101"/>
      <c r="CJ124" s="101"/>
      <c r="CK124" s="101"/>
      <c r="CL124" s="101"/>
      <c r="CM124" s="102"/>
      <c r="CN124" s="84" t="s">
        <v>113</v>
      </c>
    </row>
    <row r="125" spans="7:92">
      <c r="G125" s="84">
        <v>121</v>
      </c>
      <c r="H125" s="88">
        <v>120</v>
      </c>
      <c r="I125" s="89">
        <v>120</v>
      </c>
      <c r="J125" s="89">
        <v>119</v>
      </c>
      <c r="K125" s="89">
        <v>119</v>
      </c>
      <c r="L125" s="31">
        <v>118</v>
      </c>
      <c r="M125" s="31">
        <v>118</v>
      </c>
      <c r="N125" s="32">
        <f t="shared" si="92"/>
        <v>118</v>
      </c>
      <c r="O125" s="89">
        <v>120</v>
      </c>
      <c r="P125" s="31">
        <f t="shared" si="89"/>
        <v>119</v>
      </c>
      <c r="Q125" s="31">
        <v>114</v>
      </c>
      <c r="R125" s="89">
        <v>113</v>
      </c>
      <c r="S125" s="31">
        <v>114</v>
      </c>
      <c r="T125" s="31">
        <v>117</v>
      </c>
      <c r="U125" s="34">
        <v>120</v>
      </c>
      <c r="V125" s="37">
        <f t="shared" si="97"/>
        <v>117</v>
      </c>
      <c r="W125" s="47">
        <f t="shared" si="106"/>
        <v>113</v>
      </c>
      <c r="X125" s="47">
        <v>110</v>
      </c>
      <c r="Y125" s="47">
        <f t="shared" si="103"/>
        <v>109</v>
      </c>
      <c r="Z125" s="47">
        <v>108</v>
      </c>
      <c r="AA125" s="47">
        <v>108</v>
      </c>
      <c r="AB125" s="133"/>
      <c r="AC125" s="37">
        <f t="shared" si="100"/>
        <v>113</v>
      </c>
      <c r="AD125" s="47">
        <f t="shared" si="104"/>
        <v>108</v>
      </c>
      <c r="AE125" s="47">
        <f t="shared" si="107"/>
        <v>106</v>
      </c>
      <c r="AF125" s="47">
        <f t="shared" si="108"/>
        <v>105</v>
      </c>
      <c r="AG125" s="47">
        <v>105</v>
      </c>
      <c r="AH125" s="47">
        <f t="shared" si="102"/>
        <v>107</v>
      </c>
      <c r="AI125" s="134"/>
      <c r="AJ125" s="94"/>
      <c r="AK125" s="95"/>
      <c r="AL125" s="95"/>
      <c r="AM125" s="95"/>
      <c r="AN125" s="95"/>
      <c r="AO125" s="95"/>
      <c r="AP125" s="141"/>
      <c r="AQ125" s="95"/>
      <c r="AR125" s="95"/>
      <c r="AS125" s="95"/>
      <c r="AT125" s="95"/>
      <c r="AU125" s="95"/>
      <c r="AV125" s="95"/>
      <c r="AW125" s="95"/>
      <c r="AX125" s="106"/>
      <c r="AY125" s="107"/>
      <c r="AZ125" s="107"/>
      <c r="BA125" s="107"/>
      <c r="BB125" s="107"/>
      <c r="BC125" s="107"/>
      <c r="BD125" s="108"/>
      <c r="BE125" s="107"/>
      <c r="BF125" s="107"/>
      <c r="BG125" s="107"/>
      <c r="BH125" s="107"/>
      <c r="BI125" s="107"/>
      <c r="BJ125" s="107"/>
      <c r="BK125" s="108"/>
      <c r="BL125" s="88"/>
      <c r="BM125" s="89"/>
      <c r="BN125" s="89"/>
      <c r="BO125" s="89"/>
      <c r="BP125" s="89"/>
      <c r="BQ125" s="89"/>
      <c r="BR125" s="90"/>
      <c r="BS125" s="89"/>
      <c r="BT125" s="89"/>
      <c r="BU125" s="89"/>
      <c r="BV125" s="89"/>
      <c r="BW125" s="89"/>
      <c r="BX125" s="89"/>
      <c r="BY125" s="89"/>
      <c r="BZ125" s="100"/>
      <c r="CA125" s="101"/>
      <c r="CB125" s="101"/>
      <c r="CC125" s="101"/>
      <c r="CD125" s="101"/>
      <c r="CE125" s="101"/>
      <c r="CF125" s="101"/>
      <c r="CG125" s="100"/>
      <c r="CH125" s="101"/>
      <c r="CI125" s="101"/>
      <c r="CJ125" s="101"/>
      <c r="CK125" s="101"/>
      <c r="CL125" s="101"/>
      <c r="CM125" s="102"/>
    </row>
    <row r="126" spans="7:92">
      <c r="G126" s="84">
        <v>122</v>
      </c>
      <c r="H126" s="88">
        <v>120</v>
      </c>
      <c r="I126" s="89">
        <v>120</v>
      </c>
      <c r="J126" s="89">
        <v>119</v>
      </c>
      <c r="K126" s="89">
        <v>119</v>
      </c>
      <c r="L126" s="89">
        <v>118</v>
      </c>
      <c r="M126" s="31">
        <v>119</v>
      </c>
      <c r="N126" s="32">
        <f t="shared" si="92"/>
        <v>119</v>
      </c>
      <c r="O126" s="89">
        <v>120</v>
      </c>
      <c r="P126" s="31">
        <f t="shared" si="89"/>
        <v>120</v>
      </c>
      <c r="Q126" s="31">
        <v>115</v>
      </c>
      <c r="R126" s="89">
        <v>113</v>
      </c>
      <c r="S126" s="31">
        <v>115</v>
      </c>
      <c r="T126" s="89">
        <v>117</v>
      </c>
      <c r="U126" s="89">
        <v>120</v>
      </c>
      <c r="V126" s="37">
        <f t="shared" si="97"/>
        <v>118</v>
      </c>
      <c r="W126" s="47">
        <f t="shared" si="106"/>
        <v>114</v>
      </c>
      <c r="X126" s="47">
        <f t="shared" si="105"/>
        <v>111</v>
      </c>
      <c r="Y126" s="47">
        <f t="shared" si="103"/>
        <v>110</v>
      </c>
      <c r="Z126" s="47">
        <v>109</v>
      </c>
      <c r="AA126" s="47">
        <v>109</v>
      </c>
      <c r="AB126" s="133"/>
      <c r="AC126" s="37">
        <f t="shared" si="100"/>
        <v>114</v>
      </c>
      <c r="AD126" s="47">
        <f t="shared" si="104"/>
        <v>109</v>
      </c>
      <c r="AE126" s="47">
        <f t="shared" si="107"/>
        <v>107</v>
      </c>
      <c r="AF126" s="47">
        <f t="shared" si="108"/>
        <v>106</v>
      </c>
      <c r="AG126" s="47">
        <v>106</v>
      </c>
      <c r="AH126" s="47">
        <f t="shared" si="102"/>
        <v>108</v>
      </c>
      <c r="AI126" s="134"/>
      <c r="AJ126" s="94"/>
      <c r="AK126" s="95"/>
      <c r="AL126" s="95"/>
      <c r="AM126" s="95"/>
      <c r="AN126" s="95"/>
      <c r="AO126" s="95"/>
      <c r="AP126" s="141"/>
      <c r="AQ126" s="95"/>
      <c r="AR126" s="95"/>
      <c r="AS126" s="95"/>
      <c r="AT126" s="95"/>
      <c r="AU126" s="95"/>
      <c r="AV126" s="95"/>
      <c r="AW126" s="95"/>
      <c r="AX126" s="106"/>
      <c r="AY126" s="107"/>
      <c r="AZ126" s="107"/>
      <c r="BA126" s="107"/>
      <c r="BB126" s="107"/>
      <c r="BC126" s="107"/>
      <c r="BD126" s="108"/>
      <c r="BE126" s="107"/>
      <c r="BF126" s="107"/>
      <c r="BG126" s="107"/>
      <c r="BH126" s="107"/>
      <c r="BI126" s="107"/>
      <c r="BJ126" s="107"/>
      <c r="BK126" s="108"/>
      <c r="BL126" s="88"/>
      <c r="BM126" s="89"/>
      <c r="BN126" s="89"/>
      <c r="BO126" s="89"/>
      <c r="BP126" s="89"/>
      <c r="BQ126" s="89"/>
      <c r="BR126" s="90"/>
      <c r="BS126" s="89"/>
      <c r="BT126" s="89"/>
      <c r="BU126" s="89"/>
      <c r="BV126" s="89"/>
      <c r="BW126" s="89"/>
      <c r="BX126" s="89"/>
      <c r="BY126" s="89"/>
      <c r="BZ126" s="100"/>
      <c r="CA126" s="101"/>
      <c r="CB126" s="101"/>
      <c r="CC126" s="101"/>
      <c r="CD126" s="101"/>
      <c r="CE126" s="101"/>
      <c r="CF126" s="101"/>
      <c r="CG126" s="100"/>
      <c r="CH126" s="101"/>
      <c r="CI126" s="101"/>
      <c r="CJ126" s="101"/>
      <c r="CK126" s="101"/>
      <c r="CL126" s="101"/>
      <c r="CM126" s="102"/>
    </row>
    <row r="127" spans="7:92">
      <c r="G127" s="84">
        <v>123</v>
      </c>
      <c r="H127" s="88">
        <v>120</v>
      </c>
      <c r="I127" s="89">
        <v>120</v>
      </c>
      <c r="J127" s="89">
        <v>119</v>
      </c>
      <c r="K127" s="89">
        <v>119</v>
      </c>
      <c r="L127" s="89">
        <v>118</v>
      </c>
      <c r="M127" s="31">
        <v>120</v>
      </c>
      <c r="N127" s="32">
        <f t="shared" si="92"/>
        <v>120</v>
      </c>
      <c r="O127" s="89">
        <v>120</v>
      </c>
      <c r="P127" s="89">
        <v>120</v>
      </c>
      <c r="Q127" s="89">
        <v>115</v>
      </c>
      <c r="R127" s="89">
        <v>113</v>
      </c>
      <c r="S127" s="89">
        <v>115</v>
      </c>
      <c r="T127" s="89">
        <v>117</v>
      </c>
      <c r="U127" s="89">
        <v>120</v>
      </c>
      <c r="V127" s="37">
        <f t="shared" si="97"/>
        <v>119</v>
      </c>
      <c r="W127" s="47">
        <f t="shared" si="106"/>
        <v>115</v>
      </c>
      <c r="X127" s="47">
        <f t="shared" si="105"/>
        <v>112</v>
      </c>
      <c r="Y127" s="47">
        <f t="shared" si="103"/>
        <v>111</v>
      </c>
      <c r="Z127" s="47">
        <v>110</v>
      </c>
      <c r="AA127" s="47">
        <v>110</v>
      </c>
      <c r="AB127" s="133"/>
      <c r="AC127" s="37">
        <f t="shared" si="100"/>
        <v>115</v>
      </c>
      <c r="AD127" s="47">
        <f t="shared" si="104"/>
        <v>110</v>
      </c>
      <c r="AE127" s="47">
        <f t="shared" si="107"/>
        <v>108</v>
      </c>
      <c r="AF127" s="47">
        <f t="shared" si="108"/>
        <v>107</v>
      </c>
      <c r="AG127" s="47">
        <v>107</v>
      </c>
      <c r="AH127" s="47">
        <v>108</v>
      </c>
      <c r="AI127" s="134"/>
      <c r="AJ127" s="94"/>
      <c r="AK127" s="95"/>
      <c r="AL127" s="95"/>
      <c r="AM127" s="95"/>
      <c r="AN127" s="95"/>
      <c r="AO127" s="95"/>
      <c r="AP127" s="141"/>
      <c r="AQ127" s="95"/>
      <c r="AR127" s="95"/>
      <c r="AS127" s="95"/>
      <c r="AT127" s="95"/>
      <c r="AU127" s="95"/>
      <c r="AV127" s="95"/>
      <c r="AW127" s="95"/>
      <c r="AX127" s="106"/>
      <c r="AY127" s="107"/>
      <c r="AZ127" s="107"/>
      <c r="BA127" s="107"/>
      <c r="BB127" s="107"/>
      <c r="BC127" s="107"/>
      <c r="BD127" s="108"/>
      <c r="BE127" s="107"/>
      <c r="BF127" s="107"/>
      <c r="BG127" s="107"/>
      <c r="BH127" s="107"/>
      <c r="BI127" s="107"/>
      <c r="BJ127" s="107"/>
      <c r="BK127" s="108"/>
      <c r="BL127" s="88"/>
      <c r="BM127" s="89"/>
      <c r="BN127" s="89"/>
      <c r="BO127" s="89"/>
      <c r="BP127" s="89"/>
      <c r="BQ127" s="89"/>
      <c r="BR127" s="90"/>
      <c r="BS127" s="89"/>
      <c r="BT127" s="89"/>
      <c r="BU127" s="89"/>
      <c r="BV127" s="89"/>
      <c r="BW127" s="89"/>
      <c r="BX127" s="89"/>
      <c r="BY127" s="89"/>
      <c r="BZ127" s="100"/>
      <c r="CA127" s="101"/>
      <c r="CB127" s="101"/>
      <c r="CC127" s="101"/>
      <c r="CD127" s="101"/>
      <c r="CE127" s="101"/>
      <c r="CF127" s="101"/>
      <c r="CG127" s="100"/>
      <c r="CH127" s="101"/>
      <c r="CI127" s="101"/>
      <c r="CJ127" s="101"/>
      <c r="CK127" s="101"/>
      <c r="CL127" s="101"/>
      <c r="CM127" s="102"/>
    </row>
    <row r="128" spans="7:92">
      <c r="G128" s="84">
        <v>124</v>
      </c>
      <c r="H128" s="88"/>
      <c r="I128" s="89"/>
      <c r="J128" s="89"/>
      <c r="K128" s="89"/>
      <c r="L128" s="89"/>
      <c r="M128" s="89"/>
      <c r="N128" s="90"/>
      <c r="O128" s="89"/>
      <c r="P128" s="89"/>
      <c r="Q128" s="89"/>
      <c r="R128" s="89"/>
      <c r="S128" s="89"/>
      <c r="T128" s="89"/>
      <c r="U128" s="89"/>
      <c r="V128" s="37">
        <v>120</v>
      </c>
      <c r="W128" s="47">
        <f t="shared" si="106"/>
        <v>116</v>
      </c>
      <c r="X128" s="47">
        <f t="shared" si="105"/>
        <v>113</v>
      </c>
      <c r="Y128" s="47">
        <v>111</v>
      </c>
      <c r="Z128" s="47">
        <v>111</v>
      </c>
      <c r="AA128" s="47">
        <v>110</v>
      </c>
      <c r="AB128" s="133"/>
      <c r="AC128" s="37">
        <f t="shared" si="100"/>
        <v>116</v>
      </c>
      <c r="AD128" s="47">
        <f t="shared" si="104"/>
        <v>111</v>
      </c>
      <c r="AE128" s="47">
        <v>108</v>
      </c>
      <c r="AF128" s="47">
        <v>107</v>
      </c>
      <c r="AG128" s="47">
        <v>108</v>
      </c>
      <c r="AH128" s="47">
        <f t="shared" si="102"/>
        <v>109</v>
      </c>
      <c r="AI128" s="134"/>
      <c r="AJ128" s="94"/>
      <c r="AK128" s="95"/>
      <c r="AL128" s="95"/>
      <c r="AM128" s="95"/>
      <c r="AN128" s="95"/>
      <c r="AO128" s="95"/>
      <c r="AP128" s="141"/>
      <c r="AQ128" s="95"/>
      <c r="AR128" s="95"/>
      <c r="AS128" s="95"/>
      <c r="AT128" s="95"/>
      <c r="AU128" s="95"/>
      <c r="AV128" s="95"/>
      <c r="AW128" s="95"/>
      <c r="AX128" s="106"/>
      <c r="AY128" s="107"/>
      <c r="AZ128" s="107"/>
      <c r="BA128" s="107"/>
      <c r="BB128" s="107"/>
      <c r="BC128" s="107"/>
      <c r="BD128" s="108"/>
      <c r="BE128" s="107"/>
      <c r="BF128" s="107"/>
      <c r="BG128" s="107"/>
      <c r="BH128" s="107"/>
      <c r="BI128" s="107"/>
      <c r="BJ128" s="107"/>
      <c r="BK128" s="108"/>
      <c r="BL128" s="88"/>
      <c r="BM128" s="89"/>
      <c r="BN128" s="89"/>
      <c r="BO128" s="89"/>
      <c r="BP128" s="89"/>
      <c r="BQ128" s="89"/>
      <c r="BR128" s="90"/>
      <c r="BS128" s="89"/>
      <c r="BT128" s="89"/>
      <c r="BU128" s="89"/>
      <c r="BV128" s="89"/>
      <c r="BW128" s="89"/>
      <c r="BX128" s="89"/>
      <c r="BY128" s="89"/>
      <c r="BZ128" s="100"/>
      <c r="CA128" s="101"/>
      <c r="CB128" s="101"/>
      <c r="CC128" s="101"/>
      <c r="CD128" s="101"/>
      <c r="CE128" s="101"/>
      <c r="CF128" s="101"/>
      <c r="CG128" s="100"/>
      <c r="CH128" s="101"/>
      <c r="CI128" s="101"/>
      <c r="CJ128" s="101"/>
      <c r="CK128" s="101"/>
      <c r="CL128" s="101"/>
      <c r="CM128" s="102"/>
    </row>
    <row r="129" spans="7:91">
      <c r="G129" s="84">
        <v>125</v>
      </c>
      <c r="H129" s="88"/>
      <c r="I129" s="89"/>
      <c r="J129" s="89"/>
      <c r="K129" s="89"/>
      <c r="L129" s="89"/>
      <c r="M129" s="89"/>
      <c r="N129" s="90"/>
      <c r="O129" s="89"/>
      <c r="P129" s="89"/>
      <c r="Q129" s="89"/>
      <c r="R129" s="89"/>
      <c r="S129" s="89"/>
      <c r="T129" s="89"/>
      <c r="U129" s="89"/>
      <c r="V129" s="37">
        <v>120</v>
      </c>
      <c r="W129" s="47">
        <f t="shared" si="106"/>
        <v>117</v>
      </c>
      <c r="X129" s="47">
        <f t="shared" si="105"/>
        <v>114</v>
      </c>
      <c r="Y129" s="47">
        <f t="shared" si="103"/>
        <v>112</v>
      </c>
      <c r="Z129" s="47">
        <v>111</v>
      </c>
      <c r="AA129" s="47">
        <v>111</v>
      </c>
      <c r="AB129" s="133"/>
      <c r="AC129" s="37">
        <f t="shared" si="100"/>
        <v>117</v>
      </c>
      <c r="AD129" s="47">
        <f t="shared" si="104"/>
        <v>112</v>
      </c>
      <c r="AE129" s="47">
        <f t="shared" si="107"/>
        <v>109</v>
      </c>
      <c r="AF129" s="47">
        <f t="shared" si="108"/>
        <v>108</v>
      </c>
      <c r="AG129" s="47">
        <v>108</v>
      </c>
      <c r="AH129" s="47">
        <f t="shared" si="102"/>
        <v>110</v>
      </c>
      <c r="AI129" s="134"/>
      <c r="AJ129" s="94"/>
      <c r="AK129" s="95"/>
      <c r="AL129" s="95"/>
      <c r="AM129" s="95"/>
      <c r="AN129" s="95"/>
      <c r="AO129" s="95"/>
      <c r="AP129" s="141"/>
      <c r="AQ129" s="95"/>
      <c r="AR129" s="95"/>
      <c r="AS129" s="95"/>
      <c r="AT129" s="95"/>
      <c r="AU129" s="95"/>
      <c r="AV129" s="95"/>
      <c r="AW129" s="95"/>
      <c r="AX129" s="106"/>
      <c r="AY129" s="107"/>
      <c r="AZ129" s="107"/>
      <c r="BA129" s="107"/>
      <c r="BB129" s="107"/>
      <c r="BC129" s="107"/>
      <c r="BD129" s="108"/>
      <c r="BE129" s="107"/>
      <c r="BF129" s="107"/>
      <c r="BG129" s="107"/>
      <c r="BH129" s="107"/>
      <c r="BI129" s="107"/>
      <c r="BJ129" s="107"/>
      <c r="BK129" s="108"/>
      <c r="BL129" s="88"/>
      <c r="BM129" s="89"/>
      <c r="BN129" s="89"/>
      <c r="BO129" s="89"/>
      <c r="BP129" s="89"/>
      <c r="BQ129" s="89"/>
      <c r="BR129" s="90"/>
      <c r="BS129" s="89"/>
      <c r="BT129" s="89"/>
      <c r="BU129" s="89"/>
      <c r="BV129" s="89"/>
      <c r="BW129" s="89"/>
      <c r="BX129" s="89"/>
      <c r="BY129" s="89"/>
      <c r="BZ129" s="100"/>
      <c r="CA129" s="101"/>
      <c r="CB129" s="101"/>
      <c r="CC129" s="101"/>
      <c r="CD129" s="101"/>
      <c r="CE129" s="101"/>
      <c r="CF129" s="101"/>
      <c r="CG129" s="100"/>
      <c r="CH129" s="101"/>
      <c r="CI129" s="101"/>
      <c r="CJ129" s="101"/>
      <c r="CK129" s="101"/>
      <c r="CL129" s="101"/>
      <c r="CM129" s="102"/>
    </row>
    <row r="130" spans="7:91">
      <c r="G130" s="84">
        <v>126</v>
      </c>
      <c r="H130" s="88"/>
      <c r="I130" s="89"/>
      <c r="J130" s="89"/>
      <c r="K130" s="89"/>
      <c r="L130" s="89"/>
      <c r="M130" s="89"/>
      <c r="N130" s="90"/>
      <c r="O130" s="89"/>
      <c r="P130" s="89"/>
      <c r="Q130" s="89"/>
      <c r="R130" s="89"/>
      <c r="S130" s="89"/>
      <c r="T130" s="89"/>
      <c r="U130" s="89"/>
      <c r="V130" s="37">
        <v>120</v>
      </c>
      <c r="W130" s="47">
        <f t="shared" si="106"/>
        <v>118</v>
      </c>
      <c r="X130" s="47">
        <f t="shared" si="105"/>
        <v>115</v>
      </c>
      <c r="Y130" s="47">
        <f t="shared" si="103"/>
        <v>113</v>
      </c>
      <c r="Z130" s="47">
        <v>112</v>
      </c>
      <c r="AA130" s="47">
        <v>112</v>
      </c>
      <c r="AB130" s="133"/>
      <c r="AC130" s="37">
        <f t="shared" si="100"/>
        <v>118</v>
      </c>
      <c r="AD130" s="47">
        <f t="shared" si="104"/>
        <v>113</v>
      </c>
      <c r="AE130" s="47">
        <f t="shared" si="107"/>
        <v>110</v>
      </c>
      <c r="AF130" s="47">
        <f t="shared" si="108"/>
        <v>109</v>
      </c>
      <c r="AG130" s="47">
        <v>109</v>
      </c>
      <c r="AH130" s="47">
        <f t="shared" si="102"/>
        <v>111</v>
      </c>
      <c r="AI130" s="134"/>
      <c r="AJ130" s="94"/>
      <c r="AK130" s="95"/>
      <c r="AL130" s="95"/>
      <c r="AM130" s="95"/>
      <c r="AN130" s="95"/>
      <c r="AO130" s="95"/>
      <c r="AP130" s="141"/>
      <c r="AQ130" s="95"/>
      <c r="AR130" s="95"/>
      <c r="AS130" s="95"/>
      <c r="AT130" s="95"/>
      <c r="AU130" s="95"/>
      <c r="AV130" s="95"/>
      <c r="AW130" s="95"/>
      <c r="AX130" s="106"/>
      <c r="AY130" s="107"/>
      <c r="AZ130" s="107"/>
      <c r="BA130" s="107"/>
      <c r="BB130" s="107"/>
      <c r="BC130" s="107"/>
      <c r="BD130" s="108"/>
      <c r="BE130" s="107"/>
      <c r="BF130" s="107"/>
      <c r="BG130" s="107"/>
      <c r="BH130" s="107"/>
      <c r="BI130" s="107"/>
      <c r="BJ130" s="107"/>
      <c r="BK130" s="108"/>
      <c r="BL130" s="88"/>
      <c r="BM130" s="89"/>
      <c r="BN130" s="89"/>
      <c r="BO130" s="89"/>
      <c r="BP130" s="89"/>
      <c r="BQ130" s="89"/>
      <c r="BR130" s="90"/>
      <c r="BS130" s="89"/>
      <c r="BT130" s="89"/>
      <c r="BU130" s="89"/>
      <c r="BV130" s="89"/>
      <c r="BW130" s="89"/>
      <c r="BX130" s="89"/>
      <c r="BY130" s="89"/>
      <c r="BZ130" s="100"/>
      <c r="CA130" s="101"/>
      <c r="CB130" s="101"/>
      <c r="CC130" s="101"/>
      <c r="CD130" s="101"/>
      <c r="CE130" s="101"/>
      <c r="CF130" s="101"/>
      <c r="CG130" s="100"/>
      <c r="CH130" s="101"/>
      <c r="CI130" s="101"/>
      <c r="CJ130" s="101"/>
      <c r="CK130" s="101"/>
      <c r="CL130" s="101"/>
      <c r="CM130" s="102"/>
    </row>
    <row r="131" spans="7:91">
      <c r="G131" s="84">
        <v>127</v>
      </c>
      <c r="H131" s="88"/>
      <c r="I131" s="89"/>
      <c r="J131" s="89"/>
      <c r="K131" s="89"/>
      <c r="L131" s="89"/>
      <c r="M131" s="89"/>
      <c r="N131" s="90"/>
      <c r="O131" s="89"/>
      <c r="P131" s="89"/>
      <c r="Q131" s="89"/>
      <c r="R131" s="89"/>
      <c r="S131" s="89"/>
      <c r="T131" s="89"/>
      <c r="U131" s="89"/>
      <c r="V131" s="37">
        <v>120</v>
      </c>
      <c r="W131" s="47">
        <v>118</v>
      </c>
      <c r="X131" s="47">
        <v>115</v>
      </c>
      <c r="Y131" s="47">
        <f t="shared" si="103"/>
        <v>114</v>
      </c>
      <c r="Z131" s="47">
        <v>113</v>
      </c>
      <c r="AA131" s="47">
        <v>113</v>
      </c>
      <c r="AB131" s="133"/>
      <c r="AC131" s="37">
        <f t="shared" si="100"/>
        <v>119</v>
      </c>
      <c r="AD131" s="47">
        <f t="shared" si="104"/>
        <v>114</v>
      </c>
      <c r="AE131" s="47">
        <f t="shared" si="107"/>
        <v>111</v>
      </c>
      <c r="AF131" s="47">
        <f t="shared" si="108"/>
        <v>110</v>
      </c>
      <c r="AG131" s="47">
        <v>110</v>
      </c>
      <c r="AH131" s="47">
        <v>111</v>
      </c>
      <c r="AI131" s="134"/>
      <c r="AJ131" s="94"/>
      <c r="AK131" s="95"/>
      <c r="AL131" s="95"/>
      <c r="AM131" s="95"/>
      <c r="AN131" s="95"/>
      <c r="AO131" s="95"/>
      <c r="AP131" s="141"/>
      <c r="AQ131" s="95"/>
      <c r="AR131" s="95"/>
      <c r="AS131" s="95"/>
      <c r="AT131" s="95"/>
      <c r="AU131" s="95"/>
      <c r="AV131" s="95"/>
      <c r="AW131" s="95"/>
      <c r="AX131" s="106"/>
      <c r="AY131" s="107"/>
      <c r="AZ131" s="107"/>
      <c r="BA131" s="107"/>
      <c r="BB131" s="107"/>
      <c r="BC131" s="107"/>
      <c r="BD131" s="108"/>
      <c r="BE131" s="107"/>
      <c r="BF131" s="107"/>
      <c r="BG131" s="107"/>
      <c r="BH131" s="107"/>
      <c r="BI131" s="107"/>
      <c r="BJ131" s="107"/>
      <c r="BK131" s="108"/>
      <c r="BL131" s="88"/>
      <c r="BM131" s="89"/>
      <c r="BN131" s="89"/>
      <c r="BO131" s="89"/>
      <c r="BP131" s="89"/>
      <c r="BQ131" s="89"/>
      <c r="BR131" s="90"/>
      <c r="BS131" s="89"/>
      <c r="BT131" s="89"/>
      <c r="BU131" s="89"/>
      <c r="BV131" s="89"/>
      <c r="BW131" s="89"/>
      <c r="BX131" s="89"/>
      <c r="BY131" s="89"/>
      <c r="BZ131" s="100"/>
      <c r="CA131" s="101"/>
      <c r="CB131" s="101"/>
      <c r="CC131" s="101"/>
      <c r="CD131" s="101"/>
      <c r="CE131" s="101"/>
      <c r="CF131" s="101"/>
      <c r="CG131" s="100"/>
      <c r="CH131" s="101"/>
      <c r="CI131" s="101"/>
      <c r="CJ131" s="101"/>
      <c r="CK131" s="101"/>
      <c r="CL131" s="101"/>
      <c r="CM131" s="102"/>
    </row>
    <row r="132" spans="7:91">
      <c r="G132" s="84">
        <v>128</v>
      </c>
      <c r="H132" s="88"/>
      <c r="I132" s="89"/>
      <c r="J132" s="89"/>
      <c r="K132" s="89"/>
      <c r="L132" s="89"/>
      <c r="M132" s="89"/>
      <c r="N132" s="90"/>
      <c r="O132" s="89"/>
      <c r="P132" s="89"/>
      <c r="Q132" s="89"/>
      <c r="R132" s="89"/>
      <c r="S132" s="89"/>
      <c r="T132" s="89"/>
      <c r="U132" s="89"/>
      <c r="V132" s="37">
        <v>120</v>
      </c>
      <c r="W132" s="47">
        <f t="shared" si="106"/>
        <v>119</v>
      </c>
      <c r="X132" s="47">
        <f t="shared" si="105"/>
        <v>116</v>
      </c>
      <c r="Y132" s="47">
        <v>114</v>
      </c>
      <c r="Z132" s="47">
        <v>114</v>
      </c>
      <c r="AA132" s="47">
        <v>113</v>
      </c>
      <c r="AB132" s="133"/>
      <c r="AC132" s="37">
        <f t="shared" si="100"/>
        <v>120</v>
      </c>
      <c r="AD132" s="47">
        <f t="shared" si="104"/>
        <v>115</v>
      </c>
      <c r="AE132" s="47">
        <f t="shared" si="107"/>
        <v>112</v>
      </c>
      <c r="AF132" s="47">
        <f t="shared" si="108"/>
        <v>111</v>
      </c>
      <c r="AG132" s="47">
        <v>111</v>
      </c>
      <c r="AH132" s="47">
        <f t="shared" si="102"/>
        <v>112</v>
      </c>
      <c r="AI132" s="134"/>
      <c r="AJ132" s="94"/>
      <c r="AK132" s="95"/>
      <c r="AL132" s="95"/>
      <c r="AM132" s="95"/>
      <c r="AN132" s="95"/>
      <c r="AO132" s="95"/>
      <c r="AP132" s="141"/>
      <c r="AQ132" s="95"/>
      <c r="AR132" s="95"/>
      <c r="AS132" s="95"/>
      <c r="AT132" s="95"/>
      <c r="AU132" s="95"/>
      <c r="AV132" s="95"/>
      <c r="AW132" s="95"/>
      <c r="AX132" s="106"/>
      <c r="AY132" s="107"/>
      <c r="AZ132" s="107"/>
      <c r="BA132" s="107"/>
      <c r="BB132" s="107"/>
      <c r="BC132" s="107"/>
      <c r="BD132" s="108"/>
      <c r="BE132" s="107"/>
      <c r="BF132" s="107"/>
      <c r="BG132" s="107"/>
      <c r="BH132" s="107"/>
      <c r="BI132" s="107"/>
      <c r="BJ132" s="107"/>
      <c r="BK132" s="108"/>
      <c r="BL132" s="88"/>
      <c r="BM132" s="89"/>
      <c r="BN132" s="89"/>
      <c r="BO132" s="89"/>
      <c r="BP132" s="89"/>
      <c r="BQ132" s="89"/>
      <c r="BR132" s="90"/>
      <c r="BS132" s="89"/>
      <c r="BT132" s="89"/>
      <c r="BU132" s="89"/>
      <c r="BV132" s="89"/>
      <c r="BW132" s="89"/>
      <c r="BX132" s="89"/>
      <c r="BY132" s="89"/>
      <c r="BZ132" s="100"/>
      <c r="CA132" s="101"/>
      <c r="CB132" s="101"/>
      <c r="CC132" s="101"/>
      <c r="CD132" s="101"/>
      <c r="CE132" s="101"/>
      <c r="CF132" s="101"/>
      <c r="CG132" s="100"/>
      <c r="CH132" s="101"/>
      <c r="CI132" s="101"/>
      <c r="CJ132" s="101"/>
      <c r="CK132" s="101"/>
      <c r="CL132" s="101"/>
      <c r="CM132" s="102"/>
    </row>
    <row r="133" spans="7:91">
      <c r="G133" s="84">
        <v>129</v>
      </c>
      <c r="H133" s="88"/>
      <c r="I133" s="89"/>
      <c r="J133" s="89"/>
      <c r="K133" s="89"/>
      <c r="L133" s="89"/>
      <c r="M133" s="89"/>
      <c r="N133" s="90"/>
      <c r="O133" s="89"/>
      <c r="P133" s="89"/>
      <c r="Q133" s="89"/>
      <c r="R133" s="89"/>
      <c r="S133" s="89"/>
      <c r="T133" s="89"/>
      <c r="U133" s="89"/>
      <c r="V133" s="37">
        <v>120</v>
      </c>
      <c r="W133" s="47">
        <v>120</v>
      </c>
      <c r="X133" s="47">
        <f t="shared" si="105"/>
        <v>117</v>
      </c>
      <c r="Y133" s="47">
        <f t="shared" si="103"/>
        <v>115</v>
      </c>
      <c r="Z133" s="47">
        <v>114</v>
      </c>
      <c r="AA133" s="47">
        <v>114</v>
      </c>
      <c r="AB133" s="133"/>
      <c r="AC133" s="37">
        <v>120</v>
      </c>
      <c r="AD133" s="47">
        <f t="shared" si="104"/>
        <v>116</v>
      </c>
      <c r="AE133" s="47">
        <f t="shared" si="107"/>
        <v>113</v>
      </c>
      <c r="AF133" s="47">
        <v>111</v>
      </c>
      <c r="AG133" s="47">
        <v>111</v>
      </c>
      <c r="AH133" s="47">
        <f t="shared" si="102"/>
        <v>113</v>
      </c>
      <c r="AI133" s="134"/>
      <c r="AJ133" s="94"/>
      <c r="AK133" s="95"/>
      <c r="AL133" s="95"/>
      <c r="AM133" s="95"/>
      <c r="AN133" s="95"/>
      <c r="AO133" s="95"/>
      <c r="AP133" s="141"/>
      <c r="AQ133" s="95"/>
      <c r="AR133" s="95"/>
      <c r="AS133" s="95"/>
      <c r="AT133" s="95"/>
      <c r="AU133" s="95"/>
      <c r="AV133" s="95"/>
      <c r="AW133" s="95"/>
      <c r="AX133" s="106"/>
      <c r="AY133" s="107"/>
      <c r="AZ133" s="107"/>
      <c r="BA133" s="107"/>
      <c r="BB133" s="107"/>
      <c r="BC133" s="107"/>
      <c r="BD133" s="108"/>
      <c r="BE133" s="107"/>
      <c r="BF133" s="107"/>
      <c r="BG133" s="107"/>
      <c r="BH133" s="107"/>
      <c r="BI133" s="107"/>
      <c r="BJ133" s="107"/>
      <c r="BK133" s="108"/>
      <c r="BL133" s="88"/>
      <c r="BM133" s="89"/>
      <c r="BN133" s="89"/>
      <c r="BO133" s="89"/>
      <c r="BP133" s="89"/>
      <c r="BQ133" s="89"/>
      <c r="BR133" s="90"/>
      <c r="BS133" s="89"/>
      <c r="BT133" s="89"/>
      <c r="BU133" s="89"/>
      <c r="BV133" s="89"/>
      <c r="BW133" s="89"/>
      <c r="BX133" s="89"/>
      <c r="BY133" s="89"/>
      <c r="BZ133" s="100"/>
      <c r="CA133" s="101"/>
      <c r="CB133" s="101"/>
      <c r="CC133" s="101"/>
      <c r="CD133" s="101"/>
      <c r="CE133" s="101"/>
      <c r="CF133" s="101"/>
      <c r="CG133" s="100"/>
      <c r="CH133" s="101"/>
      <c r="CI133" s="101"/>
      <c r="CJ133" s="101"/>
      <c r="CK133" s="101"/>
      <c r="CL133" s="101"/>
      <c r="CM133" s="102"/>
    </row>
    <row r="134" spans="7:91">
      <c r="G134" s="84">
        <v>130</v>
      </c>
      <c r="H134" s="88"/>
      <c r="I134" s="89"/>
      <c r="J134" s="89"/>
      <c r="K134" s="89"/>
      <c r="L134" s="89"/>
      <c r="M134" s="89"/>
      <c r="N134" s="90"/>
      <c r="O134" s="89"/>
      <c r="P134" s="89"/>
      <c r="Q134" s="89"/>
      <c r="R134" s="89"/>
      <c r="S134" s="89"/>
      <c r="T134" s="89"/>
      <c r="U134" s="89"/>
      <c r="V134" s="37">
        <v>120</v>
      </c>
      <c r="W134" s="47">
        <v>120</v>
      </c>
      <c r="X134" s="47">
        <f t="shared" si="105"/>
        <v>118</v>
      </c>
      <c r="Y134" s="47">
        <f t="shared" si="103"/>
        <v>116</v>
      </c>
      <c r="Z134" s="47">
        <v>115</v>
      </c>
      <c r="AA134" s="47">
        <v>115</v>
      </c>
      <c r="AB134" s="133"/>
      <c r="AC134" s="37">
        <v>120</v>
      </c>
      <c r="AD134" s="47">
        <f t="shared" si="104"/>
        <v>117</v>
      </c>
      <c r="AE134" s="47">
        <v>113</v>
      </c>
      <c r="AF134" s="47">
        <f t="shared" si="108"/>
        <v>112</v>
      </c>
      <c r="AG134" s="47">
        <v>112</v>
      </c>
      <c r="AH134" s="47">
        <f t="shared" si="102"/>
        <v>114</v>
      </c>
      <c r="AI134" s="134"/>
      <c r="AJ134" s="94"/>
      <c r="AK134" s="95"/>
      <c r="AL134" s="95"/>
      <c r="AM134" s="95"/>
      <c r="AN134" s="95"/>
      <c r="AO134" s="95"/>
      <c r="AP134" s="141"/>
      <c r="AQ134" s="95"/>
      <c r="AR134" s="95"/>
      <c r="AS134" s="95"/>
      <c r="AT134" s="95"/>
      <c r="AU134" s="95"/>
      <c r="AV134" s="95"/>
      <c r="AW134" s="95"/>
      <c r="AX134" s="106"/>
      <c r="AY134" s="107"/>
      <c r="AZ134" s="107"/>
      <c r="BA134" s="107"/>
      <c r="BB134" s="107"/>
      <c r="BC134" s="107"/>
      <c r="BD134" s="108"/>
      <c r="BE134" s="107"/>
      <c r="BF134" s="107"/>
      <c r="BG134" s="107"/>
      <c r="BH134" s="107"/>
      <c r="BI134" s="107"/>
      <c r="BJ134" s="107"/>
      <c r="BK134" s="108"/>
      <c r="BL134" s="88"/>
      <c r="BM134" s="89"/>
      <c r="BN134" s="89"/>
      <c r="BO134" s="89"/>
      <c r="BP134" s="89"/>
      <c r="BQ134" s="89"/>
      <c r="BR134" s="90"/>
      <c r="BS134" s="89"/>
      <c r="BT134" s="89"/>
      <c r="BU134" s="89"/>
      <c r="BV134" s="89"/>
      <c r="BW134" s="89"/>
      <c r="BX134" s="89"/>
      <c r="BY134" s="89"/>
      <c r="BZ134" s="100"/>
      <c r="CA134" s="101"/>
      <c r="CB134" s="101"/>
      <c r="CC134" s="101"/>
      <c r="CD134" s="101"/>
      <c r="CE134" s="101"/>
      <c r="CF134" s="101"/>
      <c r="CG134" s="100"/>
      <c r="CH134" s="101"/>
      <c r="CI134" s="101"/>
      <c r="CJ134" s="101"/>
      <c r="CK134" s="101"/>
      <c r="CL134" s="101"/>
      <c r="CM134" s="102"/>
    </row>
    <row r="135" spans="7:91">
      <c r="G135" s="84">
        <v>131</v>
      </c>
      <c r="H135" s="88"/>
      <c r="I135" s="89"/>
      <c r="J135" s="89"/>
      <c r="K135" s="89"/>
      <c r="L135" s="89"/>
      <c r="M135" s="89"/>
      <c r="N135" s="90"/>
      <c r="O135" s="89"/>
      <c r="P135" s="89"/>
      <c r="Q135" s="89"/>
      <c r="R135" s="89"/>
      <c r="S135" s="89"/>
      <c r="T135" s="89"/>
      <c r="U135" s="89"/>
      <c r="V135" s="37">
        <v>120</v>
      </c>
      <c r="W135" s="47">
        <v>120</v>
      </c>
      <c r="X135" s="47">
        <f t="shared" si="105"/>
        <v>119</v>
      </c>
      <c r="Y135" s="47">
        <f t="shared" si="103"/>
        <v>117</v>
      </c>
      <c r="Z135" s="47">
        <v>116</v>
      </c>
      <c r="AA135" s="47">
        <v>116</v>
      </c>
      <c r="AB135" s="133"/>
      <c r="AC135" s="37">
        <v>120</v>
      </c>
      <c r="AD135" s="47">
        <v>117</v>
      </c>
      <c r="AE135" s="47">
        <f t="shared" si="107"/>
        <v>114</v>
      </c>
      <c r="AF135" s="47">
        <f t="shared" si="108"/>
        <v>113</v>
      </c>
      <c r="AG135" s="47">
        <v>113</v>
      </c>
      <c r="AH135" s="47">
        <v>114</v>
      </c>
      <c r="AI135" s="134"/>
      <c r="AJ135" s="94"/>
      <c r="AK135" s="95"/>
      <c r="AL135" s="95"/>
      <c r="AM135" s="95"/>
      <c r="AN135" s="95"/>
      <c r="AO135" s="95"/>
      <c r="AP135" s="141"/>
      <c r="AQ135" s="95"/>
      <c r="AR135" s="95"/>
      <c r="AS135" s="95"/>
      <c r="AT135" s="95"/>
      <c r="AU135" s="95"/>
      <c r="AV135" s="95"/>
      <c r="AW135" s="95"/>
      <c r="AX135" s="106"/>
      <c r="AY135" s="107"/>
      <c r="AZ135" s="107"/>
      <c r="BA135" s="107"/>
      <c r="BB135" s="107"/>
      <c r="BC135" s="107"/>
      <c r="BD135" s="108"/>
      <c r="BE135" s="107"/>
      <c r="BF135" s="107"/>
      <c r="BG135" s="107"/>
      <c r="BH135" s="107"/>
      <c r="BI135" s="107"/>
      <c r="BJ135" s="107"/>
      <c r="BK135" s="108"/>
      <c r="BL135" s="88"/>
      <c r="BM135" s="89"/>
      <c r="BN135" s="89"/>
      <c r="BO135" s="89"/>
      <c r="BP135" s="89"/>
      <c r="BQ135" s="89"/>
      <c r="BR135" s="90"/>
      <c r="BS135" s="89"/>
      <c r="BT135" s="89"/>
      <c r="BU135" s="89"/>
      <c r="BV135" s="89"/>
      <c r="BW135" s="89"/>
      <c r="BX135" s="89"/>
      <c r="BY135" s="89"/>
      <c r="BZ135" s="100"/>
      <c r="CA135" s="101"/>
      <c r="CB135" s="101"/>
      <c r="CC135" s="101"/>
      <c r="CD135" s="101"/>
      <c r="CE135" s="101"/>
      <c r="CF135" s="101"/>
      <c r="CG135" s="100"/>
      <c r="CH135" s="101"/>
      <c r="CI135" s="101"/>
      <c r="CJ135" s="101"/>
      <c r="CK135" s="101"/>
      <c r="CL135" s="101"/>
      <c r="CM135" s="102"/>
    </row>
    <row r="136" spans="7:91">
      <c r="G136" s="84">
        <v>132</v>
      </c>
      <c r="H136" s="88"/>
      <c r="I136" s="89"/>
      <c r="J136" s="89"/>
      <c r="K136" s="89"/>
      <c r="L136" s="89"/>
      <c r="M136" s="89"/>
      <c r="N136" s="90"/>
      <c r="O136" s="89"/>
      <c r="P136" s="89"/>
      <c r="Q136" s="89"/>
      <c r="R136" s="89"/>
      <c r="S136" s="89"/>
      <c r="T136" s="89"/>
      <c r="U136" s="89"/>
      <c r="V136" s="37">
        <v>120</v>
      </c>
      <c r="W136" s="133">
        <v>120</v>
      </c>
      <c r="X136" s="47">
        <v>120</v>
      </c>
      <c r="Y136" s="47">
        <f t="shared" si="103"/>
        <v>118</v>
      </c>
      <c r="Z136" s="47">
        <v>117</v>
      </c>
      <c r="AA136" s="47">
        <v>116</v>
      </c>
      <c r="AB136" s="133"/>
      <c r="AC136" s="37">
        <v>120</v>
      </c>
      <c r="AD136" s="47">
        <f t="shared" si="104"/>
        <v>118</v>
      </c>
      <c r="AE136" s="47">
        <f t="shared" si="107"/>
        <v>115</v>
      </c>
      <c r="AF136" s="47">
        <f t="shared" si="108"/>
        <v>114</v>
      </c>
      <c r="AG136" s="47">
        <v>114</v>
      </c>
      <c r="AH136" s="47">
        <f t="shared" si="102"/>
        <v>115</v>
      </c>
      <c r="AI136" s="134"/>
      <c r="AJ136" s="94"/>
      <c r="AK136" s="95"/>
      <c r="AL136" s="95"/>
      <c r="AM136" s="95"/>
      <c r="AN136" s="95"/>
      <c r="AO136" s="95"/>
      <c r="AP136" s="141"/>
      <c r="AQ136" s="95"/>
      <c r="AR136" s="95"/>
      <c r="AS136" s="95"/>
      <c r="AT136" s="95"/>
      <c r="AU136" s="95"/>
      <c r="AV136" s="95"/>
      <c r="AW136" s="95"/>
      <c r="AX136" s="106"/>
      <c r="AY136" s="107"/>
      <c r="AZ136" s="107"/>
      <c r="BA136" s="107"/>
      <c r="BB136" s="107"/>
      <c r="BC136" s="107"/>
      <c r="BD136" s="108"/>
      <c r="BE136" s="107"/>
      <c r="BF136" s="107"/>
      <c r="BG136" s="107"/>
      <c r="BH136" s="107"/>
      <c r="BI136" s="107"/>
      <c r="BJ136" s="107"/>
      <c r="BK136" s="108"/>
      <c r="BL136" s="88"/>
      <c r="BM136" s="89"/>
      <c r="BN136" s="89"/>
      <c r="BO136" s="89"/>
      <c r="BP136" s="89"/>
      <c r="BQ136" s="89"/>
      <c r="BR136" s="90"/>
      <c r="BS136" s="89"/>
      <c r="BT136" s="89"/>
      <c r="BU136" s="89"/>
      <c r="BV136" s="89"/>
      <c r="BW136" s="89"/>
      <c r="BX136" s="89"/>
      <c r="BY136" s="89"/>
      <c r="BZ136" s="100"/>
      <c r="CA136" s="101"/>
      <c r="CB136" s="101"/>
      <c r="CC136" s="101"/>
      <c r="CD136" s="101"/>
      <c r="CE136" s="101"/>
      <c r="CF136" s="101"/>
      <c r="CG136" s="100"/>
      <c r="CH136" s="101"/>
      <c r="CI136" s="101"/>
      <c r="CJ136" s="101"/>
      <c r="CK136" s="101"/>
      <c r="CL136" s="101"/>
      <c r="CM136" s="102"/>
    </row>
    <row r="137" spans="7:91">
      <c r="G137" s="84">
        <v>133</v>
      </c>
      <c r="H137" s="88"/>
      <c r="I137" s="89"/>
      <c r="J137" s="89"/>
      <c r="K137" s="89"/>
      <c r="L137" s="89"/>
      <c r="M137" s="89"/>
      <c r="N137" s="90"/>
      <c r="O137" s="89"/>
      <c r="P137" s="89"/>
      <c r="Q137" s="89"/>
      <c r="R137" s="89"/>
      <c r="S137" s="89"/>
      <c r="T137" s="89"/>
      <c r="U137" s="89"/>
      <c r="V137" s="132">
        <v>120</v>
      </c>
      <c r="W137" s="133">
        <v>120</v>
      </c>
      <c r="X137" s="133">
        <v>120</v>
      </c>
      <c r="Y137" s="47">
        <v>118</v>
      </c>
      <c r="Z137" s="47">
        <v>117</v>
      </c>
      <c r="AA137" s="47">
        <v>117</v>
      </c>
      <c r="AB137" s="133"/>
      <c r="AC137" s="37">
        <v>120</v>
      </c>
      <c r="AD137" s="47">
        <f t="shared" si="104"/>
        <v>119</v>
      </c>
      <c r="AE137" s="47">
        <f t="shared" si="107"/>
        <v>116</v>
      </c>
      <c r="AF137" s="47">
        <f t="shared" si="108"/>
        <v>115</v>
      </c>
      <c r="AG137" s="47">
        <v>114</v>
      </c>
      <c r="AH137" s="47">
        <f t="shared" si="102"/>
        <v>116</v>
      </c>
      <c r="AI137" s="134"/>
      <c r="AJ137" s="94"/>
      <c r="AK137" s="95"/>
      <c r="AL137" s="95"/>
      <c r="AM137" s="95"/>
      <c r="AN137" s="95"/>
      <c r="AO137" s="95"/>
      <c r="AP137" s="141"/>
      <c r="AQ137" s="95"/>
      <c r="AR137" s="95"/>
      <c r="AS137" s="95"/>
      <c r="AT137" s="95"/>
      <c r="AU137" s="95"/>
      <c r="AV137" s="95"/>
      <c r="AW137" s="95"/>
      <c r="AX137" s="106"/>
      <c r="AY137" s="107"/>
      <c r="AZ137" s="107"/>
      <c r="BA137" s="107"/>
      <c r="BB137" s="107"/>
      <c r="BC137" s="107"/>
      <c r="BD137" s="108"/>
      <c r="BE137" s="107"/>
      <c r="BF137" s="107"/>
      <c r="BG137" s="107"/>
      <c r="BH137" s="107"/>
      <c r="BI137" s="107"/>
      <c r="BJ137" s="107"/>
      <c r="BK137" s="108"/>
      <c r="BL137" s="88"/>
      <c r="BM137" s="89"/>
      <c r="BN137" s="89"/>
      <c r="BO137" s="89"/>
      <c r="BP137" s="89"/>
      <c r="BQ137" s="89"/>
      <c r="BR137" s="90"/>
      <c r="BS137" s="89"/>
      <c r="BT137" s="89"/>
      <c r="BU137" s="89"/>
      <c r="BV137" s="89"/>
      <c r="BW137" s="89"/>
      <c r="BX137" s="89"/>
      <c r="BY137" s="89"/>
      <c r="BZ137" s="100"/>
      <c r="CA137" s="101"/>
      <c r="CB137" s="101"/>
      <c r="CC137" s="101"/>
      <c r="CD137" s="101"/>
      <c r="CE137" s="101"/>
      <c r="CF137" s="101"/>
      <c r="CG137" s="100"/>
      <c r="CH137" s="101"/>
      <c r="CI137" s="101"/>
      <c r="CJ137" s="101"/>
      <c r="CK137" s="101"/>
      <c r="CL137" s="101"/>
      <c r="CM137" s="102"/>
    </row>
    <row r="138" spans="7:91" ht="15.75" thickBot="1">
      <c r="G138" s="84">
        <v>134</v>
      </c>
      <c r="H138" s="91"/>
      <c r="I138" s="92"/>
      <c r="J138" s="92"/>
      <c r="K138" s="92"/>
      <c r="L138" s="92"/>
      <c r="M138" s="92"/>
      <c r="N138" s="93"/>
      <c r="O138" s="91"/>
      <c r="P138" s="92"/>
      <c r="Q138" s="92"/>
      <c r="R138" s="92"/>
      <c r="S138" s="92"/>
      <c r="T138" s="92"/>
      <c r="U138" s="99"/>
      <c r="V138" s="132">
        <v>120</v>
      </c>
      <c r="W138" s="133">
        <v>120</v>
      </c>
      <c r="X138" s="133">
        <v>120</v>
      </c>
      <c r="Y138" s="133">
        <v>118</v>
      </c>
      <c r="Z138" s="47">
        <v>118</v>
      </c>
      <c r="AA138" s="47">
        <v>118</v>
      </c>
      <c r="AB138" s="133"/>
      <c r="AC138" s="37">
        <v>120</v>
      </c>
      <c r="AD138" s="47">
        <f t="shared" si="104"/>
        <v>120</v>
      </c>
      <c r="AE138" s="47">
        <f t="shared" si="107"/>
        <v>117</v>
      </c>
      <c r="AF138" s="47">
        <v>115</v>
      </c>
      <c r="AG138" s="47">
        <v>115</v>
      </c>
      <c r="AH138" s="47">
        <v>116</v>
      </c>
      <c r="AI138" s="134"/>
      <c r="AJ138" s="96"/>
      <c r="AK138" s="97"/>
      <c r="AL138" s="97"/>
      <c r="AM138" s="97"/>
      <c r="AN138" s="97"/>
      <c r="AO138" s="97"/>
      <c r="AP138" s="142"/>
      <c r="AQ138" s="97"/>
      <c r="AR138" s="97"/>
      <c r="AS138" s="97"/>
      <c r="AT138" s="97"/>
      <c r="AU138" s="97"/>
      <c r="AV138" s="97"/>
      <c r="AW138" s="98"/>
      <c r="AX138" s="109"/>
      <c r="AY138" s="110"/>
      <c r="AZ138" s="110"/>
      <c r="BA138" s="110"/>
      <c r="BB138" s="110"/>
      <c r="BC138" s="110"/>
      <c r="BD138" s="143"/>
      <c r="BE138" s="110"/>
      <c r="BF138" s="110"/>
      <c r="BG138" s="110"/>
      <c r="BH138" s="110"/>
      <c r="BI138" s="110"/>
      <c r="BJ138" s="110"/>
      <c r="BK138" s="111"/>
      <c r="BL138" s="91"/>
      <c r="BM138" s="92"/>
      <c r="BN138" s="92"/>
      <c r="BO138" s="92"/>
      <c r="BP138" s="92"/>
      <c r="BQ138" s="92"/>
      <c r="BR138" s="93"/>
      <c r="BS138" s="92"/>
      <c r="BT138" s="92"/>
      <c r="BU138" s="92"/>
      <c r="BV138" s="92"/>
      <c r="BW138" s="92"/>
      <c r="BX138" s="92"/>
      <c r="BY138" s="99"/>
      <c r="BZ138" s="103"/>
      <c r="CA138" s="104"/>
      <c r="CB138" s="104"/>
      <c r="CC138" s="104"/>
      <c r="CD138" s="104"/>
      <c r="CE138" s="104"/>
      <c r="CF138" s="104"/>
      <c r="CG138" s="103"/>
      <c r="CH138" s="104"/>
      <c r="CI138" s="104"/>
      <c r="CJ138" s="104"/>
      <c r="CK138" s="104"/>
      <c r="CL138" s="104"/>
      <c r="CM138" s="105"/>
    </row>
    <row r="139" spans="7:91" ht="15.75" thickTop="1">
      <c r="G139" s="138">
        <v>135</v>
      </c>
      <c r="V139" s="132">
        <v>120</v>
      </c>
      <c r="W139" s="133">
        <v>120</v>
      </c>
      <c r="X139" s="133">
        <v>120</v>
      </c>
      <c r="Y139" s="133">
        <v>118</v>
      </c>
      <c r="Z139" s="133">
        <v>118</v>
      </c>
      <c r="AA139" s="47">
        <v>119</v>
      </c>
      <c r="AB139" s="139"/>
      <c r="AC139" s="133">
        <v>120</v>
      </c>
      <c r="AD139" s="47">
        <v>120</v>
      </c>
      <c r="AE139" s="47">
        <f t="shared" si="107"/>
        <v>118</v>
      </c>
      <c r="AF139" s="133">
        <v>115</v>
      </c>
      <c r="AG139" s="47">
        <v>116</v>
      </c>
      <c r="AH139" s="133">
        <v>116</v>
      </c>
      <c r="AI139" s="134"/>
    </row>
    <row r="140" spans="7:91" ht="15.75" thickBot="1">
      <c r="G140" s="138">
        <v>136</v>
      </c>
      <c r="V140" s="137">
        <v>120</v>
      </c>
      <c r="W140" s="136">
        <v>120</v>
      </c>
      <c r="X140" s="136">
        <v>120</v>
      </c>
      <c r="Y140" s="136">
        <v>118</v>
      </c>
      <c r="Z140" s="136">
        <v>118</v>
      </c>
      <c r="AA140" s="49">
        <v>119</v>
      </c>
      <c r="AB140" s="140"/>
      <c r="AC140" s="136">
        <v>120</v>
      </c>
      <c r="AD140" s="49">
        <v>120</v>
      </c>
      <c r="AE140" s="136">
        <v>118</v>
      </c>
      <c r="AF140" s="136">
        <v>115</v>
      </c>
      <c r="AG140" s="49">
        <v>117</v>
      </c>
      <c r="AH140" s="136">
        <v>116</v>
      </c>
      <c r="AI140" s="144"/>
    </row>
    <row r="141" spans="7:91" ht="16.5" thickTop="1" thickBot="1">
      <c r="G141" s="113"/>
    </row>
    <row r="142" spans="7:91" ht="22.5" thickTop="1" thickBot="1">
      <c r="H142" s="284" t="s">
        <v>97</v>
      </c>
      <c r="I142" s="285"/>
      <c r="J142" s="285"/>
      <c r="K142" s="285"/>
      <c r="L142" s="285"/>
      <c r="M142" s="285"/>
      <c r="N142" s="285"/>
      <c r="O142" s="285"/>
      <c r="P142" s="285"/>
      <c r="Q142" s="285"/>
      <c r="R142" s="285"/>
      <c r="S142" s="285"/>
      <c r="T142" s="285"/>
      <c r="U142" s="285"/>
      <c r="V142" s="295" t="s">
        <v>98</v>
      </c>
      <c r="W142" s="296"/>
      <c r="X142" s="296"/>
      <c r="Y142" s="296"/>
      <c r="Z142" s="296"/>
      <c r="AA142" s="296"/>
      <c r="AB142" s="296"/>
      <c r="AC142" s="296"/>
      <c r="AD142" s="296"/>
      <c r="AE142" s="296"/>
      <c r="AF142" s="296"/>
      <c r="AG142" s="296"/>
      <c r="AH142" s="296"/>
      <c r="AI142" s="297"/>
      <c r="AJ142" s="303" t="s">
        <v>99</v>
      </c>
      <c r="AK142" s="294"/>
      <c r="AL142" s="294"/>
      <c r="AM142" s="294"/>
      <c r="AN142" s="294"/>
      <c r="AO142" s="294"/>
      <c r="AP142" s="294"/>
      <c r="AQ142" s="294"/>
      <c r="AR142" s="294"/>
      <c r="AS142" s="294"/>
      <c r="AT142" s="294"/>
      <c r="AU142" s="294"/>
      <c r="AV142" s="294"/>
      <c r="AW142" s="294"/>
      <c r="AX142" s="287" t="s">
        <v>100</v>
      </c>
      <c r="AY142" s="288"/>
      <c r="AZ142" s="288"/>
      <c r="BA142" s="288"/>
      <c r="BB142" s="288"/>
      <c r="BC142" s="288"/>
      <c r="BD142" s="288"/>
      <c r="BE142" s="288"/>
      <c r="BF142" s="288"/>
      <c r="BG142" s="288"/>
      <c r="BH142" s="288"/>
      <c r="BI142" s="288"/>
      <c r="BJ142" s="288"/>
      <c r="BK142" s="289"/>
      <c r="BL142" s="284" t="s">
        <v>101</v>
      </c>
      <c r="BM142" s="285"/>
      <c r="BN142" s="285"/>
      <c r="BO142" s="285"/>
      <c r="BP142" s="285"/>
      <c r="BQ142" s="285"/>
      <c r="BR142" s="285"/>
      <c r="BS142" s="285"/>
      <c r="BT142" s="285"/>
      <c r="BU142" s="285"/>
      <c r="BV142" s="285"/>
      <c r="BW142" s="285"/>
      <c r="BX142" s="285"/>
      <c r="BY142" s="285"/>
      <c r="BZ142" s="295" t="s">
        <v>102</v>
      </c>
      <c r="CA142" s="296"/>
      <c r="CB142" s="296"/>
      <c r="CC142" s="296"/>
      <c r="CD142" s="296"/>
      <c r="CE142" s="296"/>
      <c r="CF142" s="296"/>
      <c r="CG142" s="296"/>
      <c r="CH142" s="296"/>
      <c r="CI142" s="296"/>
      <c r="CJ142" s="296"/>
      <c r="CK142" s="296"/>
      <c r="CL142" s="296"/>
      <c r="CM142" s="297"/>
    </row>
    <row r="143" spans="7:91" ht="15.75" thickTop="1">
      <c r="H143" s="281" t="s">
        <v>73</v>
      </c>
      <c r="I143" s="282"/>
      <c r="J143" s="282"/>
      <c r="K143" s="282"/>
      <c r="L143" s="282"/>
      <c r="M143" s="282"/>
      <c r="N143" s="283"/>
      <c r="O143" s="282" t="s">
        <v>74</v>
      </c>
      <c r="P143" s="282"/>
      <c r="Q143" s="282"/>
      <c r="R143" s="282"/>
      <c r="S143" s="282"/>
      <c r="T143" s="282"/>
      <c r="U143" s="282"/>
      <c r="V143" s="298" t="s">
        <v>73</v>
      </c>
      <c r="W143" s="299"/>
      <c r="X143" s="299"/>
      <c r="Y143" s="299"/>
      <c r="Z143" s="299"/>
      <c r="AA143" s="299"/>
      <c r="AB143" s="299"/>
      <c r="AC143" s="300" t="s">
        <v>74</v>
      </c>
      <c r="AD143" s="301"/>
      <c r="AE143" s="301"/>
      <c r="AF143" s="301"/>
      <c r="AG143" s="301"/>
      <c r="AH143" s="301"/>
      <c r="AI143" s="302"/>
      <c r="AJ143" s="304" t="s">
        <v>73</v>
      </c>
      <c r="AK143" s="305"/>
      <c r="AL143" s="305"/>
      <c r="AM143" s="305"/>
      <c r="AN143" s="305"/>
      <c r="AO143" s="305"/>
      <c r="AP143" s="305"/>
      <c r="AQ143" s="306" t="s">
        <v>74</v>
      </c>
      <c r="AR143" s="305"/>
      <c r="AS143" s="305"/>
      <c r="AT143" s="305"/>
      <c r="AU143" s="305"/>
      <c r="AV143" s="305"/>
      <c r="AW143" s="305"/>
      <c r="AX143" s="290" t="s">
        <v>73</v>
      </c>
      <c r="AY143" s="291"/>
      <c r="AZ143" s="291"/>
      <c r="BA143" s="291"/>
      <c r="BB143" s="291"/>
      <c r="BC143" s="291"/>
      <c r="BD143" s="291"/>
      <c r="BE143" s="290" t="s">
        <v>74</v>
      </c>
      <c r="BF143" s="291"/>
      <c r="BG143" s="291"/>
      <c r="BH143" s="291"/>
      <c r="BI143" s="291"/>
      <c r="BJ143" s="291"/>
      <c r="BK143" s="292"/>
      <c r="BL143" s="281" t="s">
        <v>73</v>
      </c>
      <c r="BM143" s="282"/>
      <c r="BN143" s="282"/>
      <c r="BO143" s="282"/>
      <c r="BP143" s="282"/>
      <c r="BQ143" s="282"/>
      <c r="BR143" s="283"/>
      <c r="BS143" s="282" t="s">
        <v>74</v>
      </c>
      <c r="BT143" s="282"/>
      <c r="BU143" s="282"/>
      <c r="BV143" s="282"/>
      <c r="BW143" s="282"/>
      <c r="BX143" s="282"/>
      <c r="BY143" s="282"/>
      <c r="BZ143" s="298" t="s">
        <v>73</v>
      </c>
      <c r="CA143" s="299"/>
      <c r="CB143" s="299"/>
      <c r="CC143" s="299"/>
      <c r="CD143" s="299"/>
      <c r="CE143" s="299"/>
      <c r="CF143" s="299"/>
      <c r="CG143" s="300" t="s">
        <v>74</v>
      </c>
      <c r="CH143" s="301"/>
      <c r="CI143" s="301"/>
      <c r="CJ143" s="301"/>
      <c r="CK143" s="301"/>
      <c r="CL143" s="301"/>
      <c r="CM143" s="302"/>
    </row>
    <row r="144" spans="7:91" ht="15.75" thickBot="1">
      <c r="G144" s="83" t="s">
        <v>114</v>
      </c>
      <c r="H144" s="24" t="s">
        <v>2</v>
      </c>
      <c r="I144" s="25" t="s">
        <v>77</v>
      </c>
      <c r="J144" s="25" t="s">
        <v>78</v>
      </c>
      <c r="K144" s="25" t="s">
        <v>79</v>
      </c>
      <c r="L144" s="25" t="s">
        <v>80</v>
      </c>
      <c r="M144" s="25" t="s">
        <v>81</v>
      </c>
      <c r="N144" s="26" t="s">
        <v>82</v>
      </c>
      <c r="O144" s="25" t="s">
        <v>2</v>
      </c>
      <c r="P144" s="25" t="s">
        <v>77</v>
      </c>
      <c r="Q144" s="25" t="s">
        <v>78</v>
      </c>
      <c r="R144" s="25" t="s">
        <v>79</v>
      </c>
      <c r="S144" s="25" t="s">
        <v>80</v>
      </c>
      <c r="T144" s="25" t="s">
        <v>81</v>
      </c>
      <c r="U144" s="25" t="s">
        <v>82</v>
      </c>
      <c r="V144" s="39" t="s">
        <v>2</v>
      </c>
      <c r="W144" s="40" t="s">
        <v>77</v>
      </c>
      <c r="X144" s="40" t="s">
        <v>78</v>
      </c>
      <c r="Y144" s="40" t="s">
        <v>79</v>
      </c>
      <c r="Z144" s="40" t="s">
        <v>80</v>
      </c>
      <c r="AA144" s="40" t="s">
        <v>81</v>
      </c>
      <c r="AB144" s="40" t="s">
        <v>82</v>
      </c>
      <c r="AC144" s="39" t="s">
        <v>2</v>
      </c>
      <c r="AD144" s="40" t="s">
        <v>77</v>
      </c>
      <c r="AE144" s="40" t="s">
        <v>78</v>
      </c>
      <c r="AF144" s="40" t="s">
        <v>79</v>
      </c>
      <c r="AG144" s="40" t="s">
        <v>80</v>
      </c>
      <c r="AH144" s="40" t="s">
        <v>81</v>
      </c>
      <c r="AI144" s="41" t="s">
        <v>82</v>
      </c>
      <c r="AJ144" s="63" t="s">
        <v>2</v>
      </c>
      <c r="AK144" s="57" t="s">
        <v>77</v>
      </c>
      <c r="AL144" s="57" t="s">
        <v>78</v>
      </c>
      <c r="AM144" s="57" t="s">
        <v>79</v>
      </c>
      <c r="AN144" s="57" t="s">
        <v>80</v>
      </c>
      <c r="AO144" s="57" t="s">
        <v>81</v>
      </c>
      <c r="AP144" s="57" t="s">
        <v>82</v>
      </c>
      <c r="AQ144" s="56" t="s">
        <v>2</v>
      </c>
      <c r="AR144" s="57" t="s">
        <v>77</v>
      </c>
      <c r="AS144" s="57" t="s">
        <v>78</v>
      </c>
      <c r="AT144" s="57" t="s">
        <v>79</v>
      </c>
      <c r="AU144" s="57" t="s">
        <v>80</v>
      </c>
      <c r="AV144" s="57" t="s">
        <v>81</v>
      </c>
      <c r="AW144" s="57" t="s">
        <v>82</v>
      </c>
      <c r="AX144" s="74" t="s">
        <v>2</v>
      </c>
      <c r="AY144" s="75" t="s">
        <v>77</v>
      </c>
      <c r="AZ144" s="75" t="s">
        <v>78</v>
      </c>
      <c r="BA144" s="75" t="s">
        <v>79</v>
      </c>
      <c r="BB144" s="75" t="s">
        <v>80</v>
      </c>
      <c r="BC144" s="75" t="s">
        <v>81</v>
      </c>
      <c r="BD144" s="75" t="s">
        <v>82</v>
      </c>
      <c r="BE144" s="74" t="s">
        <v>2</v>
      </c>
      <c r="BF144" s="75" t="s">
        <v>77</v>
      </c>
      <c r="BG144" s="75" t="s">
        <v>78</v>
      </c>
      <c r="BH144" s="75" t="s">
        <v>79</v>
      </c>
      <c r="BI144" s="75" t="s">
        <v>80</v>
      </c>
      <c r="BJ144" s="75" t="s">
        <v>81</v>
      </c>
      <c r="BK144" s="76" t="s">
        <v>82</v>
      </c>
      <c r="BL144" s="24" t="s">
        <v>2</v>
      </c>
      <c r="BM144" s="25" t="s">
        <v>77</v>
      </c>
      <c r="BN144" s="25" t="s">
        <v>78</v>
      </c>
      <c r="BO144" s="25" t="s">
        <v>79</v>
      </c>
      <c r="BP144" s="25" t="s">
        <v>80</v>
      </c>
      <c r="BQ144" s="25" t="s">
        <v>81</v>
      </c>
      <c r="BR144" s="26" t="s">
        <v>82</v>
      </c>
      <c r="BS144" s="25" t="s">
        <v>2</v>
      </c>
      <c r="BT144" s="25" t="s">
        <v>77</v>
      </c>
      <c r="BU144" s="25" t="s">
        <v>78</v>
      </c>
      <c r="BV144" s="25" t="s">
        <v>79</v>
      </c>
      <c r="BW144" s="25" t="s">
        <v>80</v>
      </c>
      <c r="BX144" s="25" t="s">
        <v>81</v>
      </c>
      <c r="BY144" s="25" t="s">
        <v>82</v>
      </c>
      <c r="BZ144" s="39" t="s">
        <v>2</v>
      </c>
      <c r="CA144" s="40" t="s">
        <v>77</v>
      </c>
      <c r="CB144" s="40" t="s">
        <v>78</v>
      </c>
      <c r="CC144" s="40" t="s">
        <v>79</v>
      </c>
      <c r="CD144" s="40" t="s">
        <v>80</v>
      </c>
      <c r="CE144" s="40" t="s">
        <v>81</v>
      </c>
      <c r="CF144" s="40" t="s">
        <v>82</v>
      </c>
      <c r="CG144" s="39" t="s">
        <v>2</v>
      </c>
      <c r="CH144" s="40" t="s">
        <v>77</v>
      </c>
      <c r="CI144" s="40" t="s">
        <v>78</v>
      </c>
      <c r="CJ144" s="40" t="s">
        <v>79</v>
      </c>
      <c r="CK144" s="40" t="s">
        <v>80</v>
      </c>
      <c r="CL144" s="40" t="s">
        <v>81</v>
      </c>
      <c r="CM144" s="41" t="s">
        <v>82</v>
      </c>
    </row>
    <row r="145" spans="7:91" s="1" customFormat="1" ht="15.75" thickTop="1">
      <c r="G145" s="114">
        <v>0.9</v>
      </c>
      <c r="H145" s="27">
        <v>3</v>
      </c>
      <c r="I145" s="28">
        <v>3</v>
      </c>
      <c r="J145" s="28">
        <v>3</v>
      </c>
      <c r="K145" s="28">
        <v>3</v>
      </c>
      <c r="L145" s="28">
        <v>2</v>
      </c>
      <c r="M145" s="28">
        <v>4</v>
      </c>
      <c r="N145" s="28">
        <v>3</v>
      </c>
      <c r="O145" s="27">
        <v>2</v>
      </c>
      <c r="P145" s="28">
        <v>3</v>
      </c>
      <c r="Q145" s="28">
        <v>3</v>
      </c>
      <c r="R145" s="28">
        <v>3</v>
      </c>
      <c r="S145" s="28">
        <v>3</v>
      </c>
      <c r="T145" s="28">
        <v>3</v>
      </c>
      <c r="U145" s="29">
        <v>1</v>
      </c>
      <c r="V145" s="116">
        <v>3</v>
      </c>
      <c r="W145" s="116">
        <v>3</v>
      </c>
      <c r="X145" s="116">
        <v>3</v>
      </c>
      <c r="Y145" s="116">
        <v>2</v>
      </c>
      <c r="Z145" s="116">
        <v>2</v>
      </c>
      <c r="AA145" s="116">
        <v>3</v>
      </c>
      <c r="AB145" s="117" t="s">
        <v>94</v>
      </c>
      <c r="AC145" s="116">
        <v>2</v>
      </c>
      <c r="AD145" s="116">
        <v>3</v>
      </c>
      <c r="AE145" s="116">
        <v>3</v>
      </c>
      <c r="AF145" s="116">
        <v>3</v>
      </c>
      <c r="AG145" s="116">
        <v>3</v>
      </c>
      <c r="AH145" s="116">
        <v>2</v>
      </c>
      <c r="AI145" s="117" t="s">
        <v>94</v>
      </c>
      <c r="AJ145" s="121">
        <v>5</v>
      </c>
      <c r="AK145" s="122">
        <v>5</v>
      </c>
      <c r="AL145" s="122">
        <v>4</v>
      </c>
      <c r="AM145" s="122">
        <v>4</v>
      </c>
      <c r="AN145" s="122">
        <v>3</v>
      </c>
      <c r="AO145" s="122">
        <v>5</v>
      </c>
      <c r="AP145" s="122">
        <v>5</v>
      </c>
      <c r="AQ145" s="124">
        <v>4</v>
      </c>
      <c r="AR145" s="122">
        <v>5</v>
      </c>
      <c r="AS145" s="122">
        <v>4</v>
      </c>
      <c r="AT145" s="122">
        <v>5</v>
      </c>
      <c r="AU145" s="122">
        <v>4</v>
      </c>
      <c r="AV145" s="122">
        <v>4</v>
      </c>
      <c r="AW145" s="122">
        <v>2</v>
      </c>
      <c r="AX145" s="125">
        <v>5</v>
      </c>
      <c r="AY145" s="126">
        <v>5</v>
      </c>
      <c r="AZ145" s="126">
        <v>5</v>
      </c>
      <c r="BA145" s="126">
        <v>5</v>
      </c>
      <c r="BB145" s="126">
        <v>4</v>
      </c>
      <c r="BC145" s="126">
        <v>6</v>
      </c>
      <c r="BD145" s="126">
        <v>5</v>
      </c>
      <c r="BE145" s="125">
        <v>4</v>
      </c>
      <c r="BF145" s="126">
        <v>5</v>
      </c>
      <c r="BG145" s="126">
        <v>5</v>
      </c>
      <c r="BH145" s="126">
        <v>4</v>
      </c>
      <c r="BI145" s="126">
        <v>5</v>
      </c>
      <c r="BJ145" s="126">
        <v>4</v>
      </c>
      <c r="BK145" s="127">
        <v>2</v>
      </c>
      <c r="BL145" s="28">
        <v>5</v>
      </c>
      <c r="BM145" s="28">
        <v>4</v>
      </c>
      <c r="BN145" s="28">
        <v>4</v>
      </c>
      <c r="BO145" s="28">
        <v>4</v>
      </c>
      <c r="BP145" s="28">
        <v>3</v>
      </c>
      <c r="BQ145" s="28">
        <v>6</v>
      </c>
      <c r="BR145" s="29">
        <v>3</v>
      </c>
      <c r="BS145" s="28">
        <v>4</v>
      </c>
      <c r="BT145" s="28">
        <v>5</v>
      </c>
      <c r="BU145" s="28">
        <v>5</v>
      </c>
      <c r="BV145" s="28">
        <v>4</v>
      </c>
      <c r="BW145" s="28">
        <v>5</v>
      </c>
      <c r="BX145" s="28">
        <v>4</v>
      </c>
      <c r="BY145" s="120">
        <v>1</v>
      </c>
      <c r="BZ145" s="115">
        <v>4</v>
      </c>
      <c r="CA145" s="116">
        <v>4</v>
      </c>
      <c r="CB145" s="116">
        <v>4</v>
      </c>
      <c r="CC145" s="116">
        <v>4</v>
      </c>
      <c r="CD145" s="116">
        <v>2</v>
      </c>
      <c r="CE145" s="116">
        <v>5</v>
      </c>
      <c r="CF145" s="116" t="s">
        <v>94</v>
      </c>
      <c r="CG145" s="115">
        <v>3</v>
      </c>
      <c r="CH145" s="116">
        <v>4</v>
      </c>
      <c r="CI145" s="116">
        <v>4</v>
      </c>
      <c r="CJ145" s="116">
        <v>4</v>
      </c>
      <c r="CK145" s="116">
        <v>4</v>
      </c>
      <c r="CL145" s="116">
        <v>4</v>
      </c>
      <c r="CM145" s="117" t="s">
        <v>94</v>
      </c>
    </row>
    <row r="146" spans="7:91" s="1" customFormat="1" ht="15.75" thickBot="1">
      <c r="G146" s="114">
        <v>0.95</v>
      </c>
      <c r="H146" s="118">
        <v>4</v>
      </c>
      <c r="I146" s="65">
        <v>3</v>
      </c>
      <c r="J146" s="65">
        <v>3</v>
      </c>
      <c r="K146" s="65">
        <v>3</v>
      </c>
      <c r="L146" s="65">
        <v>2</v>
      </c>
      <c r="M146" s="65">
        <v>4</v>
      </c>
      <c r="N146" s="65">
        <v>3</v>
      </c>
      <c r="O146" s="118">
        <v>3</v>
      </c>
      <c r="P146" s="65">
        <v>4</v>
      </c>
      <c r="Q146" s="65">
        <v>4</v>
      </c>
      <c r="R146" s="65">
        <v>3</v>
      </c>
      <c r="S146" s="65">
        <v>4</v>
      </c>
      <c r="T146" s="65">
        <v>3</v>
      </c>
      <c r="U146" s="119">
        <v>1</v>
      </c>
      <c r="V146" s="49">
        <v>3</v>
      </c>
      <c r="W146" s="49">
        <v>3</v>
      </c>
      <c r="X146" s="49">
        <v>3</v>
      </c>
      <c r="Y146" s="49">
        <v>3</v>
      </c>
      <c r="Z146" s="49">
        <v>2</v>
      </c>
      <c r="AA146" s="49">
        <v>4</v>
      </c>
      <c r="AB146" s="50" t="s">
        <v>94</v>
      </c>
      <c r="AC146" s="49">
        <v>3</v>
      </c>
      <c r="AD146" s="49">
        <v>3</v>
      </c>
      <c r="AE146" s="49">
        <v>3</v>
      </c>
      <c r="AF146" s="49">
        <v>3</v>
      </c>
      <c r="AG146" s="49">
        <v>3</v>
      </c>
      <c r="AH146" s="49">
        <v>3</v>
      </c>
      <c r="AI146" s="50" t="s">
        <v>94</v>
      </c>
      <c r="AJ146" s="123">
        <v>6</v>
      </c>
      <c r="AK146" s="55">
        <v>6</v>
      </c>
      <c r="AL146" s="55">
        <v>5</v>
      </c>
      <c r="AM146" s="55">
        <v>5</v>
      </c>
      <c r="AN146" s="55">
        <v>4</v>
      </c>
      <c r="AO146" s="55">
        <v>6</v>
      </c>
      <c r="AP146" s="55">
        <v>6</v>
      </c>
      <c r="AQ146" s="54">
        <v>5</v>
      </c>
      <c r="AR146" s="55">
        <v>6</v>
      </c>
      <c r="AS146" s="55">
        <v>5</v>
      </c>
      <c r="AT146" s="55">
        <v>6</v>
      </c>
      <c r="AU146" s="55">
        <v>5</v>
      </c>
      <c r="AV146" s="55">
        <v>5</v>
      </c>
      <c r="AW146" s="55">
        <v>2</v>
      </c>
      <c r="AX146" s="71">
        <v>6</v>
      </c>
      <c r="AY146" s="72">
        <v>5</v>
      </c>
      <c r="AZ146" s="72">
        <v>6</v>
      </c>
      <c r="BA146" s="72">
        <v>6</v>
      </c>
      <c r="BB146" s="72">
        <v>4</v>
      </c>
      <c r="BC146" s="72">
        <v>7</v>
      </c>
      <c r="BD146" s="72">
        <v>6</v>
      </c>
      <c r="BE146" s="71">
        <v>5</v>
      </c>
      <c r="BF146" s="72">
        <v>6</v>
      </c>
      <c r="BG146" s="72">
        <v>6</v>
      </c>
      <c r="BH146" s="72">
        <v>5</v>
      </c>
      <c r="BI146" s="72">
        <v>6</v>
      </c>
      <c r="BJ146" s="72">
        <v>5</v>
      </c>
      <c r="BK146" s="73">
        <v>2</v>
      </c>
      <c r="BL146" s="65">
        <v>5</v>
      </c>
      <c r="BM146" s="65">
        <v>5</v>
      </c>
      <c r="BN146" s="65">
        <v>5</v>
      </c>
      <c r="BO146" s="65">
        <v>5</v>
      </c>
      <c r="BP146" s="65">
        <v>3</v>
      </c>
      <c r="BQ146" s="65">
        <v>7</v>
      </c>
      <c r="BR146" s="119">
        <v>4</v>
      </c>
      <c r="BS146" s="65">
        <v>4</v>
      </c>
      <c r="BT146" s="65">
        <v>6</v>
      </c>
      <c r="BU146" s="65">
        <v>6</v>
      </c>
      <c r="BV146" s="65">
        <v>5</v>
      </c>
      <c r="BW146" s="65">
        <v>6</v>
      </c>
      <c r="BX146" s="65">
        <v>5</v>
      </c>
      <c r="BY146" s="66">
        <v>2</v>
      </c>
      <c r="BZ146" s="38">
        <v>5</v>
      </c>
      <c r="CA146" s="49">
        <v>4</v>
      </c>
      <c r="CB146" s="49">
        <v>4</v>
      </c>
      <c r="CC146" s="49">
        <v>5</v>
      </c>
      <c r="CD146" s="49">
        <v>3</v>
      </c>
      <c r="CE146" s="49">
        <v>6</v>
      </c>
      <c r="CF146" s="49" t="s">
        <v>94</v>
      </c>
      <c r="CG146" s="38">
        <v>4</v>
      </c>
      <c r="CH146" s="49">
        <v>5</v>
      </c>
      <c r="CI146" s="49">
        <v>5</v>
      </c>
      <c r="CJ146" s="49">
        <v>4</v>
      </c>
      <c r="CK146" s="49">
        <v>5</v>
      </c>
      <c r="CL146" s="49">
        <v>4</v>
      </c>
      <c r="CM146" s="50" t="s">
        <v>94</v>
      </c>
    </row>
    <row r="147" spans="7:91" ht="15.75" thickTop="1"/>
  </sheetData>
  <sheetProtection algorithmName="SHA-512" hashValue="HBUFLoco9D72ZhkjM2R1CzhkaIG9yH9fZtv9UZsxUHdAgiat7xDgeMRRpONZWtwdVEw/Ntrhg9D6FJG4+6BOzQ==" saltValue="g53ML/3wXPIh+TXRI0e0OQ==" spinCount="100000" sheet="1" objects="1" scenarios="1" selectLockedCells="1"/>
  <mergeCells count="49">
    <mergeCell ref="H1:U1"/>
    <mergeCell ref="H2:N2"/>
    <mergeCell ref="O2:U2"/>
    <mergeCell ref="A3:B3"/>
    <mergeCell ref="A10:B10"/>
    <mergeCell ref="A11:B11"/>
    <mergeCell ref="A12:B12"/>
    <mergeCell ref="A13:B13"/>
    <mergeCell ref="A14:B14"/>
    <mergeCell ref="A15:B15"/>
    <mergeCell ref="V1:AI1"/>
    <mergeCell ref="AJ1:AW1"/>
    <mergeCell ref="AX1:BK1"/>
    <mergeCell ref="V2:AB2"/>
    <mergeCell ref="AC2:AI2"/>
    <mergeCell ref="AJ2:AP2"/>
    <mergeCell ref="AQ2:AW2"/>
    <mergeCell ref="AX2:BD2"/>
    <mergeCell ref="BE2:BK2"/>
    <mergeCell ref="BZ142:CM142"/>
    <mergeCell ref="BL1:BY1"/>
    <mergeCell ref="BZ1:CM1"/>
    <mergeCell ref="BL2:BR2"/>
    <mergeCell ref="BS2:BY2"/>
    <mergeCell ref="BZ2:CF2"/>
    <mergeCell ref="CG2:CM2"/>
    <mergeCell ref="BZ143:CF143"/>
    <mergeCell ref="CG143:CM143"/>
    <mergeCell ref="H143:N143"/>
    <mergeCell ref="O143:U143"/>
    <mergeCell ref="V143:AB143"/>
    <mergeCell ref="AC143:AI143"/>
    <mergeCell ref="AJ143:AP143"/>
    <mergeCell ref="AQ143:AW143"/>
    <mergeCell ref="A32:B32"/>
    <mergeCell ref="AX143:BD143"/>
    <mergeCell ref="BE143:BK143"/>
    <mergeCell ref="BL143:BR143"/>
    <mergeCell ref="BS143:BY143"/>
    <mergeCell ref="H142:U142"/>
    <mergeCell ref="V142:AI142"/>
    <mergeCell ref="AJ142:AW142"/>
    <mergeCell ref="AX142:BK142"/>
    <mergeCell ref="BL142:BY142"/>
    <mergeCell ref="A27:B27"/>
    <mergeCell ref="A28:B28"/>
    <mergeCell ref="A29:B29"/>
    <mergeCell ref="A30:B30"/>
    <mergeCell ref="A31:B3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AM167"/>
  <sheetViews>
    <sheetView topLeftCell="K49" workbookViewId="0">
      <selection activeCell="AC74" sqref="AC74"/>
    </sheetView>
  </sheetViews>
  <sheetFormatPr defaultRowHeight="15"/>
  <cols>
    <col min="24" max="29" width="9.140625" style="1"/>
    <col min="30" max="30" width="9.140625" style="1" customWidth="1"/>
    <col min="31" max="35" width="9.140625" style="1"/>
    <col min="37" max="39" width="9.140625" style="1"/>
  </cols>
  <sheetData>
    <row r="3" spans="1:39">
      <c r="A3" s="265" t="s">
        <v>75</v>
      </c>
      <c r="B3" s="265"/>
    </row>
    <row r="4" spans="1:39">
      <c r="A4" s="18" t="s">
        <v>83</v>
      </c>
      <c r="B4" s="45" t="str">
        <f>'Score Summary'!D5</f>
        <v>16-21</v>
      </c>
      <c r="E4" t="s">
        <v>115</v>
      </c>
      <c r="Y4" s="154" t="s">
        <v>116</v>
      </c>
      <c r="Z4" s="154"/>
      <c r="AA4" s="154"/>
      <c r="AB4" s="154" t="s">
        <v>116</v>
      </c>
      <c r="AG4" s="154" t="s">
        <v>66</v>
      </c>
    </row>
    <row r="5" spans="1:39">
      <c r="A5" s="18" t="s">
        <v>5</v>
      </c>
      <c r="B5" s="42" t="str">
        <f>'Score Summary'!D6</f>
        <v>Self</v>
      </c>
      <c r="G5" s="265" t="s">
        <v>117</v>
      </c>
      <c r="H5" s="265"/>
      <c r="I5" s="265"/>
      <c r="J5" s="265" t="s">
        <v>118</v>
      </c>
      <c r="K5" s="265"/>
      <c r="L5" s="265"/>
      <c r="M5" s="265"/>
      <c r="N5" s="85"/>
      <c r="X5" s="151" t="s">
        <v>119</v>
      </c>
      <c r="Y5" s="1" t="str">
        <f>'Score Summary'!E9</f>
        <v/>
      </c>
      <c r="AA5" s="151" t="s">
        <v>120</v>
      </c>
      <c r="AB5" s="1" t="str">
        <f>'Score Summary'!E14</f>
        <v/>
      </c>
      <c r="AE5" s="155" t="s">
        <v>121</v>
      </c>
      <c r="AG5" s="156" t="e">
        <f>AVERAGE(Y5,Y7,AB7)</f>
        <v>#DIV/0!</v>
      </c>
    </row>
    <row r="6" spans="1:39">
      <c r="A6" s="18" t="s">
        <v>84</v>
      </c>
      <c r="B6" s="46">
        <f>'Score Summary'!G6</f>
        <v>0.95</v>
      </c>
      <c r="F6" s="4" t="s">
        <v>9</v>
      </c>
      <c r="G6" s="152">
        <v>0.15</v>
      </c>
      <c r="H6" s="152">
        <v>0.05</v>
      </c>
      <c r="I6" s="152" t="s">
        <v>122</v>
      </c>
      <c r="J6" s="152">
        <v>0.15</v>
      </c>
      <c r="K6" s="152">
        <v>0.05</v>
      </c>
      <c r="L6" s="4" t="s">
        <v>122</v>
      </c>
      <c r="M6" s="4" t="s">
        <v>123</v>
      </c>
      <c r="P6" s="4"/>
      <c r="X6" s="164" t="s">
        <v>124</v>
      </c>
      <c r="Y6" s="1" t="str">
        <f>'Score Summary'!E10</f>
        <v/>
      </c>
      <c r="AA6" s="164" t="s">
        <v>125</v>
      </c>
      <c r="AB6" s="1" t="str">
        <f>'Score Summary'!E15</f>
        <v/>
      </c>
      <c r="AE6" s="155" t="s">
        <v>126</v>
      </c>
      <c r="AG6" s="156" t="e">
        <f>AVERAGE(AB5,AB8)</f>
        <v>#DIV/0!</v>
      </c>
    </row>
    <row r="7" spans="1:39">
      <c r="A7" s="18" t="s">
        <v>85</v>
      </c>
      <c r="B7" s="45" t="str">
        <f>'Score Summary'!G5</f>
        <v>No</v>
      </c>
      <c r="E7" s="151" t="s">
        <v>22</v>
      </c>
      <c r="F7" s="1" t="str">
        <f>Optional!F13</f>
        <v/>
      </c>
      <c r="G7" s="1">
        <v>8</v>
      </c>
      <c r="H7" s="1">
        <v>10</v>
      </c>
      <c r="I7" s="1" t="str">
        <f>IF(F7&gt;=H7,"≤5%",IF(F7&gt;=G7,"≤15%","&gt;15%"))</f>
        <v>≤5%</v>
      </c>
      <c r="J7" s="1">
        <v>8</v>
      </c>
      <c r="K7" s="1">
        <v>11</v>
      </c>
      <c r="L7" s="1" t="str">
        <f>IF(F7&gt;=K7,"≤5%",IF(F7&gt;=J7,"≤15%","&gt;15%"))</f>
        <v>≤5%</v>
      </c>
      <c r="M7" s="1" t="str">
        <f>IF(B5="Self",I7,L7)</f>
        <v>≤5%</v>
      </c>
      <c r="X7" s="151" t="s">
        <v>127</v>
      </c>
      <c r="Y7" s="1" t="str">
        <f>'Score Summary'!E11</f>
        <v/>
      </c>
      <c r="AA7" s="151" t="s">
        <v>128</v>
      </c>
      <c r="AB7" s="1" t="str">
        <f>'Score Summary'!E16</f>
        <v/>
      </c>
      <c r="AE7" s="155" t="s">
        <v>129</v>
      </c>
      <c r="AG7" s="156" t="e">
        <f>AVERAGE(Y6,Y8,Y9,AB6)</f>
        <v>#DIV/0!</v>
      </c>
    </row>
    <row r="8" spans="1:39">
      <c r="E8" s="151" t="s">
        <v>107</v>
      </c>
      <c r="F8" s="1" t="str">
        <f>Optional!F14</f>
        <v/>
      </c>
      <c r="G8" s="1">
        <v>5</v>
      </c>
      <c r="H8" s="1">
        <v>7</v>
      </c>
      <c r="I8" s="1" t="str">
        <f>IF(F8&gt;=H8,"≤5%",IF(F8&gt;=G8,"≤15%","&gt;15%"))</f>
        <v>≤5%</v>
      </c>
      <c r="J8" s="1">
        <v>5</v>
      </c>
      <c r="K8" s="1">
        <v>7</v>
      </c>
      <c r="L8" s="1" t="str">
        <f>IF(F8&gt;=K8,"≤5%",IF(F8&gt;=J8,"≤15%","&gt;15%"))</f>
        <v>≤5%</v>
      </c>
      <c r="M8" s="1" t="str">
        <f>IF(B6="Self",I8,L8)</f>
        <v>≤5%</v>
      </c>
      <c r="X8" s="164" t="s">
        <v>130</v>
      </c>
      <c r="Y8" s="1" t="str">
        <f>'Score Summary'!E12</f>
        <v/>
      </c>
      <c r="AA8" s="151" t="s">
        <v>131</v>
      </c>
      <c r="AB8" s="1" t="str">
        <f>'Score Summary'!E17</f>
        <v/>
      </c>
      <c r="AE8" s="155" t="s">
        <v>132</v>
      </c>
      <c r="AG8" s="156" t="e">
        <f>AVERAGE(Y6,Y8,Y9,AB6,AB9)</f>
        <v>#DIV/0!</v>
      </c>
    </row>
    <row r="9" spans="1:39">
      <c r="A9" s="86" t="s">
        <v>25</v>
      </c>
      <c r="B9" s="87"/>
      <c r="E9" s="151" t="s">
        <v>133</v>
      </c>
      <c r="F9" s="1" t="str">
        <f>Optional!F15</f>
        <v/>
      </c>
      <c r="G9" s="1">
        <v>4</v>
      </c>
      <c r="H9" s="1">
        <v>5</v>
      </c>
      <c r="I9" s="1" t="str">
        <f>IF(F9&gt;=H9,"≤5%",IF(F9&gt;=G9,"≤15%","&gt;15%"))</f>
        <v>≤5%</v>
      </c>
      <c r="J9" s="1">
        <v>4</v>
      </c>
      <c r="K9" s="1">
        <v>5</v>
      </c>
      <c r="L9" s="1" t="str">
        <f>IF(F9&gt;=K9,"≤5%",IF(F9&gt;=J9,"≤15%","&gt;15%"))</f>
        <v>≤5%</v>
      </c>
      <c r="M9" s="1" t="str">
        <f>IF(B7="Self",I9,L9)</f>
        <v>≤5%</v>
      </c>
      <c r="X9" s="164" t="s">
        <v>134</v>
      </c>
      <c r="Y9" s="1" t="str">
        <f>'Score Summary'!E13</f>
        <v/>
      </c>
      <c r="AA9" s="164" t="s">
        <v>135</v>
      </c>
      <c r="AB9" s="1" t="str">
        <f>'Score Summary'!E18</f>
        <v/>
      </c>
      <c r="AE9" s="155" t="s">
        <v>136</v>
      </c>
      <c r="AG9" s="156" t="e">
        <f>AVERAGE(Y5:Y9,AB5:AB8)</f>
        <v>#DIV/0!</v>
      </c>
    </row>
    <row r="10" spans="1:39">
      <c r="A10" s="273" t="s">
        <v>105</v>
      </c>
      <c r="B10" s="273"/>
      <c r="E10" s="151" t="s">
        <v>137</v>
      </c>
      <c r="F10" s="1" t="str">
        <f>Optional!F16</f>
        <v/>
      </c>
      <c r="G10" s="1">
        <v>6</v>
      </c>
      <c r="H10" s="1">
        <v>8</v>
      </c>
      <c r="I10" s="1" t="str">
        <f>IF(F10&gt;=H10,"≤5%",IF(F10&gt;=G10,"≤15%","&gt;15%"))</f>
        <v>≤5%</v>
      </c>
      <c r="J10" s="1">
        <v>7</v>
      </c>
      <c r="K10" s="1">
        <v>9</v>
      </c>
      <c r="L10" s="1" t="str">
        <f>IF(F10&gt;=K10,"≤5%",IF(F10&gt;=J10,"≤15%","&gt;15%"))</f>
        <v>≤5%</v>
      </c>
      <c r="M10" s="1" t="str">
        <f>IF(B8="Self",I10,L10)</f>
        <v>≤5%</v>
      </c>
      <c r="X10" s="160" t="s">
        <v>138</v>
      </c>
      <c r="Y10" s="1" t="str">
        <f>'Score Summary'!G5</f>
        <v>No</v>
      </c>
      <c r="AA10" s="21" t="s">
        <v>139</v>
      </c>
      <c r="AB10" s="1" t="str">
        <f>IF(Optional!B19="Adaptive domains","AD","All")</f>
        <v>All</v>
      </c>
      <c r="AE10" s="155" t="s">
        <v>140</v>
      </c>
      <c r="AG10" s="156" t="e">
        <f>AVERAGE(Y5:Y9,AB5:AB9)</f>
        <v>#DIV/0!</v>
      </c>
    </row>
    <row r="11" spans="1:39">
      <c r="A11" s="273" t="s">
        <v>106</v>
      </c>
      <c r="B11" s="273"/>
      <c r="AK11" s="265" t="s">
        <v>117</v>
      </c>
      <c r="AL11" s="265"/>
      <c r="AM11" s="265"/>
    </row>
    <row r="12" spans="1:39">
      <c r="A12" s="273" t="s">
        <v>107</v>
      </c>
      <c r="B12" s="273"/>
      <c r="E12" s="320" t="s">
        <v>141</v>
      </c>
      <c r="F12" s="320"/>
      <c r="G12" s="320"/>
      <c r="H12" s="320"/>
      <c r="I12" s="320"/>
      <c r="J12" s="320"/>
      <c r="K12" s="320"/>
      <c r="L12" s="320"/>
      <c r="M12" s="1"/>
      <c r="N12" s="321" t="s">
        <v>142</v>
      </c>
      <c r="O12" s="321"/>
      <c r="P12" s="321"/>
      <c r="Q12" s="321"/>
      <c r="R12" s="321"/>
      <c r="S12" s="321"/>
      <c r="T12" s="321"/>
      <c r="U12" s="321"/>
      <c r="X12" s="279" t="s">
        <v>143</v>
      </c>
      <c r="Y12" s="279"/>
      <c r="Z12" s="279"/>
      <c r="AA12" s="279"/>
      <c r="AB12" s="279"/>
      <c r="AC12" s="279"/>
      <c r="AD12" s="279" t="s">
        <v>144</v>
      </c>
      <c r="AE12" s="279"/>
      <c r="AF12" s="279"/>
      <c r="AG12" s="279"/>
      <c r="AH12" s="279"/>
      <c r="AI12" s="279"/>
      <c r="AK12" s="154" t="s">
        <v>145</v>
      </c>
      <c r="AL12" s="154" t="s">
        <v>146</v>
      </c>
      <c r="AM12" s="154" t="s">
        <v>122</v>
      </c>
    </row>
    <row r="13" spans="1:39">
      <c r="A13" s="273" t="s">
        <v>108</v>
      </c>
      <c r="B13" s="273"/>
      <c r="E13" s="222" t="s">
        <v>147</v>
      </c>
      <c r="F13" s="222" t="s">
        <v>148</v>
      </c>
      <c r="G13" s="222" t="s">
        <v>35</v>
      </c>
      <c r="H13" s="222" t="s">
        <v>36</v>
      </c>
      <c r="I13" s="222" t="s">
        <v>149</v>
      </c>
      <c r="J13" s="222" t="s">
        <v>150</v>
      </c>
      <c r="K13" s="222" t="s">
        <v>151</v>
      </c>
      <c r="L13" s="222" t="s">
        <v>152</v>
      </c>
      <c r="M13" s="157"/>
      <c r="N13" s="230" t="s">
        <v>147</v>
      </c>
      <c r="O13" s="230" t="s">
        <v>148</v>
      </c>
      <c r="P13" s="230" t="s">
        <v>35</v>
      </c>
      <c r="Q13" s="230" t="s">
        <v>36</v>
      </c>
      <c r="R13" s="230" t="s">
        <v>149</v>
      </c>
      <c r="S13" s="230" t="s">
        <v>150</v>
      </c>
      <c r="T13" s="230" t="s">
        <v>151</v>
      </c>
      <c r="U13" s="230" t="s">
        <v>152</v>
      </c>
      <c r="V13" s="157"/>
      <c r="W13" s="157"/>
      <c r="X13" s="157" t="s">
        <v>145</v>
      </c>
      <c r="Y13" s="157" t="s">
        <v>152</v>
      </c>
      <c r="Z13" s="157" t="s">
        <v>153</v>
      </c>
      <c r="AA13" s="159">
        <v>0.15</v>
      </c>
      <c r="AB13" s="159">
        <v>0.05</v>
      </c>
      <c r="AC13" s="157" t="s">
        <v>122</v>
      </c>
      <c r="AD13" s="157" t="s">
        <v>145</v>
      </c>
      <c r="AE13" s="157" t="s">
        <v>152</v>
      </c>
      <c r="AF13" s="157" t="s">
        <v>153</v>
      </c>
      <c r="AG13" s="159">
        <v>0.15</v>
      </c>
      <c r="AH13" s="159">
        <v>0.05</v>
      </c>
      <c r="AI13" s="157" t="s">
        <v>122</v>
      </c>
      <c r="AK13" s="151" t="s">
        <v>119</v>
      </c>
      <c r="AL13" s="156">
        <f>IF($AB$10="AD",Z14,IF($Y$10="No",Z37,Z49))</f>
        <v>2.2799999999999998</v>
      </c>
      <c r="AM13" s="1" t="e">
        <f>IF($AB$10="AD",AC14,IF($Y$10="No",AC37,AC49))</f>
        <v>#VALUE!</v>
      </c>
    </row>
    <row r="14" spans="1:39">
      <c r="A14" s="273" t="s">
        <v>109</v>
      </c>
      <c r="B14" s="273"/>
      <c r="E14" s="223" t="s">
        <v>154</v>
      </c>
      <c r="F14" s="223" t="s">
        <v>155</v>
      </c>
      <c r="G14" s="224" t="str">
        <f>'Score Summary'!$E$9</f>
        <v/>
      </c>
      <c r="H14" s="224" t="str">
        <f>'Score Summary'!$E$10</f>
        <v/>
      </c>
      <c r="I14" s="224" t="e">
        <f>ABS(G14-H14)</f>
        <v>#VALUE!</v>
      </c>
      <c r="J14" s="225">
        <v>2.2799999999999998</v>
      </c>
      <c r="K14" s="225" t="e">
        <f>IF(I14&lt;J14,0,I14-J14)</f>
        <v>#VALUE!</v>
      </c>
      <c r="L14" s="226" t="e">
        <f>G14-H14</f>
        <v>#VALUE!</v>
      </c>
      <c r="M14" s="156"/>
      <c r="N14" s="231" t="s">
        <v>154</v>
      </c>
      <c r="O14" s="231" t="s">
        <v>155</v>
      </c>
      <c r="P14" s="232" t="str">
        <f>'Score Summary'!$E$9</f>
        <v/>
      </c>
      <c r="Q14" s="232" t="str">
        <f>'Score Summary'!$E$10</f>
        <v/>
      </c>
      <c r="R14" s="232" t="e">
        <f>ABS(P14-Q14)</f>
        <v>#VALUE!</v>
      </c>
      <c r="S14" s="233">
        <v>1.95</v>
      </c>
      <c r="T14" s="233" t="e">
        <f>IF(R14&lt;S14,0,R14-S14)</f>
        <v>#VALUE!</v>
      </c>
      <c r="U14" s="234" t="e">
        <f t="shared" ref="U14:U58" si="0">P14-Q14</f>
        <v>#VALUE!</v>
      </c>
      <c r="V14" s="156"/>
      <c r="W14" s="156"/>
      <c r="X14" s="151" t="s">
        <v>119</v>
      </c>
      <c r="Y14" s="156" t="e">
        <f>ABS(Y5-AG5)</f>
        <v>#VALUE!</v>
      </c>
      <c r="Z14" s="156">
        <v>2.2799999999999998</v>
      </c>
      <c r="AA14" s="156">
        <v>2.33</v>
      </c>
      <c r="AB14" s="156">
        <v>3</v>
      </c>
      <c r="AC14" s="1" t="e">
        <f>IF(Y14&gt;=AB14,"≤5%",IF(Y14&gt;=AA14,"≤15%","&gt;15%"))</f>
        <v>#VALUE!</v>
      </c>
      <c r="AD14" s="151" t="s">
        <v>119</v>
      </c>
      <c r="AE14" s="156" t="e">
        <f>ABS(Y5-AG5)</f>
        <v>#VALUE!</v>
      </c>
      <c r="AF14" s="156">
        <v>1.86</v>
      </c>
      <c r="AG14" s="156">
        <v>2.67</v>
      </c>
      <c r="AH14" s="156">
        <v>3.67</v>
      </c>
      <c r="AI14" s="1" t="e">
        <f>IF(AE14&gt;=AH14,"≤5%",IF(AE14&gt;=AG14,"≤15%","&gt;15%"))</f>
        <v>#VALUE!</v>
      </c>
      <c r="AK14" s="151" t="s">
        <v>127</v>
      </c>
      <c r="AL14" s="156">
        <f>IF($AB$10="AD",Z15,IF($Y$10="No",Z39,Z51))</f>
        <v>2.2000000000000002</v>
      </c>
      <c r="AM14" s="1" t="e">
        <f>IF($AB$10="AD",AC15,IF($Y$10="No",AC39,AC51))</f>
        <v>#VALUE!</v>
      </c>
    </row>
    <row r="15" spans="1:39">
      <c r="A15" s="273" t="s">
        <v>110</v>
      </c>
      <c r="B15" s="273"/>
      <c r="E15" s="223" t="s">
        <v>154</v>
      </c>
      <c r="F15" s="223" t="s">
        <v>156</v>
      </c>
      <c r="G15" s="224" t="str">
        <f>'Score Summary'!$E$9</f>
        <v/>
      </c>
      <c r="H15" s="224" t="str">
        <f>'Score Summary'!$E$11</f>
        <v/>
      </c>
      <c r="I15" s="224" t="e">
        <f t="shared" ref="I15:I58" si="1">ABS(G15-H15)</f>
        <v>#VALUE!</v>
      </c>
      <c r="J15" s="225">
        <v>2.2799999999999998</v>
      </c>
      <c r="K15" s="225" t="e">
        <f t="shared" ref="K15:K58" si="2">IF(I15&lt;J15,0,I15-J15)</f>
        <v>#VALUE!</v>
      </c>
      <c r="L15" s="226" t="e">
        <f t="shared" ref="L15:L58" si="3">G15-H15</f>
        <v>#VALUE!</v>
      </c>
      <c r="M15" s="156"/>
      <c r="N15" s="231" t="s">
        <v>154</v>
      </c>
      <c r="O15" s="231" t="s">
        <v>156</v>
      </c>
      <c r="P15" s="232" t="str">
        <f>'Score Summary'!$E$9</f>
        <v/>
      </c>
      <c r="Q15" s="232" t="str">
        <f>'Score Summary'!$E$11</f>
        <v/>
      </c>
      <c r="R15" s="232" t="e">
        <f t="shared" ref="R15:R58" si="4">ABS(P15-Q15)</f>
        <v>#VALUE!</v>
      </c>
      <c r="S15" s="233">
        <v>1.95</v>
      </c>
      <c r="T15" s="233" t="e">
        <f t="shared" ref="T15:T58" si="5">IF(R15&lt;S15,0,R15-S15)</f>
        <v>#VALUE!</v>
      </c>
      <c r="U15" s="234" t="e">
        <f t="shared" si="0"/>
        <v>#VALUE!</v>
      </c>
      <c r="V15" s="156"/>
      <c r="W15" s="156"/>
      <c r="X15" s="151" t="s">
        <v>127</v>
      </c>
      <c r="Y15" s="156" t="e">
        <f>ABS(Y7-AG5)</f>
        <v>#VALUE!</v>
      </c>
      <c r="Z15" s="156">
        <v>2.2000000000000002</v>
      </c>
      <c r="AA15" s="156">
        <v>2</v>
      </c>
      <c r="AB15" s="156">
        <v>3</v>
      </c>
      <c r="AC15" s="1" t="e">
        <f t="shared" ref="AC15:AC18" si="6">IF(Y15&gt;=AB15,"≤5%",IF(Y15&gt;=AA15,"≤15%","&gt;15%"))</f>
        <v>#VALUE!</v>
      </c>
      <c r="AD15" s="151" t="s">
        <v>127</v>
      </c>
      <c r="AE15" s="156" t="e">
        <f>ABS(Y7-AG5)</f>
        <v>#VALUE!</v>
      </c>
      <c r="AF15" s="156">
        <v>1.95</v>
      </c>
      <c r="AG15" s="156">
        <v>2.67</v>
      </c>
      <c r="AH15" s="156">
        <v>3.67</v>
      </c>
      <c r="AI15" s="1" t="e">
        <f t="shared" ref="AI15:AI18" si="7">IF(AE15&gt;=AH15,"≤5%",IF(AE15&gt;=AG15,"≤15%","&gt;15%"))</f>
        <v>#VALUE!</v>
      </c>
      <c r="AK15" s="151" t="s">
        <v>128</v>
      </c>
      <c r="AL15" s="156">
        <f>IF($AB$10="AD",Z16,IF($Y$10="No",Z43,Z56))</f>
        <v>2.2000000000000002</v>
      </c>
      <c r="AM15" s="1" t="e">
        <f>IF($AB$10="AD",AC16,IF($Y$10="No",AC43,AC56))</f>
        <v>#VALUE!</v>
      </c>
    </row>
    <row r="16" spans="1:39">
      <c r="E16" s="223" t="s">
        <v>154</v>
      </c>
      <c r="F16" s="223" t="s">
        <v>157</v>
      </c>
      <c r="G16" s="224" t="str">
        <f>'Score Summary'!$E$9</f>
        <v/>
      </c>
      <c r="H16" s="224" t="str">
        <f>'Score Summary'!$E$12</f>
        <v/>
      </c>
      <c r="I16" s="224" t="e">
        <f t="shared" si="1"/>
        <v>#VALUE!</v>
      </c>
      <c r="J16" s="225">
        <v>2.2799999999999998</v>
      </c>
      <c r="K16" s="225" t="e">
        <f t="shared" si="2"/>
        <v>#VALUE!</v>
      </c>
      <c r="L16" s="226" t="e">
        <f t="shared" si="3"/>
        <v>#VALUE!</v>
      </c>
      <c r="M16" s="156"/>
      <c r="N16" s="231" t="s">
        <v>154</v>
      </c>
      <c r="O16" s="231" t="s">
        <v>157</v>
      </c>
      <c r="P16" s="232" t="str">
        <f>'Score Summary'!$E$9</f>
        <v/>
      </c>
      <c r="Q16" s="232" t="str">
        <f>'Score Summary'!$E$12</f>
        <v/>
      </c>
      <c r="R16" s="232" t="e">
        <f t="shared" si="4"/>
        <v>#VALUE!</v>
      </c>
      <c r="S16" s="233">
        <v>1.95</v>
      </c>
      <c r="T16" s="233" t="e">
        <f t="shared" si="5"/>
        <v>#VALUE!</v>
      </c>
      <c r="U16" s="234" t="e">
        <f t="shared" si="0"/>
        <v>#VALUE!</v>
      </c>
      <c r="V16" s="156"/>
      <c r="W16" s="156"/>
      <c r="X16" s="151" t="s">
        <v>128</v>
      </c>
      <c r="Y16" s="156" t="e">
        <f>ABS(AB7-AG5)</f>
        <v>#VALUE!</v>
      </c>
      <c r="Z16" s="156">
        <v>2.04</v>
      </c>
      <c r="AA16" s="156">
        <v>2.33</v>
      </c>
      <c r="AB16" s="156">
        <v>3.33</v>
      </c>
      <c r="AC16" s="1" t="e">
        <f t="shared" si="6"/>
        <v>#VALUE!</v>
      </c>
      <c r="AD16" s="151" t="s">
        <v>128</v>
      </c>
      <c r="AE16" s="156" t="e">
        <f>ABS(AB7-AG5)</f>
        <v>#VALUE!</v>
      </c>
      <c r="AF16" s="156">
        <v>1.76</v>
      </c>
      <c r="AG16" s="156">
        <v>2.33</v>
      </c>
      <c r="AH16" s="156">
        <v>3.33</v>
      </c>
      <c r="AI16" s="1" t="e">
        <f t="shared" si="7"/>
        <v>#VALUE!</v>
      </c>
      <c r="AK16" s="151" t="s">
        <v>120</v>
      </c>
      <c r="AL16" s="156">
        <f>IF($AB$10="AD",Z17,IF($Y$10="No",Z42,Z54))</f>
        <v>2.12</v>
      </c>
      <c r="AM16" s="1" t="e">
        <f>IF($AB$10="AD",AC17,IF($Y$10="No",AC42,AC54))</f>
        <v>#VALUE!</v>
      </c>
    </row>
    <row r="17" spans="1:39">
      <c r="A17" s="4" t="s">
        <v>88</v>
      </c>
      <c r="B17" s="4" t="s">
        <v>89</v>
      </c>
      <c r="E17" s="223" t="s">
        <v>154</v>
      </c>
      <c r="F17" s="223" t="s">
        <v>158</v>
      </c>
      <c r="G17" s="224" t="str">
        <f>'Score Summary'!$E$9</f>
        <v/>
      </c>
      <c r="H17" s="224" t="str">
        <f>'Score Summary'!$E$13</f>
        <v/>
      </c>
      <c r="I17" s="224" t="e">
        <f t="shared" si="1"/>
        <v>#VALUE!</v>
      </c>
      <c r="J17" s="225">
        <v>2.2799999999999998</v>
      </c>
      <c r="K17" s="225" t="e">
        <f t="shared" si="2"/>
        <v>#VALUE!</v>
      </c>
      <c r="L17" s="226" t="e">
        <f t="shared" si="3"/>
        <v>#VALUE!</v>
      </c>
      <c r="M17" s="156"/>
      <c r="N17" s="231" t="s">
        <v>154</v>
      </c>
      <c r="O17" s="231" t="s">
        <v>158</v>
      </c>
      <c r="P17" s="232" t="str">
        <f>'Score Summary'!$E$9</f>
        <v/>
      </c>
      <c r="Q17" s="232" t="str">
        <f>'Score Summary'!$E$13</f>
        <v/>
      </c>
      <c r="R17" s="232" t="e">
        <f t="shared" si="4"/>
        <v>#VALUE!</v>
      </c>
      <c r="S17" s="233">
        <v>2.12</v>
      </c>
      <c r="T17" s="233" t="e">
        <f t="shared" si="5"/>
        <v>#VALUE!</v>
      </c>
      <c r="U17" s="234" t="e">
        <f t="shared" si="0"/>
        <v>#VALUE!</v>
      </c>
      <c r="V17" s="156"/>
      <c r="W17" s="156"/>
      <c r="X17" s="151" t="s">
        <v>120</v>
      </c>
      <c r="Y17" s="156" t="e">
        <f>ABS(AB5-AG6)</f>
        <v>#VALUE!</v>
      </c>
      <c r="Z17" s="156">
        <v>2.04</v>
      </c>
      <c r="AA17" s="156">
        <v>1.5</v>
      </c>
      <c r="AB17" s="156">
        <v>2.5</v>
      </c>
      <c r="AC17" s="1" t="e">
        <f t="shared" si="6"/>
        <v>#VALUE!</v>
      </c>
      <c r="AD17" s="151" t="s">
        <v>120</v>
      </c>
      <c r="AE17" s="156" t="e">
        <f>ABS(AB5-AG6)</f>
        <v>#VALUE!</v>
      </c>
      <c r="AF17" s="156">
        <v>1.76</v>
      </c>
      <c r="AG17" s="156">
        <v>2</v>
      </c>
      <c r="AH17" s="156">
        <v>2.5</v>
      </c>
      <c r="AI17" s="1" t="e">
        <f t="shared" si="7"/>
        <v>#VALUE!</v>
      </c>
      <c r="AK17" s="151" t="s">
        <v>131</v>
      </c>
      <c r="AL17" s="156">
        <f>IF($AB$10="AD",Z18,IF($Y$10="No",Z45,Z57))</f>
        <v>2.12</v>
      </c>
      <c r="AM17" s="1" t="e">
        <f>IF($AB$10="AD",AC18,IF($Y$10="No",AC45,AC57))</f>
        <v>#VALUE!</v>
      </c>
    </row>
    <row r="18" spans="1:39">
      <c r="A18" s="1" t="s">
        <v>2</v>
      </c>
      <c r="B18" s="1">
        <v>0</v>
      </c>
      <c r="E18" s="223" t="s">
        <v>154</v>
      </c>
      <c r="F18" s="223" t="s">
        <v>16</v>
      </c>
      <c r="G18" s="224" t="str">
        <f>'Score Summary'!$E$9</f>
        <v/>
      </c>
      <c r="H18" s="224" t="str">
        <f>'Score Summary'!$E$14</f>
        <v/>
      </c>
      <c r="I18" s="224" t="e">
        <f t="shared" si="1"/>
        <v>#VALUE!</v>
      </c>
      <c r="J18" s="225">
        <v>2.2000000000000002</v>
      </c>
      <c r="K18" s="225" t="e">
        <f t="shared" si="2"/>
        <v>#VALUE!</v>
      </c>
      <c r="L18" s="226" t="e">
        <f t="shared" si="3"/>
        <v>#VALUE!</v>
      </c>
      <c r="M18" s="156"/>
      <c r="N18" s="231" t="s">
        <v>154</v>
      </c>
      <c r="O18" s="231" t="s">
        <v>16</v>
      </c>
      <c r="P18" s="232" t="str">
        <f>'Score Summary'!$E$9</f>
        <v/>
      </c>
      <c r="Q18" s="232" t="str">
        <f>'Score Summary'!$E$14</f>
        <v/>
      </c>
      <c r="R18" s="232" t="e">
        <f t="shared" si="4"/>
        <v>#VALUE!</v>
      </c>
      <c r="S18" s="233">
        <v>1.86</v>
      </c>
      <c r="T18" s="233" t="e">
        <f t="shared" si="5"/>
        <v>#VALUE!</v>
      </c>
      <c r="U18" s="234" t="e">
        <f t="shared" si="0"/>
        <v>#VALUE!</v>
      </c>
      <c r="V18" s="156"/>
      <c r="W18" s="156"/>
      <c r="X18" s="151" t="s">
        <v>131</v>
      </c>
      <c r="Y18" s="156" t="e">
        <f>ABS(AB8-AG6)</f>
        <v>#VALUE!</v>
      </c>
      <c r="Z18" s="156">
        <v>2.04</v>
      </c>
      <c r="AA18" s="156">
        <v>1.5</v>
      </c>
      <c r="AB18" s="156">
        <v>2.5</v>
      </c>
      <c r="AC18" s="1" t="e">
        <f t="shared" si="6"/>
        <v>#VALUE!</v>
      </c>
      <c r="AD18" s="151" t="s">
        <v>131</v>
      </c>
      <c r="AE18" s="156" t="e">
        <f>ABS(AB8-AG6)</f>
        <v>#VALUE!</v>
      </c>
      <c r="AF18" s="156">
        <v>1.66</v>
      </c>
      <c r="AG18" s="156">
        <v>2</v>
      </c>
      <c r="AH18" s="156">
        <v>2.5</v>
      </c>
      <c r="AI18" s="1" t="e">
        <f t="shared" si="7"/>
        <v>#VALUE!</v>
      </c>
      <c r="AK18" s="151" t="s">
        <v>124</v>
      </c>
      <c r="AL18" s="156" cm="1">
        <f t="array" ref="AL18">_xlfn.IFS(AND($AB$10="AD",$Y$10="No"),Z22,AND($AB$10="AD",$Y$10="Yes"),Z29,AND($AB$10="All",$Y$10="No"),Z38,AND($AB$10="All",$Y$10="Yes"),Z50)</f>
        <v>2.2000000000000002</v>
      </c>
      <c r="AM18" s="156" t="e" cm="1">
        <f t="array" ref="AM18">_xlfn.IFS(AND($AB$10="AD",$Y$10="No"),AC22,AND($AB$10="AD",$Y$10="Yes"),AC29,AND($AB$10="All",$Y$10="No"),AC38,AND($AB$10="All",$Y$10="Yes"),AC50)</f>
        <v>#VALUE!</v>
      </c>
    </row>
    <row r="19" spans="1:39">
      <c r="A19" s="1" t="s">
        <v>77</v>
      </c>
      <c r="B19" s="1">
        <v>1</v>
      </c>
      <c r="E19" s="223" t="s">
        <v>154</v>
      </c>
      <c r="F19" s="223" t="s">
        <v>159</v>
      </c>
      <c r="G19" s="224" t="str">
        <f>'Score Summary'!$E$9</f>
        <v/>
      </c>
      <c r="H19" s="224" t="str">
        <f>'Score Summary'!$E$15</f>
        <v/>
      </c>
      <c r="I19" s="224" t="e">
        <f t="shared" si="1"/>
        <v>#VALUE!</v>
      </c>
      <c r="J19" s="225">
        <v>2.2799999999999998</v>
      </c>
      <c r="K19" s="225" t="e">
        <f t="shared" si="2"/>
        <v>#VALUE!</v>
      </c>
      <c r="L19" s="226" t="e">
        <f t="shared" si="3"/>
        <v>#VALUE!</v>
      </c>
      <c r="M19" s="156"/>
      <c r="N19" s="231" t="s">
        <v>154</v>
      </c>
      <c r="O19" s="231" t="s">
        <v>159</v>
      </c>
      <c r="P19" s="232" t="str">
        <f>'Score Summary'!$E$9</f>
        <v/>
      </c>
      <c r="Q19" s="232" t="str">
        <f>'Score Summary'!$E$15</f>
        <v/>
      </c>
      <c r="R19" s="232" t="e">
        <f t="shared" si="4"/>
        <v>#VALUE!</v>
      </c>
      <c r="S19" s="233">
        <v>2.12</v>
      </c>
      <c r="T19" s="233" t="e">
        <f t="shared" si="5"/>
        <v>#VALUE!</v>
      </c>
      <c r="U19" s="234" t="e">
        <f t="shared" si="0"/>
        <v>#VALUE!</v>
      </c>
      <c r="V19" s="156"/>
      <c r="W19" s="156"/>
      <c r="X19" s="151"/>
      <c r="AD19" s="151"/>
      <c r="AK19" s="151" t="s">
        <v>130</v>
      </c>
      <c r="AL19" s="156" cm="1">
        <f t="array" ref="AL19">_xlfn.IFS(AND($AB$10="AD",$Y$10="No"),Z23,AND($AB$10="AD",$Y$10="Yes"),Z30,AND($AB$10="All",$Y$10="No"),Z40,AND($AB$10="All",$Y$10="Yes"),Z52)</f>
        <v>2.2000000000000002</v>
      </c>
      <c r="AM19" s="156" t="e" cm="1">
        <f t="array" ref="AM19">_xlfn.IFS(AND($AB$10="AD",$Y$10="No"),AC23,AND($AB$10="AD",$Y$10="Yes"),AC30,AND($AB$10="All",$Y$10="No"),AC40,AND($AB$10="All",$Y$10="Yes"),AC52)</f>
        <v>#VALUE!</v>
      </c>
    </row>
    <row r="20" spans="1:39">
      <c r="A20" s="1" t="s">
        <v>78</v>
      </c>
      <c r="B20" s="1">
        <v>2</v>
      </c>
      <c r="E20" s="223" t="s">
        <v>154</v>
      </c>
      <c r="F20" s="223" t="s">
        <v>160</v>
      </c>
      <c r="G20" s="224" t="str">
        <f>'Score Summary'!$E$9</f>
        <v/>
      </c>
      <c r="H20" s="224" t="str">
        <f>'Score Summary'!$E$16</f>
        <v/>
      </c>
      <c r="I20" s="224" t="e">
        <f t="shared" si="1"/>
        <v>#VALUE!</v>
      </c>
      <c r="J20" s="225">
        <v>2.12</v>
      </c>
      <c r="K20" s="225" t="e">
        <f t="shared" si="2"/>
        <v>#VALUE!</v>
      </c>
      <c r="L20" s="226" t="e">
        <f t="shared" si="3"/>
        <v>#VALUE!</v>
      </c>
      <c r="M20" s="156"/>
      <c r="N20" s="231" t="s">
        <v>154</v>
      </c>
      <c r="O20" s="231" t="s">
        <v>160</v>
      </c>
      <c r="P20" s="232" t="str">
        <f>'Score Summary'!$E$9</f>
        <v/>
      </c>
      <c r="Q20" s="232" t="str">
        <f>'Score Summary'!$E$16</f>
        <v/>
      </c>
      <c r="R20" s="232" t="e">
        <f t="shared" si="4"/>
        <v>#VALUE!</v>
      </c>
      <c r="S20" s="233">
        <v>1.76</v>
      </c>
      <c r="T20" s="233" t="e">
        <f t="shared" si="5"/>
        <v>#VALUE!</v>
      </c>
      <c r="U20" s="234" t="e">
        <f t="shared" si="0"/>
        <v>#VALUE!</v>
      </c>
      <c r="V20" s="156"/>
      <c r="W20" s="156"/>
      <c r="X20" s="279" t="s">
        <v>161</v>
      </c>
      <c r="Y20" s="279"/>
      <c r="Z20" s="279"/>
      <c r="AA20" s="279"/>
      <c r="AB20" s="279"/>
      <c r="AC20" s="279"/>
      <c r="AD20" s="279" t="s">
        <v>161</v>
      </c>
      <c r="AE20" s="279"/>
      <c r="AF20" s="279"/>
      <c r="AG20" s="279"/>
      <c r="AH20" s="279"/>
      <c r="AI20" s="279"/>
      <c r="AK20" s="151" t="s">
        <v>134</v>
      </c>
      <c r="AL20" s="156" cm="1">
        <f t="array" ref="AL20">_xlfn.IFS(AND($AB$10="AD",$Y$10="No"),Z24,AND($AB$10="AD",$Y$10="Yes"),Z31,AND($AB$10="All",$Y$10="No"),Z41,AND($AB$10="All",$Y$10="Yes"),Z53)</f>
        <v>2.2000000000000002</v>
      </c>
      <c r="AM20" s="156" t="e" cm="1">
        <f t="array" ref="AM20">_xlfn.IFS(AND($AB$10="AD",$Y$10="No"),AC24,AND($AB$10="AD",$Y$10="Yes"),AC31,AND($AB$10="All",$Y$10="No"),AC41,AND($AB$10="All",$Y$10="Yes"),AC53)</f>
        <v>#VALUE!</v>
      </c>
    </row>
    <row r="21" spans="1:39">
      <c r="A21" s="1" t="s">
        <v>79</v>
      </c>
      <c r="B21" s="1">
        <v>3</v>
      </c>
      <c r="E21" s="223" t="s">
        <v>154</v>
      </c>
      <c r="F21" s="223" t="s">
        <v>19</v>
      </c>
      <c r="G21" s="224" t="str">
        <f>'Score Summary'!$E$9</f>
        <v/>
      </c>
      <c r="H21" s="224" t="str">
        <f>'Score Summary'!$E$17</f>
        <v/>
      </c>
      <c r="I21" s="224" t="e">
        <f t="shared" si="1"/>
        <v>#VALUE!</v>
      </c>
      <c r="J21" s="225">
        <v>2.2000000000000002</v>
      </c>
      <c r="K21" s="225" t="e">
        <f t="shared" si="2"/>
        <v>#VALUE!</v>
      </c>
      <c r="L21" s="226" t="e">
        <f t="shared" si="3"/>
        <v>#VALUE!</v>
      </c>
      <c r="M21" s="156"/>
      <c r="N21" s="231" t="s">
        <v>154</v>
      </c>
      <c r="O21" s="231" t="s">
        <v>19</v>
      </c>
      <c r="P21" s="232" t="str">
        <f>'Score Summary'!$E$9</f>
        <v/>
      </c>
      <c r="Q21" s="232" t="str">
        <f>'Score Summary'!$E$17</f>
        <v/>
      </c>
      <c r="R21" s="232" t="e">
        <f t="shared" si="4"/>
        <v>#VALUE!</v>
      </c>
      <c r="S21" s="233">
        <v>1.76</v>
      </c>
      <c r="T21" s="233" t="e">
        <f t="shared" si="5"/>
        <v>#VALUE!</v>
      </c>
      <c r="U21" s="234" t="e">
        <f t="shared" si="0"/>
        <v>#VALUE!</v>
      </c>
      <c r="V21" s="156"/>
      <c r="W21" s="156"/>
      <c r="X21" s="157" t="s">
        <v>145</v>
      </c>
      <c r="Y21" s="157" t="s">
        <v>152</v>
      </c>
      <c r="Z21" s="157" t="s">
        <v>153</v>
      </c>
      <c r="AA21" s="159">
        <v>0.15</v>
      </c>
      <c r="AB21" s="159">
        <v>0.05</v>
      </c>
      <c r="AC21" s="157" t="s">
        <v>122</v>
      </c>
      <c r="AD21" s="157" t="s">
        <v>145</v>
      </c>
      <c r="AE21" s="157" t="s">
        <v>152</v>
      </c>
      <c r="AF21" s="157" t="s">
        <v>153</v>
      </c>
      <c r="AG21" s="159">
        <v>0.15</v>
      </c>
      <c r="AH21" s="159">
        <v>0.05</v>
      </c>
      <c r="AI21" s="157" t="s">
        <v>122</v>
      </c>
      <c r="AK21" s="151" t="s">
        <v>125</v>
      </c>
      <c r="AL21" s="156" cm="1">
        <f t="array" ref="AL21">_xlfn.IFS(AND($AB$10="AD",$Y$10="No"),Z25,AND($AB$10="AD",$Y$10="Yes"),Z32,AND($AB$10="All",$Y$10="No"),Z43,AND($AB$10="All",$Y$10="Yes"),Z55)</f>
        <v>2.2000000000000002</v>
      </c>
      <c r="AM21" s="156" t="e" cm="1">
        <f t="array" ref="AM21">_xlfn.IFS(AND($AB$10="AD",$Y$10="No"),AC25,AND($AB$10="AD",$Y$10="Yes"),AC32,AND($AB$10="All",$Y$10="No"),AC43,AND($AB$10="All",$Y$10="Yes"),AC55)</f>
        <v>#VALUE!</v>
      </c>
    </row>
    <row r="22" spans="1:39">
      <c r="A22" s="1" t="s">
        <v>80</v>
      </c>
      <c r="B22" s="1">
        <v>4</v>
      </c>
      <c r="E22" s="223" t="s">
        <v>154</v>
      </c>
      <c r="F22" s="223" t="s">
        <v>135</v>
      </c>
      <c r="G22" s="224" t="str">
        <f>'Score Summary'!$E$9</f>
        <v/>
      </c>
      <c r="H22" s="224" t="str">
        <f>'Score Summary'!$E$18</f>
        <v/>
      </c>
      <c r="I22" s="224" t="e">
        <f t="shared" si="1"/>
        <v>#VALUE!</v>
      </c>
      <c r="J22" s="225">
        <v>1.76</v>
      </c>
      <c r="K22" s="225" t="e">
        <f t="shared" si="2"/>
        <v>#VALUE!</v>
      </c>
      <c r="L22" s="226" t="e">
        <f t="shared" si="3"/>
        <v>#VALUE!</v>
      </c>
      <c r="M22" s="156"/>
      <c r="N22" s="231" t="s">
        <v>154</v>
      </c>
      <c r="O22" s="231" t="s">
        <v>135</v>
      </c>
      <c r="P22" s="232" t="str">
        <f>'Score Summary'!$E$9</f>
        <v/>
      </c>
      <c r="Q22" s="232" t="str">
        <f>'Score Summary'!$E$18</f>
        <v/>
      </c>
      <c r="R22" s="232" t="e">
        <f t="shared" si="4"/>
        <v>#VALUE!</v>
      </c>
      <c r="S22" s="233">
        <v>1.44</v>
      </c>
      <c r="T22" s="233" t="e">
        <f t="shared" si="5"/>
        <v>#VALUE!</v>
      </c>
      <c r="U22" s="234" t="e">
        <f t="shared" si="0"/>
        <v>#VALUE!</v>
      </c>
      <c r="V22" s="156"/>
      <c r="W22" s="156"/>
      <c r="X22" s="151" t="s">
        <v>124</v>
      </c>
      <c r="Y22" s="156" t="e">
        <f>ABS(Y6-AG7)</f>
        <v>#VALUE!</v>
      </c>
      <c r="Z22" s="156">
        <v>2.2000000000000002</v>
      </c>
      <c r="AA22" s="156">
        <v>2.5</v>
      </c>
      <c r="AB22" s="156">
        <v>3.75</v>
      </c>
      <c r="AC22" s="1" t="e">
        <f t="shared" ref="AC22:AC25" si="8">IF(Y22&gt;=AB22,"≤5%",IF(Y22&gt;=AA22,"≤15%","&gt;15%"))</f>
        <v>#VALUE!</v>
      </c>
      <c r="AD22" s="151" t="s">
        <v>124</v>
      </c>
      <c r="AE22" s="156" t="e">
        <f>ABS(Y6-AG7)</f>
        <v>#VALUE!</v>
      </c>
      <c r="AF22" s="156">
        <v>2.12</v>
      </c>
      <c r="AG22" s="156">
        <v>2.5</v>
      </c>
      <c r="AH22" s="156">
        <v>3.75</v>
      </c>
      <c r="AI22" s="1" t="e">
        <f t="shared" ref="AI22:AI25" si="9">IF(AE22&gt;=AH22,"≤5%",IF(AE22&gt;=AG22,"≤15%","&gt;15%"))</f>
        <v>#VALUE!</v>
      </c>
      <c r="AK22" s="151" t="s">
        <v>135</v>
      </c>
      <c r="AL22" s="156">
        <f>IF($AB$10="AD",Z33,Z58)</f>
        <v>0.83</v>
      </c>
      <c r="AM22" s="156" t="e">
        <f>IF($AB$10="AD",AC33,AC58)</f>
        <v>#VALUE!</v>
      </c>
    </row>
    <row r="23" spans="1:39">
      <c r="A23" s="1" t="s">
        <v>81</v>
      </c>
      <c r="B23" s="1">
        <v>5</v>
      </c>
      <c r="E23" s="223" t="s">
        <v>155</v>
      </c>
      <c r="F23" s="223" t="s">
        <v>156</v>
      </c>
      <c r="G23" s="224" t="str">
        <f>'Score Summary'!$E$10</f>
        <v/>
      </c>
      <c r="H23" s="224" t="str">
        <f>'Score Summary'!$E$11</f>
        <v/>
      </c>
      <c r="I23" s="224" t="e">
        <f t="shared" si="1"/>
        <v>#VALUE!</v>
      </c>
      <c r="J23" s="225">
        <v>2.2000000000000002</v>
      </c>
      <c r="K23" s="225" t="e">
        <f t="shared" si="2"/>
        <v>#VALUE!</v>
      </c>
      <c r="L23" s="226" t="e">
        <f t="shared" si="3"/>
        <v>#VALUE!</v>
      </c>
      <c r="M23" s="156"/>
      <c r="N23" s="231" t="s">
        <v>155</v>
      </c>
      <c r="O23" s="231" t="s">
        <v>156</v>
      </c>
      <c r="P23" s="232" t="str">
        <f>'Score Summary'!$E$10</f>
        <v/>
      </c>
      <c r="Q23" s="232" t="str">
        <f>'Score Summary'!$E$11</f>
        <v/>
      </c>
      <c r="R23" s="232" t="e">
        <f t="shared" si="4"/>
        <v>#VALUE!</v>
      </c>
      <c r="S23" s="233">
        <v>2.04</v>
      </c>
      <c r="T23" s="233" t="e">
        <f t="shared" si="5"/>
        <v>#VALUE!</v>
      </c>
      <c r="U23" s="234" t="e">
        <f t="shared" si="0"/>
        <v>#VALUE!</v>
      </c>
      <c r="V23" s="156"/>
      <c r="W23" s="156"/>
      <c r="X23" s="151" t="s">
        <v>130</v>
      </c>
      <c r="Y23" s="156" t="e">
        <f>ABS(Y8-AG7)</f>
        <v>#VALUE!</v>
      </c>
      <c r="Z23" s="156">
        <v>2.2000000000000002</v>
      </c>
      <c r="AA23" s="156">
        <v>2.25</v>
      </c>
      <c r="AB23" s="156">
        <v>3.25</v>
      </c>
      <c r="AC23" s="1" t="e">
        <f t="shared" si="8"/>
        <v>#VALUE!</v>
      </c>
      <c r="AD23" s="151" t="s">
        <v>130</v>
      </c>
      <c r="AE23" s="156" t="e">
        <f>ABS(Y8-AG7)</f>
        <v>#VALUE!</v>
      </c>
      <c r="AF23" s="156">
        <v>2.12</v>
      </c>
      <c r="AG23" s="156">
        <v>2.5</v>
      </c>
      <c r="AH23" s="156">
        <v>3.75</v>
      </c>
      <c r="AI23" s="1" t="e">
        <f t="shared" si="9"/>
        <v>#VALUE!</v>
      </c>
    </row>
    <row r="24" spans="1:39">
      <c r="A24" s="1" t="s">
        <v>82</v>
      </c>
      <c r="B24" s="1">
        <v>6</v>
      </c>
      <c r="E24" s="223" t="s">
        <v>155</v>
      </c>
      <c r="F24" s="223" t="s">
        <v>157</v>
      </c>
      <c r="G24" s="224" t="str">
        <f>'Score Summary'!$E$10</f>
        <v/>
      </c>
      <c r="H24" s="224" t="str">
        <f>'Score Summary'!$E$12</f>
        <v/>
      </c>
      <c r="I24" s="224" t="e">
        <f t="shared" si="1"/>
        <v>#VALUE!</v>
      </c>
      <c r="J24" s="225">
        <v>2.2000000000000002</v>
      </c>
      <c r="K24" s="225" t="e">
        <f t="shared" si="2"/>
        <v>#VALUE!</v>
      </c>
      <c r="L24" s="226" t="e">
        <f t="shared" si="3"/>
        <v>#VALUE!</v>
      </c>
      <c r="M24" s="156"/>
      <c r="N24" s="231" t="s">
        <v>155</v>
      </c>
      <c r="O24" s="231" t="s">
        <v>157</v>
      </c>
      <c r="P24" s="232" t="str">
        <f>'Score Summary'!$E$10</f>
        <v/>
      </c>
      <c r="Q24" s="232" t="str">
        <f>'Score Summary'!$E$12</f>
        <v/>
      </c>
      <c r="R24" s="232" t="e">
        <f t="shared" si="4"/>
        <v>#VALUE!</v>
      </c>
      <c r="S24" s="233">
        <v>2.04</v>
      </c>
      <c r="T24" s="233" t="e">
        <f t="shared" si="5"/>
        <v>#VALUE!</v>
      </c>
      <c r="U24" s="234" t="e">
        <f t="shared" si="0"/>
        <v>#VALUE!</v>
      </c>
      <c r="V24" s="156"/>
      <c r="W24" s="156"/>
      <c r="X24" s="151" t="s">
        <v>134</v>
      </c>
      <c r="Y24" s="156" t="e">
        <f>ABS(Y9-AG7)</f>
        <v>#VALUE!</v>
      </c>
      <c r="Z24" s="156">
        <v>2.2000000000000002</v>
      </c>
      <c r="AA24" s="156">
        <v>2.25</v>
      </c>
      <c r="AB24" s="156">
        <v>3.25</v>
      </c>
      <c r="AC24" s="1" t="e">
        <f t="shared" si="8"/>
        <v>#VALUE!</v>
      </c>
      <c r="AD24" s="151" t="s">
        <v>134</v>
      </c>
      <c r="AE24" s="156" t="e">
        <f>ABS(Y9-AG7)</f>
        <v>#VALUE!</v>
      </c>
      <c r="AF24" s="156">
        <v>2.2799999999999998</v>
      </c>
      <c r="AG24" s="156">
        <v>2.75</v>
      </c>
      <c r="AH24" s="156">
        <v>4</v>
      </c>
      <c r="AI24" s="1" t="e">
        <f t="shared" si="9"/>
        <v>#VALUE!</v>
      </c>
      <c r="AK24" s="265" t="s">
        <v>118</v>
      </c>
      <c r="AL24" s="265"/>
      <c r="AM24" s="265"/>
    </row>
    <row r="25" spans="1:39">
      <c r="E25" s="223" t="s">
        <v>155</v>
      </c>
      <c r="F25" s="223" t="s">
        <v>158</v>
      </c>
      <c r="G25" s="224" t="str">
        <f>'Score Summary'!$E$10</f>
        <v/>
      </c>
      <c r="H25" s="224" t="str">
        <f>'Score Summary'!$E$13</f>
        <v/>
      </c>
      <c r="I25" s="224" t="e">
        <f t="shared" si="1"/>
        <v>#VALUE!</v>
      </c>
      <c r="J25" s="225">
        <v>2.2000000000000002</v>
      </c>
      <c r="K25" s="225" t="e">
        <f t="shared" si="2"/>
        <v>#VALUE!</v>
      </c>
      <c r="L25" s="226" t="e">
        <f t="shared" si="3"/>
        <v>#VALUE!</v>
      </c>
      <c r="M25" s="156"/>
      <c r="N25" s="231" t="s">
        <v>155</v>
      </c>
      <c r="O25" s="231" t="s">
        <v>158</v>
      </c>
      <c r="P25" s="232" t="str">
        <f>'Score Summary'!$E$10</f>
        <v/>
      </c>
      <c r="Q25" s="232" t="str">
        <f>'Score Summary'!$E$13</f>
        <v/>
      </c>
      <c r="R25" s="232" t="e">
        <f t="shared" si="4"/>
        <v>#VALUE!</v>
      </c>
      <c r="S25" s="233">
        <v>2.2000000000000002</v>
      </c>
      <c r="T25" s="233" t="e">
        <f t="shared" si="5"/>
        <v>#VALUE!</v>
      </c>
      <c r="U25" s="234" t="e">
        <f t="shared" si="0"/>
        <v>#VALUE!</v>
      </c>
      <c r="V25" s="156"/>
      <c r="W25" s="156"/>
      <c r="X25" s="151" t="s">
        <v>125</v>
      </c>
      <c r="Y25" s="156" t="e">
        <f>ABS(AB6-AG7)</f>
        <v>#VALUE!</v>
      </c>
      <c r="Z25" s="156">
        <v>2.2000000000000002</v>
      </c>
      <c r="AA25" s="156">
        <v>2.5</v>
      </c>
      <c r="AB25" s="156">
        <v>3.5</v>
      </c>
      <c r="AC25" s="1" t="e">
        <f t="shared" si="8"/>
        <v>#VALUE!</v>
      </c>
      <c r="AD25" s="151" t="s">
        <v>125</v>
      </c>
      <c r="AE25" s="156" t="e">
        <f>ABS(AB6-AG7)</f>
        <v>#VALUE!</v>
      </c>
      <c r="AF25" s="156">
        <v>2.2799999999999998</v>
      </c>
      <c r="AG25" s="156">
        <v>2.75</v>
      </c>
      <c r="AH25" s="156">
        <v>4</v>
      </c>
      <c r="AI25" s="1" t="e">
        <f t="shared" si="9"/>
        <v>#VALUE!</v>
      </c>
      <c r="AK25" s="154" t="s">
        <v>145</v>
      </c>
      <c r="AL25" s="154" t="s">
        <v>146</v>
      </c>
      <c r="AM25" s="154" t="s">
        <v>122</v>
      </c>
    </row>
    <row r="26" spans="1:39">
      <c r="A26" s="86" t="s">
        <v>25</v>
      </c>
      <c r="B26" s="87"/>
      <c r="E26" s="223" t="s">
        <v>155</v>
      </c>
      <c r="F26" s="223" t="s">
        <v>16</v>
      </c>
      <c r="G26" s="224" t="str">
        <f>'Score Summary'!$E$10</f>
        <v/>
      </c>
      <c r="H26" s="224" t="str">
        <f>'Score Summary'!$E$14</f>
        <v/>
      </c>
      <c r="I26" s="224" t="e">
        <f t="shared" si="1"/>
        <v>#VALUE!</v>
      </c>
      <c r="J26" s="225">
        <v>2.12</v>
      </c>
      <c r="K26" s="225" t="e">
        <f t="shared" si="2"/>
        <v>#VALUE!</v>
      </c>
      <c r="L26" s="226" t="e">
        <f t="shared" si="3"/>
        <v>#VALUE!</v>
      </c>
      <c r="M26" s="156"/>
      <c r="N26" s="231" t="s">
        <v>155</v>
      </c>
      <c r="O26" s="231" t="s">
        <v>16</v>
      </c>
      <c r="P26" s="232" t="str">
        <f>'Score Summary'!$E$10</f>
        <v/>
      </c>
      <c r="Q26" s="232" t="str">
        <f>'Score Summary'!$E$14</f>
        <v/>
      </c>
      <c r="R26" s="232" t="e">
        <f t="shared" si="4"/>
        <v>#VALUE!</v>
      </c>
      <c r="S26" s="233">
        <v>1.95</v>
      </c>
      <c r="T26" s="233" t="e">
        <f t="shared" si="5"/>
        <v>#VALUE!</v>
      </c>
      <c r="U26" s="234" t="e">
        <f t="shared" si="0"/>
        <v>#VALUE!</v>
      </c>
      <c r="V26" s="156"/>
      <c r="W26" s="156"/>
      <c r="X26" s="151"/>
      <c r="AK26" s="151" t="s">
        <v>119</v>
      </c>
      <c r="AL26" s="156">
        <f>IF($AB$10="AD",AF14,IF($Y$10="No",AF37,AF49))</f>
        <v>1.95</v>
      </c>
      <c r="AM26" s="1" t="e">
        <f>IF($AB$10="AD",AI14,IF($Y$10="No",AI37,AI49))</f>
        <v>#VALUE!</v>
      </c>
    </row>
    <row r="27" spans="1:39">
      <c r="A27" s="273" t="s">
        <v>105</v>
      </c>
      <c r="B27" s="273"/>
      <c r="E27" s="223" t="s">
        <v>155</v>
      </c>
      <c r="F27" s="223" t="s">
        <v>159</v>
      </c>
      <c r="G27" s="224" t="str">
        <f>'Score Summary'!$E$10</f>
        <v/>
      </c>
      <c r="H27" s="224" t="str">
        <f>'Score Summary'!$E$15</f>
        <v/>
      </c>
      <c r="I27" s="224" t="e">
        <f t="shared" si="1"/>
        <v>#VALUE!</v>
      </c>
      <c r="J27" s="225">
        <v>2.2000000000000002</v>
      </c>
      <c r="K27" s="225" t="e">
        <f t="shared" si="2"/>
        <v>#VALUE!</v>
      </c>
      <c r="L27" s="226" t="e">
        <f t="shared" si="3"/>
        <v>#VALUE!</v>
      </c>
      <c r="M27" s="156"/>
      <c r="N27" s="231" t="s">
        <v>155</v>
      </c>
      <c r="O27" s="231" t="s">
        <v>159</v>
      </c>
      <c r="P27" s="232" t="str">
        <f>'Score Summary'!$E$10</f>
        <v/>
      </c>
      <c r="Q27" s="232" t="str">
        <f>'Score Summary'!$E$15</f>
        <v/>
      </c>
      <c r="R27" s="232" t="e">
        <f t="shared" si="4"/>
        <v>#VALUE!</v>
      </c>
      <c r="S27" s="233">
        <v>2.2000000000000002</v>
      </c>
      <c r="T27" s="233" t="e">
        <f t="shared" si="5"/>
        <v>#VALUE!</v>
      </c>
      <c r="U27" s="234" t="e">
        <f t="shared" si="0"/>
        <v>#VALUE!</v>
      </c>
      <c r="V27" s="156"/>
      <c r="W27" s="156"/>
      <c r="X27" s="279" t="s">
        <v>162</v>
      </c>
      <c r="Y27" s="279"/>
      <c r="Z27" s="279"/>
      <c r="AA27" s="279"/>
      <c r="AB27" s="279"/>
      <c r="AC27" s="279"/>
      <c r="AD27" s="279" t="s">
        <v>162</v>
      </c>
      <c r="AE27" s="279"/>
      <c r="AF27" s="279"/>
      <c r="AG27" s="279"/>
      <c r="AH27" s="279"/>
      <c r="AI27" s="279"/>
      <c r="AK27" s="151" t="s">
        <v>127</v>
      </c>
      <c r="AL27" s="156">
        <f>IF($AB$10="AD",AF15,IF($Y$10="No",AF39,AF51))</f>
        <v>2.04</v>
      </c>
      <c r="AM27" s="1" t="e">
        <f>IF($AB$10="AD",AI15,IF($Y$10="No",AI39,AI51))</f>
        <v>#VALUE!</v>
      </c>
    </row>
    <row r="28" spans="1:39">
      <c r="A28" s="273" t="s">
        <v>106</v>
      </c>
      <c r="B28" s="273"/>
      <c r="E28" s="223" t="s">
        <v>155</v>
      </c>
      <c r="F28" s="223" t="s">
        <v>160</v>
      </c>
      <c r="G28" s="224" t="str">
        <f>'Score Summary'!$E$10</f>
        <v/>
      </c>
      <c r="H28" s="224" t="str">
        <f>'Score Summary'!$E$16</f>
        <v/>
      </c>
      <c r="I28" s="224" t="e">
        <f t="shared" si="1"/>
        <v>#VALUE!</v>
      </c>
      <c r="J28" s="225">
        <v>2.04</v>
      </c>
      <c r="K28" s="225" t="e">
        <f t="shared" si="2"/>
        <v>#VALUE!</v>
      </c>
      <c r="L28" s="226" t="e">
        <f t="shared" si="3"/>
        <v>#VALUE!</v>
      </c>
      <c r="M28" s="156"/>
      <c r="N28" s="231" t="s">
        <v>155</v>
      </c>
      <c r="O28" s="231" t="s">
        <v>160</v>
      </c>
      <c r="P28" s="232" t="str">
        <f>'Score Summary'!$E$10</f>
        <v/>
      </c>
      <c r="Q28" s="232" t="str">
        <f>'Score Summary'!$E$16</f>
        <v/>
      </c>
      <c r="R28" s="232" t="e">
        <f t="shared" si="4"/>
        <v>#VALUE!</v>
      </c>
      <c r="S28" s="233">
        <v>1.86</v>
      </c>
      <c r="T28" s="233" t="e">
        <f t="shared" si="5"/>
        <v>#VALUE!</v>
      </c>
      <c r="U28" s="234" t="e">
        <f t="shared" si="0"/>
        <v>#VALUE!</v>
      </c>
      <c r="V28" s="156"/>
      <c r="W28" s="156"/>
      <c r="X28" s="157" t="s">
        <v>145</v>
      </c>
      <c r="Y28" s="157" t="s">
        <v>152</v>
      </c>
      <c r="Z28" s="157" t="s">
        <v>153</v>
      </c>
      <c r="AA28" s="159">
        <v>0.15</v>
      </c>
      <c r="AB28" s="159">
        <v>0.05</v>
      </c>
      <c r="AC28" s="157" t="s">
        <v>122</v>
      </c>
      <c r="AD28" s="157" t="s">
        <v>145</v>
      </c>
      <c r="AE28" s="157" t="s">
        <v>152</v>
      </c>
      <c r="AF28" s="157" t="s">
        <v>153</v>
      </c>
      <c r="AG28" s="159">
        <v>0.15</v>
      </c>
      <c r="AH28" s="159">
        <v>0.05</v>
      </c>
      <c r="AI28" s="157" t="s">
        <v>122</v>
      </c>
      <c r="AK28" s="151" t="s">
        <v>128</v>
      </c>
      <c r="AL28" s="156">
        <f>IF($AB$10="AD",AF16,IF($Y$10="No",AF43,AF56))</f>
        <v>2.2000000000000002</v>
      </c>
      <c r="AM28" s="1" t="e">
        <f>IF($AB$10="AD",AI16,IF($Y$10="No",AI43,AI56))</f>
        <v>#VALUE!</v>
      </c>
    </row>
    <row r="29" spans="1:39">
      <c r="A29" s="273" t="s">
        <v>107</v>
      </c>
      <c r="B29" s="273"/>
      <c r="E29" s="223" t="s">
        <v>155</v>
      </c>
      <c r="F29" s="223" t="s">
        <v>19</v>
      </c>
      <c r="G29" s="224" t="str">
        <f>'Score Summary'!$E$10</f>
        <v/>
      </c>
      <c r="H29" s="224" t="str">
        <f>'Score Summary'!$E$17</f>
        <v/>
      </c>
      <c r="I29" s="224" t="e">
        <f t="shared" si="1"/>
        <v>#VALUE!</v>
      </c>
      <c r="J29" s="225">
        <v>2.12</v>
      </c>
      <c r="K29" s="225" t="e">
        <f t="shared" si="2"/>
        <v>#VALUE!</v>
      </c>
      <c r="L29" s="226" t="e">
        <f t="shared" si="3"/>
        <v>#VALUE!</v>
      </c>
      <c r="M29" s="156"/>
      <c r="N29" s="231" t="s">
        <v>155</v>
      </c>
      <c r="O29" s="231" t="s">
        <v>19</v>
      </c>
      <c r="P29" s="232" t="str">
        <f>'Score Summary'!$E$10</f>
        <v/>
      </c>
      <c r="Q29" s="232" t="str">
        <f>'Score Summary'!$E$17</f>
        <v/>
      </c>
      <c r="R29" s="232" t="e">
        <f t="shared" si="4"/>
        <v>#VALUE!</v>
      </c>
      <c r="S29" s="233">
        <v>1.86</v>
      </c>
      <c r="T29" s="233" t="e">
        <f t="shared" si="5"/>
        <v>#VALUE!</v>
      </c>
      <c r="U29" s="234" t="e">
        <f t="shared" si="0"/>
        <v>#VALUE!</v>
      </c>
      <c r="V29" s="156"/>
      <c r="W29" s="156"/>
      <c r="X29" s="151" t="s">
        <v>124</v>
      </c>
      <c r="Y29" s="156" t="e">
        <f>ABS(Y6-AG8)</f>
        <v>#VALUE!</v>
      </c>
      <c r="Z29" s="156">
        <v>1.76</v>
      </c>
      <c r="AA29" s="156">
        <v>2.6</v>
      </c>
      <c r="AB29" s="156">
        <v>3.8</v>
      </c>
      <c r="AC29" s="1" t="e">
        <f t="shared" ref="AC29:AC33" si="10">IF(Y29&gt;=AB29,"≤5%",IF(Y29&gt;=AA29,"≤15%","&gt;15%"))</f>
        <v>#VALUE!</v>
      </c>
      <c r="AD29" s="151" t="s">
        <v>124</v>
      </c>
      <c r="AE29" s="156" t="e">
        <f>ABS(Y6-AG8)</f>
        <v>#VALUE!</v>
      </c>
      <c r="AF29" s="156">
        <v>1.66</v>
      </c>
      <c r="AG29" s="156">
        <v>2.8</v>
      </c>
      <c r="AH29" s="156">
        <v>4.2</v>
      </c>
      <c r="AI29" s="1" t="e">
        <f t="shared" ref="AI29:AI33" si="11">IF(AE29&gt;=AH29,"≤5%",IF(AE29&gt;=AG29,"≤15%","&gt;15%"))</f>
        <v>#VALUE!</v>
      </c>
      <c r="AK29" s="151" t="s">
        <v>120</v>
      </c>
      <c r="AL29" s="156">
        <f>IF($AB$10="AD",AF17,IF($Y$10="No",AF42,AF54))</f>
        <v>1.95</v>
      </c>
      <c r="AM29" s="1" t="e">
        <f>IF($AB$10="AD",AI17,IF($Y$10="No",AI42,AI54))</f>
        <v>#VALUE!</v>
      </c>
    </row>
    <row r="30" spans="1:39">
      <c r="A30" s="273" t="s">
        <v>108</v>
      </c>
      <c r="B30" s="273"/>
      <c r="E30" s="223" t="s">
        <v>155</v>
      </c>
      <c r="F30" s="223" t="s">
        <v>135</v>
      </c>
      <c r="G30" s="224" t="str">
        <f>'Score Summary'!$E$10</f>
        <v/>
      </c>
      <c r="H30" s="224" t="str">
        <f>'Score Summary'!$E$18</f>
        <v/>
      </c>
      <c r="I30" s="224" t="e">
        <f t="shared" si="1"/>
        <v>#VALUE!</v>
      </c>
      <c r="J30" s="225">
        <v>1.66</v>
      </c>
      <c r="K30" s="225" t="e">
        <f t="shared" si="2"/>
        <v>#VALUE!</v>
      </c>
      <c r="L30" s="226" t="e">
        <f t="shared" si="3"/>
        <v>#VALUE!</v>
      </c>
      <c r="M30" s="156"/>
      <c r="N30" s="231" t="s">
        <v>155</v>
      </c>
      <c r="O30" s="231" t="s">
        <v>135</v>
      </c>
      <c r="P30" s="232" t="str">
        <f>'Score Summary'!$E$10</f>
        <v/>
      </c>
      <c r="Q30" s="232" t="str">
        <f>'Score Summary'!$E$18</f>
        <v/>
      </c>
      <c r="R30" s="232" t="e">
        <f t="shared" si="4"/>
        <v>#VALUE!</v>
      </c>
      <c r="S30" s="233">
        <v>1.56</v>
      </c>
      <c r="T30" s="233" t="e">
        <f t="shared" si="5"/>
        <v>#VALUE!</v>
      </c>
      <c r="U30" s="234" t="e">
        <f t="shared" si="0"/>
        <v>#VALUE!</v>
      </c>
      <c r="V30" s="156"/>
      <c r="W30" s="156"/>
      <c r="X30" s="151" t="s">
        <v>130</v>
      </c>
      <c r="Y30" s="156" t="e">
        <f>ABS(Y8-AG8)</f>
        <v>#VALUE!</v>
      </c>
      <c r="Z30" s="156">
        <v>1.76</v>
      </c>
      <c r="AA30" s="156">
        <v>2.8</v>
      </c>
      <c r="AB30" s="156">
        <v>4</v>
      </c>
      <c r="AC30" s="1" t="e">
        <f t="shared" si="10"/>
        <v>#VALUE!</v>
      </c>
      <c r="AD30" s="151" t="s">
        <v>130</v>
      </c>
      <c r="AE30" s="156" t="e">
        <f>ABS(Y8-AG8)</f>
        <v>#VALUE!</v>
      </c>
      <c r="AF30" s="156">
        <v>1.66</v>
      </c>
      <c r="AG30" s="156">
        <v>3</v>
      </c>
      <c r="AH30" s="156">
        <v>4.5999999999999996</v>
      </c>
      <c r="AI30" s="1" t="e">
        <f t="shared" si="11"/>
        <v>#VALUE!</v>
      </c>
      <c r="AK30" s="151" t="s">
        <v>131</v>
      </c>
      <c r="AL30" s="156">
        <f>IF($AB$10="AD",AF18,IF($Y$10="No",AF45,AF57))</f>
        <v>1.86</v>
      </c>
      <c r="AM30" s="1" t="e">
        <f>IF($AB$10="AD",AI18,IF($Y$10="No",AI45,AI57))</f>
        <v>#VALUE!</v>
      </c>
    </row>
    <row r="31" spans="1:39">
      <c r="A31" s="273" t="s">
        <v>109</v>
      </c>
      <c r="B31" s="273"/>
      <c r="E31" s="223" t="s">
        <v>156</v>
      </c>
      <c r="F31" s="223" t="s">
        <v>157</v>
      </c>
      <c r="G31" s="224" t="str">
        <f>'Score Summary'!$E$11</f>
        <v/>
      </c>
      <c r="H31" s="224" t="str">
        <f>'Score Summary'!$E$12</f>
        <v/>
      </c>
      <c r="I31" s="224" t="e">
        <f t="shared" si="1"/>
        <v>#VALUE!</v>
      </c>
      <c r="J31" s="225">
        <v>2.2000000000000002</v>
      </c>
      <c r="K31" s="225" t="e">
        <f t="shared" si="2"/>
        <v>#VALUE!</v>
      </c>
      <c r="L31" s="226" t="e">
        <f t="shared" si="3"/>
        <v>#VALUE!</v>
      </c>
      <c r="M31" s="156"/>
      <c r="N31" s="231" t="s">
        <v>156</v>
      </c>
      <c r="O31" s="231" t="s">
        <v>157</v>
      </c>
      <c r="P31" s="232" t="str">
        <f>'Score Summary'!$E$11</f>
        <v/>
      </c>
      <c r="Q31" s="232" t="str">
        <f>'Score Summary'!$E$12</f>
        <v/>
      </c>
      <c r="R31" s="232" t="e">
        <f t="shared" si="4"/>
        <v>#VALUE!</v>
      </c>
      <c r="S31" s="233">
        <v>2.04</v>
      </c>
      <c r="T31" s="233" t="e">
        <f t="shared" si="5"/>
        <v>#VALUE!</v>
      </c>
      <c r="U31" s="234" t="e">
        <f t="shared" si="0"/>
        <v>#VALUE!</v>
      </c>
      <c r="V31" s="156"/>
      <c r="W31" s="156"/>
      <c r="X31" s="151" t="s">
        <v>134</v>
      </c>
      <c r="Y31" s="156" t="e">
        <f>ABS(Y9-AG8)</f>
        <v>#VALUE!</v>
      </c>
      <c r="Z31" s="156">
        <v>1.76</v>
      </c>
      <c r="AA31" s="156">
        <v>2.6</v>
      </c>
      <c r="AB31" s="156">
        <v>4</v>
      </c>
      <c r="AC31" s="1" t="e">
        <f t="shared" si="10"/>
        <v>#VALUE!</v>
      </c>
      <c r="AD31" s="151" t="s">
        <v>134</v>
      </c>
      <c r="AE31" s="156" t="e">
        <f>ABS(Y9-AG8)</f>
        <v>#VALUE!</v>
      </c>
      <c r="AF31" s="156">
        <v>1.86</v>
      </c>
      <c r="AG31" s="156">
        <v>3.2</v>
      </c>
      <c r="AH31" s="156">
        <v>4.5999999999999996</v>
      </c>
      <c r="AI31" s="1" t="e">
        <f t="shared" si="11"/>
        <v>#VALUE!</v>
      </c>
      <c r="AK31" s="151" t="s">
        <v>124</v>
      </c>
      <c r="AL31" s="156" cm="1">
        <f t="array" ref="AL31">_xlfn.IFS(AND($AB$10="AD",$Y$10="No"),AF22,AND($AB$10="AD",$Y$10="Yes"),AF29,AND($AB$10="All",$Y$10="No"),AF38,AND($AB$10="All",$Y$10="Yes"),AF50)</f>
        <v>2.04</v>
      </c>
      <c r="AM31" s="156" t="e" cm="1">
        <f t="array" ref="AM31">_xlfn.IFS(AND($AB$10="AD",$Y$10="No"),AI22,AND($AB$10="AD",$Y$10="Yes"),AI29,AND($AB$10="All",$Y$10="No"),AI38,AND($AB$10="All",$Y$10="Yes"),AI50)</f>
        <v>#VALUE!</v>
      </c>
    </row>
    <row r="32" spans="1:39">
      <c r="A32" s="273" t="s">
        <v>110</v>
      </c>
      <c r="B32" s="273"/>
      <c r="E32" s="223" t="s">
        <v>156</v>
      </c>
      <c r="F32" s="223" t="s">
        <v>158</v>
      </c>
      <c r="G32" s="224" t="str">
        <f>'Score Summary'!$E$11</f>
        <v/>
      </c>
      <c r="H32" s="224" t="str">
        <f>'Score Summary'!$E$13</f>
        <v/>
      </c>
      <c r="I32" s="224" t="e">
        <f t="shared" si="1"/>
        <v>#VALUE!</v>
      </c>
      <c r="J32" s="225">
        <v>2.2000000000000002</v>
      </c>
      <c r="K32" s="225" t="e">
        <f t="shared" si="2"/>
        <v>#VALUE!</v>
      </c>
      <c r="L32" s="226" t="e">
        <f t="shared" si="3"/>
        <v>#VALUE!</v>
      </c>
      <c r="M32" s="156"/>
      <c r="N32" s="231" t="s">
        <v>156</v>
      </c>
      <c r="O32" s="231" t="s">
        <v>158</v>
      </c>
      <c r="P32" s="232" t="str">
        <f>'Score Summary'!$E$11</f>
        <v/>
      </c>
      <c r="Q32" s="232" t="str">
        <f>'Score Summary'!$E$13</f>
        <v/>
      </c>
      <c r="R32" s="232" t="e">
        <f t="shared" si="4"/>
        <v>#VALUE!</v>
      </c>
      <c r="S32" s="233">
        <v>2.2000000000000002</v>
      </c>
      <c r="T32" s="233" t="e">
        <f t="shared" si="5"/>
        <v>#VALUE!</v>
      </c>
      <c r="U32" s="234" t="e">
        <f t="shared" si="0"/>
        <v>#VALUE!</v>
      </c>
      <c r="V32" s="156"/>
      <c r="W32" s="156"/>
      <c r="X32" s="151" t="s">
        <v>125</v>
      </c>
      <c r="Y32" s="156" t="e">
        <f>ABS(AB6-AG8)</f>
        <v>#VALUE!</v>
      </c>
      <c r="Z32" s="156">
        <v>1.76</v>
      </c>
      <c r="AA32" s="156">
        <v>2.8</v>
      </c>
      <c r="AB32" s="156">
        <v>4</v>
      </c>
      <c r="AC32" s="1" t="e">
        <f t="shared" si="10"/>
        <v>#VALUE!</v>
      </c>
      <c r="AD32" s="151" t="s">
        <v>125</v>
      </c>
      <c r="AE32" s="156" t="e">
        <f>ABS(AB6-AG8)</f>
        <v>#VALUE!</v>
      </c>
      <c r="AF32" s="156">
        <v>1.86</v>
      </c>
      <c r="AG32" s="156">
        <v>3.2</v>
      </c>
      <c r="AH32" s="156">
        <v>4.8</v>
      </c>
      <c r="AI32" s="1" t="e">
        <f t="shared" si="11"/>
        <v>#VALUE!</v>
      </c>
      <c r="AK32" s="151" t="s">
        <v>130</v>
      </c>
      <c r="AL32" s="156" cm="1">
        <f t="array" ref="AL32">_xlfn.IFS(AND($AB$10="AD",$Y$10="No"),AF23,AND($AB$10="AD",$Y$10="Yes"),AF30,AND($AB$10="All",$Y$10="No"),AF40,AND($AB$10="All",$Y$10="Yes"),AF52)</f>
        <v>2.04</v>
      </c>
      <c r="AM32" s="156" t="e" cm="1">
        <f t="array" ref="AM32">_xlfn.IFS(AND($AB$10="AD",$Y$10="No"),AI23,AND($AB$10="AD",$Y$10="Yes"),AI30,AND($AB$10="All",$Y$10="No"),AI40,AND($AB$10="All",$Y$10="Yes"),AI52)</f>
        <v>#VALUE!</v>
      </c>
    </row>
    <row r="33" spans="5:39">
      <c r="E33" s="223" t="s">
        <v>156</v>
      </c>
      <c r="F33" s="223" t="s">
        <v>16</v>
      </c>
      <c r="G33" s="224" t="str">
        <f>'Score Summary'!$E$11</f>
        <v/>
      </c>
      <c r="H33" s="224" t="str">
        <f>'Score Summary'!$E$14</f>
        <v/>
      </c>
      <c r="I33" s="224" t="e">
        <f t="shared" si="1"/>
        <v>#VALUE!</v>
      </c>
      <c r="J33" s="225">
        <v>2.12</v>
      </c>
      <c r="K33" s="225" t="e">
        <f t="shared" si="2"/>
        <v>#VALUE!</v>
      </c>
      <c r="L33" s="226" t="e">
        <f t="shared" si="3"/>
        <v>#VALUE!</v>
      </c>
      <c r="M33" s="156"/>
      <c r="N33" s="231" t="s">
        <v>156</v>
      </c>
      <c r="O33" s="231" t="s">
        <v>16</v>
      </c>
      <c r="P33" s="232" t="str">
        <f>'Score Summary'!$E$11</f>
        <v/>
      </c>
      <c r="Q33" s="232" t="str">
        <f>'Score Summary'!$E$14</f>
        <v/>
      </c>
      <c r="R33" s="232" t="e">
        <f t="shared" si="4"/>
        <v>#VALUE!</v>
      </c>
      <c r="S33" s="233">
        <v>1.95</v>
      </c>
      <c r="T33" s="233" t="e">
        <f t="shared" si="5"/>
        <v>#VALUE!</v>
      </c>
      <c r="U33" s="234" t="e">
        <f t="shared" si="0"/>
        <v>#VALUE!</v>
      </c>
      <c r="V33" s="156"/>
      <c r="W33" s="156"/>
      <c r="X33" s="151" t="s">
        <v>135</v>
      </c>
      <c r="Y33" s="156" t="e">
        <f>ABS(AB9-AG8)</f>
        <v>#VALUE!</v>
      </c>
      <c r="Z33" s="156">
        <v>1.02</v>
      </c>
      <c r="AA33" s="156">
        <v>5.6</v>
      </c>
      <c r="AB33" s="156">
        <v>8.8000000000000007</v>
      </c>
      <c r="AC33" s="1" t="e">
        <f t="shared" si="10"/>
        <v>#VALUE!</v>
      </c>
      <c r="AD33" s="151" t="s">
        <v>135</v>
      </c>
      <c r="AE33" s="156" t="e">
        <f>ABS(AB9-AG8)</f>
        <v>#VALUE!</v>
      </c>
      <c r="AF33" s="156">
        <v>1.02</v>
      </c>
      <c r="AG33" s="156">
        <v>6.6</v>
      </c>
      <c r="AH33" s="156">
        <v>9</v>
      </c>
      <c r="AI33" s="1" t="e">
        <f t="shared" si="11"/>
        <v>#VALUE!</v>
      </c>
      <c r="AK33" s="151" t="s">
        <v>134</v>
      </c>
      <c r="AL33" s="156" cm="1">
        <f t="array" ref="AL33">_xlfn.IFS(AND($AB$10="AD",$Y$10="No"),AF24,AND($AB$10="AD",$Y$10="Yes"),AF31,AND($AB$10="All",$Y$10="No"),AF41,AND($AB$10="All",$Y$10="Yes"),AF53)</f>
        <v>2.2000000000000002</v>
      </c>
      <c r="AM33" s="156" t="e" cm="1">
        <f t="array" ref="AM33">_xlfn.IFS(AND($AB$10="AD",$Y$10="No"),AI24,AND($AB$10="AD",$Y$10="Yes"),AI31,AND($AB$10="All",$Y$10="No"),AI41,AND($AB$10="All",$Y$10="Yes"),AI53)</f>
        <v>#VALUE!</v>
      </c>
    </row>
    <row r="34" spans="5:39">
      <c r="E34" s="223" t="s">
        <v>156</v>
      </c>
      <c r="F34" s="223" t="s">
        <v>159</v>
      </c>
      <c r="G34" s="224" t="str">
        <f>'Score Summary'!$E$11</f>
        <v/>
      </c>
      <c r="H34" s="224" t="str">
        <f>'Score Summary'!$E$15</f>
        <v/>
      </c>
      <c r="I34" s="224" t="e">
        <f t="shared" si="1"/>
        <v>#VALUE!</v>
      </c>
      <c r="J34" s="225">
        <v>2.2000000000000002</v>
      </c>
      <c r="K34" s="225" t="e">
        <f t="shared" si="2"/>
        <v>#VALUE!</v>
      </c>
      <c r="L34" s="226" t="e">
        <f t="shared" si="3"/>
        <v>#VALUE!</v>
      </c>
      <c r="M34" s="156"/>
      <c r="N34" s="231" t="s">
        <v>156</v>
      </c>
      <c r="O34" s="231" t="s">
        <v>159</v>
      </c>
      <c r="P34" s="232" t="str">
        <f>'Score Summary'!$E$11</f>
        <v/>
      </c>
      <c r="Q34" s="232" t="str">
        <f>'Score Summary'!$E$15</f>
        <v/>
      </c>
      <c r="R34" s="232" t="e">
        <f t="shared" si="4"/>
        <v>#VALUE!</v>
      </c>
      <c r="S34" s="233">
        <v>2.2000000000000002</v>
      </c>
      <c r="T34" s="233" t="e">
        <f t="shared" si="5"/>
        <v>#VALUE!</v>
      </c>
      <c r="U34" s="234" t="e">
        <f t="shared" si="0"/>
        <v>#VALUE!</v>
      </c>
      <c r="V34" s="156"/>
      <c r="W34" s="156"/>
      <c r="AK34" s="151" t="s">
        <v>125</v>
      </c>
      <c r="AL34" s="156" cm="1">
        <f t="array" ref="AL34">_xlfn.IFS(AND($AB$10="AD",$Y$10="No"),AF25,AND($AB$10="AD",$Y$10="Yes"),AF32,AND($AB$10="All",$Y$10="No"),AF43,AND($AB$10="All",$Y$10="Yes"),AF55)</f>
        <v>2.2000000000000002</v>
      </c>
      <c r="AM34" s="156" t="e" cm="1">
        <f t="array" ref="AM34">_xlfn.IFS(AND($AB$10="AD",$Y$10="No"),AI25,AND($AB$10="AD",$Y$10="Yes"),AI32,AND($AB$10="All",$Y$10="No"),AI43,AND($AB$10="All",$Y$10="Yes"),AI55)</f>
        <v>#VALUE!</v>
      </c>
    </row>
    <row r="35" spans="5:39">
      <c r="E35" s="223" t="s">
        <v>156</v>
      </c>
      <c r="F35" s="223" t="s">
        <v>160</v>
      </c>
      <c r="G35" s="224" t="str">
        <f>'Score Summary'!$E$11</f>
        <v/>
      </c>
      <c r="H35" s="224" t="str">
        <f>'Score Summary'!$E$16</f>
        <v/>
      </c>
      <c r="I35" s="224" t="e">
        <f t="shared" si="1"/>
        <v>#VALUE!</v>
      </c>
      <c r="J35" s="225">
        <v>2.04</v>
      </c>
      <c r="K35" s="225" t="e">
        <f t="shared" si="2"/>
        <v>#VALUE!</v>
      </c>
      <c r="L35" s="226" t="e">
        <f t="shared" si="3"/>
        <v>#VALUE!</v>
      </c>
      <c r="M35" s="156"/>
      <c r="N35" s="231" t="s">
        <v>156</v>
      </c>
      <c r="O35" s="231" t="s">
        <v>160</v>
      </c>
      <c r="P35" s="232" t="str">
        <f>'Score Summary'!$E$11</f>
        <v/>
      </c>
      <c r="Q35" s="232" t="str">
        <f>'Score Summary'!$E$16</f>
        <v/>
      </c>
      <c r="R35" s="232" t="e">
        <f t="shared" si="4"/>
        <v>#VALUE!</v>
      </c>
      <c r="S35" s="233">
        <v>1.86</v>
      </c>
      <c r="T35" s="233" t="e">
        <f t="shared" si="5"/>
        <v>#VALUE!</v>
      </c>
      <c r="U35" s="234" t="e">
        <f t="shared" si="0"/>
        <v>#VALUE!</v>
      </c>
      <c r="V35" s="156"/>
      <c r="W35" s="156"/>
      <c r="X35" s="279" t="s">
        <v>163</v>
      </c>
      <c r="Y35" s="279"/>
      <c r="Z35" s="279"/>
      <c r="AA35" s="279"/>
      <c r="AB35" s="279"/>
      <c r="AC35" s="279"/>
      <c r="AD35" s="279" t="s">
        <v>164</v>
      </c>
      <c r="AE35" s="279"/>
      <c r="AF35" s="279"/>
      <c r="AG35" s="279"/>
      <c r="AH35" s="279"/>
      <c r="AI35" s="279"/>
      <c r="AK35" s="151" t="s">
        <v>135</v>
      </c>
      <c r="AL35" s="156">
        <f>IF($AB$10="AD",AF33,AF58)</f>
        <v>0.83</v>
      </c>
      <c r="AM35" s="156" t="e">
        <f>IF($AB$10="AD",AI33,AI58)</f>
        <v>#VALUE!</v>
      </c>
    </row>
    <row r="36" spans="5:39">
      <c r="E36" s="223" t="s">
        <v>156</v>
      </c>
      <c r="F36" s="223" t="s">
        <v>19</v>
      </c>
      <c r="G36" s="224" t="str">
        <f>'Score Summary'!$E$11</f>
        <v/>
      </c>
      <c r="H36" s="224" t="str">
        <f>'Score Summary'!$E$17</f>
        <v/>
      </c>
      <c r="I36" s="224" t="e">
        <f t="shared" si="1"/>
        <v>#VALUE!</v>
      </c>
      <c r="J36" s="225">
        <v>2.12</v>
      </c>
      <c r="K36" s="225" t="e">
        <f t="shared" si="2"/>
        <v>#VALUE!</v>
      </c>
      <c r="L36" s="226" t="e">
        <f t="shared" si="3"/>
        <v>#VALUE!</v>
      </c>
      <c r="M36" s="156"/>
      <c r="N36" s="231" t="s">
        <v>156</v>
      </c>
      <c r="O36" s="231" t="s">
        <v>19</v>
      </c>
      <c r="P36" s="232" t="str">
        <f>'Score Summary'!$E$11</f>
        <v/>
      </c>
      <c r="Q36" s="232" t="str">
        <f>'Score Summary'!$E$17</f>
        <v/>
      </c>
      <c r="R36" s="232" t="e">
        <f t="shared" si="4"/>
        <v>#VALUE!</v>
      </c>
      <c r="S36" s="233">
        <v>1.86</v>
      </c>
      <c r="T36" s="233" t="e">
        <f t="shared" si="5"/>
        <v>#VALUE!</v>
      </c>
      <c r="U36" s="234" t="e">
        <f t="shared" si="0"/>
        <v>#VALUE!</v>
      </c>
      <c r="V36" s="156"/>
      <c r="W36" s="156"/>
      <c r="X36" s="157" t="s">
        <v>145</v>
      </c>
      <c r="Y36" s="157" t="s">
        <v>152</v>
      </c>
      <c r="Z36" s="157" t="s">
        <v>153</v>
      </c>
      <c r="AA36" s="159">
        <v>0.15</v>
      </c>
      <c r="AB36" s="159">
        <v>0.05</v>
      </c>
      <c r="AC36" s="157" t="s">
        <v>122</v>
      </c>
      <c r="AD36" s="157" t="s">
        <v>145</v>
      </c>
      <c r="AE36" s="157" t="s">
        <v>152</v>
      </c>
      <c r="AF36" s="157" t="s">
        <v>153</v>
      </c>
      <c r="AG36" s="159">
        <v>0.15</v>
      </c>
      <c r="AH36" s="159">
        <v>0.05</v>
      </c>
      <c r="AI36" s="157" t="s">
        <v>122</v>
      </c>
    </row>
    <row r="37" spans="5:39">
      <c r="E37" s="223" t="s">
        <v>156</v>
      </c>
      <c r="F37" s="223" t="s">
        <v>135</v>
      </c>
      <c r="G37" s="224" t="str">
        <f>'Score Summary'!$E$11</f>
        <v/>
      </c>
      <c r="H37" s="224" t="str">
        <f>'Score Summary'!$E$18</f>
        <v/>
      </c>
      <c r="I37" s="224" t="e">
        <f t="shared" si="1"/>
        <v>#VALUE!</v>
      </c>
      <c r="J37" s="225">
        <v>1.66</v>
      </c>
      <c r="K37" s="225" t="e">
        <f t="shared" si="2"/>
        <v>#VALUE!</v>
      </c>
      <c r="L37" s="226" t="e">
        <f t="shared" si="3"/>
        <v>#VALUE!</v>
      </c>
      <c r="M37" s="156"/>
      <c r="N37" s="231" t="s">
        <v>156</v>
      </c>
      <c r="O37" s="231" t="s">
        <v>135</v>
      </c>
      <c r="P37" s="232" t="str">
        <f>'Score Summary'!$E$11</f>
        <v/>
      </c>
      <c r="Q37" s="232" t="str">
        <f>'Score Summary'!$E$18</f>
        <v/>
      </c>
      <c r="R37" s="232" t="e">
        <f t="shared" si="4"/>
        <v>#VALUE!</v>
      </c>
      <c r="S37" s="233">
        <v>1.56</v>
      </c>
      <c r="T37" s="233" t="e">
        <f t="shared" si="5"/>
        <v>#VALUE!</v>
      </c>
      <c r="U37" s="234" t="e">
        <f t="shared" si="0"/>
        <v>#VALUE!</v>
      </c>
      <c r="V37" s="156"/>
      <c r="W37" s="156"/>
      <c r="X37" s="151" t="s">
        <v>119</v>
      </c>
      <c r="Y37" s="156" t="e">
        <f>ABS(Y5-$AG$9)</f>
        <v>#VALUE!</v>
      </c>
      <c r="Z37" s="156">
        <v>2.2799999999999998</v>
      </c>
      <c r="AA37" s="156">
        <v>2.67</v>
      </c>
      <c r="AB37" s="156">
        <v>4</v>
      </c>
      <c r="AC37" s="1" t="e">
        <f t="shared" ref="AC37:AC45" si="12">IF(Y37&gt;=AB37,"≤5%",IF(Y37&gt;=AA37,"≤15%","&gt;15%"))</f>
        <v>#VALUE!</v>
      </c>
      <c r="AD37" s="151" t="s">
        <v>119</v>
      </c>
      <c r="AE37" s="156" t="e">
        <f>ABS(Y5-$AG$9)</f>
        <v>#VALUE!</v>
      </c>
      <c r="AF37" s="156">
        <v>1.95</v>
      </c>
      <c r="AG37" s="156">
        <v>3.11</v>
      </c>
      <c r="AH37" s="156">
        <v>4.33</v>
      </c>
      <c r="AI37" s="1" t="e">
        <f t="shared" ref="AI37:AI45" si="13">IF(AE37&gt;=AH37,"≤5%",IF(AE37&gt;=AG37,"≤15%","&gt;15%"))</f>
        <v>#VALUE!</v>
      </c>
      <c r="AK37" s="265" t="s">
        <v>117</v>
      </c>
      <c r="AL37" s="265"/>
      <c r="AM37" s="265"/>
    </row>
    <row r="38" spans="5:39">
      <c r="E38" s="223" t="s">
        <v>157</v>
      </c>
      <c r="F38" s="223" t="s">
        <v>158</v>
      </c>
      <c r="G38" s="224" t="str">
        <f>'Score Summary'!$E$12</f>
        <v/>
      </c>
      <c r="H38" s="224" t="str">
        <f>'Score Summary'!$E$13</f>
        <v/>
      </c>
      <c r="I38" s="224" t="e">
        <f t="shared" si="1"/>
        <v>#VALUE!</v>
      </c>
      <c r="J38" s="225">
        <v>2.2000000000000002</v>
      </c>
      <c r="K38" s="225" t="e">
        <f t="shared" si="2"/>
        <v>#VALUE!</v>
      </c>
      <c r="L38" s="226" t="e">
        <f t="shared" si="3"/>
        <v>#VALUE!</v>
      </c>
      <c r="M38" s="156"/>
      <c r="N38" s="231" t="s">
        <v>157</v>
      </c>
      <c r="O38" s="231" t="s">
        <v>158</v>
      </c>
      <c r="P38" s="232" t="str">
        <f>'Score Summary'!$E$12</f>
        <v/>
      </c>
      <c r="Q38" s="232" t="str">
        <f>'Score Summary'!$E$13</f>
        <v/>
      </c>
      <c r="R38" s="232" t="e">
        <f t="shared" si="4"/>
        <v>#VALUE!</v>
      </c>
      <c r="S38" s="233">
        <v>2.2000000000000002</v>
      </c>
      <c r="T38" s="233" t="e">
        <f t="shared" si="5"/>
        <v>#VALUE!</v>
      </c>
      <c r="U38" s="234" t="e">
        <f t="shared" si="0"/>
        <v>#VALUE!</v>
      </c>
      <c r="V38" s="156"/>
      <c r="W38" s="156"/>
      <c r="X38" s="151" t="s">
        <v>124</v>
      </c>
      <c r="Y38" s="156" t="e">
        <f t="shared" ref="Y38:Y41" si="14">ABS(Y6-$AG$9)</f>
        <v>#VALUE!</v>
      </c>
      <c r="Z38" s="156">
        <v>2.2000000000000002</v>
      </c>
      <c r="AA38" s="156">
        <v>2.11</v>
      </c>
      <c r="AB38" s="156">
        <v>3.33</v>
      </c>
      <c r="AC38" s="1" t="e">
        <f t="shared" si="12"/>
        <v>#VALUE!</v>
      </c>
      <c r="AD38" s="151" t="s">
        <v>124</v>
      </c>
      <c r="AE38" s="156" t="e">
        <f t="shared" ref="AE38:AE41" si="15">ABS(Y6-$AG$9)</f>
        <v>#VALUE!</v>
      </c>
      <c r="AF38" s="156">
        <v>2.04</v>
      </c>
      <c r="AG38" s="156">
        <v>2.44</v>
      </c>
      <c r="AH38" s="156">
        <v>3.44</v>
      </c>
      <c r="AI38" s="1" t="e">
        <f t="shared" si="13"/>
        <v>#VALUE!</v>
      </c>
      <c r="AK38" s="154" t="s">
        <v>165</v>
      </c>
      <c r="AL38" s="154" t="s">
        <v>146</v>
      </c>
      <c r="AM38" s="154" t="s">
        <v>122</v>
      </c>
    </row>
    <row r="39" spans="5:39">
      <c r="E39" s="223" t="s">
        <v>157</v>
      </c>
      <c r="F39" s="223" t="s">
        <v>16</v>
      </c>
      <c r="G39" s="224" t="str">
        <f>'Score Summary'!$E$12</f>
        <v/>
      </c>
      <c r="H39" s="224" t="str">
        <f>'Score Summary'!$E$14</f>
        <v/>
      </c>
      <c r="I39" s="224" t="e">
        <f t="shared" si="1"/>
        <v>#VALUE!</v>
      </c>
      <c r="J39" s="225">
        <v>2.12</v>
      </c>
      <c r="K39" s="225" t="e">
        <f t="shared" si="2"/>
        <v>#VALUE!</v>
      </c>
      <c r="L39" s="226" t="e">
        <f t="shared" si="3"/>
        <v>#VALUE!</v>
      </c>
      <c r="M39" s="156"/>
      <c r="N39" s="231" t="s">
        <v>157</v>
      </c>
      <c r="O39" s="231" t="s">
        <v>16</v>
      </c>
      <c r="P39" s="232" t="str">
        <f>'Score Summary'!$E$12</f>
        <v/>
      </c>
      <c r="Q39" s="232" t="str">
        <f>'Score Summary'!$E$14</f>
        <v/>
      </c>
      <c r="R39" s="232" t="e">
        <f t="shared" si="4"/>
        <v>#VALUE!</v>
      </c>
      <c r="S39" s="233">
        <v>1.95</v>
      </c>
      <c r="T39" s="233" t="e">
        <f t="shared" si="5"/>
        <v>#VALUE!</v>
      </c>
      <c r="U39" s="234" t="e">
        <f t="shared" si="0"/>
        <v>#VALUE!</v>
      </c>
      <c r="V39" s="156"/>
      <c r="W39" s="156"/>
      <c r="X39" s="151" t="s">
        <v>127</v>
      </c>
      <c r="Y39" s="156" t="e">
        <f t="shared" si="14"/>
        <v>#VALUE!</v>
      </c>
      <c r="Z39" s="156">
        <v>2.2000000000000002</v>
      </c>
      <c r="AA39" s="156">
        <v>2.11</v>
      </c>
      <c r="AB39" s="156">
        <v>3.11</v>
      </c>
      <c r="AC39" s="1" t="e">
        <f t="shared" si="12"/>
        <v>#VALUE!</v>
      </c>
      <c r="AD39" s="151" t="s">
        <v>127</v>
      </c>
      <c r="AE39" s="156" t="e">
        <f t="shared" si="15"/>
        <v>#VALUE!</v>
      </c>
      <c r="AF39" s="156">
        <v>2.04</v>
      </c>
      <c r="AG39" s="156">
        <v>2.44</v>
      </c>
      <c r="AH39" s="156">
        <v>3.67</v>
      </c>
      <c r="AI39" s="1" t="e">
        <f t="shared" si="13"/>
        <v>#VALUE!</v>
      </c>
      <c r="AK39" s="151" t="s">
        <v>166</v>
      </c>
      <c r="AL39" s="1">
        <f>VLOOKUP($B$4,$X$64:$AA$71,2,FALSE)</f>
        <v>8.32</v>
      </c>
      <c r="AM39" s="1" t="str">
        <f>AB76</f>
        <v>&gt;15%</v>
      </c>
    </row>
    <row r="40" spans="5:39">
      <c r="E40" s="223" t="s">
        <v>157</v>
      </c>
      <c r="F40" s="223" t="s">
        <v>159</v>
      </c>
      <c r="G40" s="224" t="str">
        <f>'Score Summary'!$E$12</f>
        <v/>
      </c>
      <c r="H40" s="224" t="str">
        <f>'Score Summary'!$E$15</f>
        <v/>
      </c>
      <c r="I40" s="224" t="e">
        <f t="shared" si="1"/>
        <v>#VALUE!</v>
      </c>
      <c r="J40" s="225">
        <v>2.2000000000000002</v>
      </c>
      <c r="K40" s="225" t="e">
        <f t="shared" si="2"/>
        <v>#VALUE!</v>
      </c>
      <c r="L40" s="226" t="e">
        <f t="shared" si="3"/>
        <v>#VALUE!</v>
      </c>
      <c r="M40" s="156"/>
      <c r="N40" s="231" t="s">
        <v>157</v>
      </c>
      <c r="O40" s="231" t="s">
        <v>159</v>
      </c>
      <c r="P40" s="232" t="str">
        <f>'Score Summary'!$E$12</f>
        <v/>
      </c>
      <c r="Q40" s="232" t="str">
        <f>'Score Summary'!$E$15</f>
        <v/>
      </c>
      <c r="R40" s="232" t="e">
        <f t="shared" si="4"/>
        <v>#VALUE!</v>
      </c>
      <c r="S40" s="233">
        <v>2.2000000000000002</v>
      </c>
      <c r="T40" s="233" t="e">
        <f t="shared" si="5"/>
        <v>#VALUE!</v>
      </c>
      <c r="U40" s="234" t="e">
        <f t="shared" si="0"/>
        <v>#VALUE!</v>
      </c>
      <c r="V40" s="156"/>
      <c r="W40" s="156"/>
      <c r="X40" s="151" t="s">
        <v>130</v>
      </c>
      <c r="Y40" s="156" t="e">
        <f t="shared" si="14"/>
        <v>#VALUE!</v>
      </c>
      <c r="Z40" s="156">
        <v>2.2000000000000002</v>
      </c>
      <c r="AA40" s="156">
        <v>2.44</v>
      </c>
      <c r="AB40" s="156">
        <v>3.78</v>
      </c>
      <c r="AC40" s="1" t="e">
        <f t="shared" si="12"/>
        <v>#VALUE!</v>
      </c>
      <c r="AD40" s="151" t="s">
        <v>130</v>
      </c>
      <c r="AE40" s="156" t="e">
        <f t="shared" si="15"/>
        <v>#VALUE!</v>
      </c>
      <c r="AF40" s="156">
        <v>2.04</v>
      </c>
      <c r="AG40" s="156">
        <v>2.56</v>
      </c>
      <c r="AH40" s="156">
        <v>3.78</v>
      </c>
      <c r="AI40" s="1" t="e">
        <f t="shared" si="13"/>
        <v>#VALUE!</v>
      </c>
      <c r="AK40" s="151" t="s">
        <v>167</v>
      </c>
      <c r="AL40" s="1">
        <f>VLOOKUP($B$4,$X$64:$AA$71,3,FALSE)</f>
        <v>7.78</v>
      </c>
      <c r="AM40" s="1" t="str">
        <f>AB77</f>
        <v>&gt;15%</v>
      </c>
    </row>
    <row r="41" spans="5:39">
      <c r="E41" s="223" t="s">
        <v>157</v>
      </c>
      <c r="F41" s="223" t="s">
        <v>160</v>
      </c>
      <c r="G41" s="224" t="str">
        <f>'Score Summary'!$E$12</f>
        <v/>
      </c>
      <c r="H41" s="224" t="str">
        <f>'Score Summary'!$E$16</f>
        <v/>
      </c>
      <c r="I41" s="224" t="e">
        <f t="shared" si="1"/>
        <v>#VALUE!</v>
      </c>
      <c r="J41" s="225">
        <v>2.04</v>
      </c>
      <c r="K41" s="225" t="e">
        <f t="shared" si="2"/>
        <v>#VALUE!</v>
      </c>
      <c r="L41" s="226" t="e">
        <f t="shared" si="3"/>
        <v>#VALUE!</v>
      </c>
      <c r="M41" s="156"/>
      <c r="N41" s="231" t="s">
        <v>157</v>
      </c>
      <c r="O41" s="231" t="s">
        <v>160</v>
      </c>
      <c r="P41" s="232" t="str">
        <f>'Score Summary'!$E$12</f>
        <v/>
      </c>
      <c r="Q41" s="232" t="str">
        <f>'Score Summary'!$E$16</f>
        <v/>
      </c>
      <c r="R41" s="232" t="e">
        <f t="shared" si="4"/>
        <v>#VALUE!</v>
      </c>
      <c r="S41" s="233">
        <v>1.86</v>
      </c>
      <c r="T41" s="233" t="e">
        <f t="shared" si="5"/>
        <v>#VALUE!</v>
      </c>
      <c r="U41" s="234" t="e">
        <f t="shared" si="0"/>
        <v>#VALUE!</v>
      </c>
      <c r="V41" s="156"/>
      <c r="W41" s="156"/>
      <c r="X41" s="151" t="s">
        <v>134</v>
      </c>
      <c r="Y41" s="156" t="e">
        <f t="shared" si="14"/>
        <v>#VALUE!</v>
      </c>
      <c r="Z41" s="156">
        <v>2.2000000000000002</v>
      </c>
      <c r="AA41" s="156">
        <v>2.67</v>
      </c>
      <c r="AB41" s="156">
        <v>3.78</v>
      </c>
      <c r="AC41" s="1" t="e">
        <f t="shared" si="12"/>
        <v>#VALUE!</v>
      </c>
      <c r="AD41" s="151" t="s">
        <v>134</v>
      </c>
      <c r="AE41" s="156" t="e">
        <f t="shared" si="15"/>
        <v>#VALUE!</v>
      </c>
      <c r="AF41" s="156">
        <v>2.2000000000000002</v>
      </c>
      <c r="AG41" s="156">
        <v>3</v>
      </c>
      <c r="AH41" s="156">
        <v>4.22</v>
      </c>
      <c r="AI41" s="1" t="e">
        <f t="shared" si="13"/>
        <v>#VALUE!</v>
      </c>
      <c r="AK41" s="151" t="s">
        <v>168</v>
      </c>
      <c r="AL41" s="1">
        <f>VLOOKUP($B$4,$X$64:$AA$71,4,FALSE)</f>
        <v>7.78</v>
      </c>
      <c r="AM41" s="1" t="str">
        <f>AB78</f>
        <v>≤15%</v>
      </c>
    </row>
    <row r="42" spans="5:39">
      <c r="E42" s="223" t="s">
        <v>157</v>
      </c>
      <c r="F42" s="223" t="s">
        <v>19</v>
      </c>
      <c r="G42" s="224" t="str">
        <f>'Score Summary'!$E$12</f>
        <v/>
      </c>
      <c r="H42" s="224" t="str">
        <f>'Score Summary'!$E$17</f>
        <v/>
      </c>
      <c r="I42" s="224" t="e">
        <f t="shared" si="1"/>
        <v>#VALUE!</v>
      </c>
      <c r="J42" s="225">
        <v>2.12</v>
      </c>
      <c r="K42" s="225" t="e">
        <f t="shared" si="2"/>
        <v>#VALUE!</v>
      </c>
      <c r="L42" s="226" t="e">
        <f t="shared" si="3"/>
        <v>#VALUE!</v>
      </c>
      <c r="M42" s="156"/>
      <c r="N42" s="231" t="s">
        <v>157</v>
      </c>
      <c r="O42" s="231" t="s">
        <v>19</v>
      </c>
      <c r="P42" s="232" t="str">
        <f>'Score Summary'!$E$12</f>
        <v/>
      </c>
      <c r="Q42" s="232" t="str">
        <f>'Score Summary'!$E$17</f>
        <v/>
      </c>
      <c r="R42" s="232" t="e">
        <f t="shared" si="4"/>
        <v>#VALUE!</v>
      </c>
      <c r="S42" s="233">
        <v>1.86</v>
      </c>
      <c r="T42" s="233" t="e">
        <f t="shared" si="5"/>
        <v>#VALUE!</v>
      </c>
      <c r="U42" s="234" t="e">
        <f t="shared" si="0"/>
        <v>#VALUE!</v>
      </c>
      <c r="V42" s="156"/>
      <c r="W42" s="156"/>
      <c r="X42" s="151" t="s">
        <v>120</v>
      </c>
      <c r="Y42" s="156" t="e">
        <f>ABS(AB5-$AG$9)</f>
        <v>#VALUE!</v>
      </c>
      <c r="Z42" s="156">
        <v>2.12</v>
      </c>
      <c r="AA42" s="156">
        <v>2.33</v>
      </c>
      <c r="AB42" s="156">
        <v>3.33</v>
      </c>
      <c r="AC42" s="1" t="e">
        <f t="shared" si="12"/>
        <v>#VALUE!</v>
      </c>
      <c r="AD42" s="151" t="s">
        <v>120</v>
      </c>
      <c r="AE42" s="156" t="e">
        <f>ABS(AB5-$AG$9)</f>
        <v>#VALUE!</v>
      </c>
      <c r="AF42" s="156">
        <v>1.95</v>
      </c>
      <c r="AG42" s="156">
        <v>2.44</v>
      </c>
      <c r="AH42" s="156">
        <v>3.44</v>
      </c>
      <c r="AI42" s="1" t="e">
        <f t="shared" si="13"/>
        <v>#VALUE!</v>
      </c>
    </row>
    <row r="43" spans="5:39">
      <c r="E43" s="223" t="s">
        <v>157</v>
      </c>
      <c r="F43" s="223" t="s">
        <v>135</v>
      </c>
      <c r="G43" s="224" t="str">
        <f>'Score Summary'!$E$12</f>
        <v/>
      </c>
      <c r="H43" s="224" t="str">
        <f>'Score Summary'!$E$18</f>
        <v/>
      </c>
      <c r="I43" s="224" t="e">
        <f t="shared" si="1"/>
        <v>#VALUE!</v>
      </c>
      <c r="J43" s="225">
        <v>1.66</v>
      </c>
      <c r="K43" s="225" t="e">
        <f t="shared" si="2"/>
        <v>#VALUE!</v>
      </c>
      <c r="L43" s="226" t="e">
        <f t="shared" si="3"/>
        <v>#VALUE!</v>
      </c>
      <c r="M43" s="156"/>
      <c r="N43" s="231" t="s">
        <v>157</v>
      </c>
      <c r="O43" s="231" t="s">
        <v>135</v>
      </c>
      <c r="P43" s="232" t="str">
        <f>'Score Summary'!$E$12</f>
        <v/>
      </c>
      <c r="Q43" s="232" t="str">
        <f>'Score Summary'!$E$18</f>
        <v/>
      </c>
      <c r="R43" s="232" t="e">
        <f t="shared" si="4"/>
        <v>#VALUE!</v>
      </c>
      <c r="S43" s="233">
        <v>1.56</v>
      </c>
      <c r="T43" s="233" t="e">
        <f t="shared" si="5"/>
        <v>#VALUE!</v>
      </c>
      <c r="U43" s="234" t="e">
        <f t="shared" si="0"/>
        <v>#VALUE!</v>
      </c>
      <c r="V43" s="156"/>
      <c r="W43" s="156"/>
      <c r="X43" s="151" t="s">
        <v>125</v>
      </c>
      <c r="Y43" s="156" t="e">
        <f t="shared" ref="Y43:Y45" si="16">ABS(AB6-$AG$9)</f>
        <v>#VALUE!</v>
      </c>
      <c r="Z43" s="156">
        <v>2.2000000000000002</v>
      </c>
      <c r="AA43" s="156">
        <v>2.56</v>
      </c>
      <c r="AB43" s="156">
        <v>4.1100000000000003</v>
      </c>
      <c r="AC43" s="1" t="e">
        <f t="shared" si="12"/>
        <v>#VALUE!</v>
      </c>
      <c r="AD43" s="151" t="s">
        <v>125</v>
      </c>
      <c r="AE43" s="156" t="e">
        <f t="shared" ref="AE43:AE45" si="17">ABS(AB6-$AG$9)</f>
        <v>#VALUE!</v>
      </c>
      <c r="AF43" s="156">
        <v>2.2000000000000002</v>
      </c>
      <c r="AG43" s="156">
        <v>3</v>
      </c>
      <c r="AH43" s="156">
        <v>4.67</v>
      </c>
      <c r="AI43" s="1" t="e">
        <f t="shared" si="13"/>
        <v>#VALUE!</v>
      </c>
      <c r="AK43" s="265" t="s">
        <v>118</v>
      </c>
      <c r="AL43" s="265"/>
      <c r="AM43" s="265"/>
    </row>
    <row r="44" spans="5:39">
      <c r="E44" s="223" t="s">
        <v>158</v>
      </c>
      <c r="F44" s="223" t="s">
        <v>16</v>
      </c>
      <c r="G44" s="224" t="str">
        <f>'Score Summary'!$E$13</f>
        <v/>
      </c>
      <c r="H44" s="224" t="str">
        <f>'Score Summary'!$E$14</f>
        <v/>
      </c>
      <c r="I44" s="224" t="e">
        <f t="shared" si="1"/>
        <v>#VALUE!</v>
      </c>
      <c r="J44" s="225">
        <v>2.12</v>
      </c>
      <c r="K44" s="225" t="e">
        <f t="shared" si="2"/>
        <v>#VALUE!</v>
      </c>
      <c r="L44" s="226" t="e">
        <f t="shared" si="3"/>
        <v>#VALUE!</v>
      </c>
      <c r="M44" s="156"/>
      <c r="N44" s="231" t="s">
        <v>158</v>
      </c>
      <c r="O44" s="231" t="s">
        <v>16</v>
      </c>
      <c r="P44" s="232" t="str">
        <f>'Score Summary'!$E$13</f>
        <v/>
      </c>
      <c r="Q44" s="232" t="str">
        <f>'Score Summary'!$E$14</f>
        <v/>
      </c>
      <c r="R44" s="232" t="e">
        <f t="shared" si="4"/>
        <v>#VALUE!</v>
      </c>
      <c r="S44" s="233">
        <v>2.12</v>
      </c>
      <c r="T44" s="233" t="e">
        <f t="shared" si="5"/>
        <v>#VALUE!</v>
      </c>
      <c r="U44" s="234" t="e">
        <f t="shared" si="0"/>
        <v>#VALUE!</v>
      </c>
      <c r="V44" s="156"/>
      <c r="W44" s="156"/>
      <c r="X44" s="151" t="s">
        <v>128</v>
      </c>
      <c r="Y44" s="156" t="e">
        <f t="shared" si="16"/>
        <v>#VALUE!</v>
      </c>
      <c r="Z44" s="156">
        <v>2.04</v>
      </c>
      <c r="AA44" s="156">
        <v>2.11</v>
      </c>
      <c r="AB44" s="156">
        <v>3.22</v>
      </c>
      <c r="AC44" s="1" t="e">
        <f t="shared" si="12"/>
        <v>#VALUE!</v>
      </c>
      <c r="AD44" s="151" t="s">
        <v>128</v>
      </c>
      <c r="AE44" s="156" t="e">
        <f t="shared" si="17"/>
        <v>#VALUE!</v>
      </c>
      <c r="AF44" s="156">
        <v>1.86</v>
      </c>
      <c r="AG44" s="156">
        <v>2.44</v>
      </c>
      <c r="AH44" s="156">
        <v>3.67</v>
      </c>
      <c r="AI44" s="1" t="e">
        <f t="shared" si="13"/>
        <v>#VALUE!</v>
      </c>
      <c r="AK44" s="154" t="s">
        <v>165</v>
      </c>
      <c r="AL44" s="154" t="s">
        <v>146</v>
      </c>
      <c r="AM44" s="154" t="s">
        <v>122</v>
      </c>
    </row>
    <row r="45" spans="5:39">
      <c r="E45" s="223" t="s">
        <v>158</v>
      </c>
      <c r="F45" s="223" t="s">
        <v>159</v>
      </c>
      <c r="G45" s="224" t="str">
        <f>'Score Summary'!$E$13</f>
        <v/>
      </c>
      <c r="H45" s="224" t="str">
        <f>'Score Summary'!$E$15</f>
        <v/>
      </c>
      <c r="I45" s="224" t="e">
        <f t="shared" si="1"/>
        <v>#VALUE!</v>
      </c>
      <c r="J45" s="225">
        <v>2.2000000000000002</v>
      </c>
      <c r="K45" s="225" t="e">
        <f t="shared" si="2"/>
        <v>#VALUE!</v>
      </c>
      <c r="L45" s="226" t="e">
        <f t="shared" si="3"/>
        <v>#VALUE!</v>
      </c>
      <c r="M45" s="156"/>
      <c r="N45" s="231" t="s">
        <v>158</v>
      </c>
      <c r="O45" s="231" t="s">
        <v>159</v>
      </c>
      <c r="P45" s="232" t="str">
        <f>'Score Summary'!$E$13</f>
        <v/>
      </c>
      <c r="Q45" s="232" t="str">
        <f>'Score Summary'!$E$15</f>
        <v/>
      </c>
      <c r="R45" s="232" t="e">
        <f t="shared" si="4"/>
        <v>#VALUE!</v>
      </c>
      <c r="S45" s="233">
        <v>2.35</v>
      </c>
      <c r="T45" s="233" t="e">
        <f t="shared" si="5"/>
        <v>#VALUE!</v>
      </c>
      <c r="U45" s="234" t="e">
        <f t="shared" si="0"/>
        <v>#VALUE!</v>
      </c>
      <c r="V45" s="156"/>
      <c r="W45" s="156"/>
      <c r="X45" s="151" t="s">
        <v>131</v>
      </c>
      <c r="Y45" s="156" t="e">
        <f t="shared" si="16"/>
        <v>#VALUE!</v>
      </c>
      <c r="Z45" s="156">
        <v>2.12</v>
      </c>
      <c r="AA45" s="156">
        <v>2.2200000000000002</v>
      </c>
      <c r="AB45" s="156">
        <v>3.44</v>
      </c>
      <c r="AC45" s="1" t="e">
        <f t="shared" si="12"/>
        <v>#VALUE!</v>
      </c>
      <c r="AD45" s="151" t="s">
        <v>131</v>
      </c>
      <c r="AE45" s="156" t="e">
        <f t="shared" si="17"/>
        <v>#VALUE!</v>
      </c>
      <c r="AF45" s="156">
        <v>1.86</v>
      </c>
      <c r="AG45" s="156">
        <v>2.2200000000000002</v>
      </c>
      <c r="AH45" s="156">
        <v>3.33</v>
      </c>
      <c r="AI45" s="1" t="e">
        <f t="shared" si="13"/>
        <v>#VALUE!</v>
      </c>
      <c r="AK45" s="151" t="s">
        <v>166</v>
      </c>
      <c r="AL45" s="1">
        <f>VLOOKUP($B$4,$AD$64:$AG$71,2,FALSE)</f>
        <v>5.88</v>
      </c>
      <c r="AM45" s="1" t="str">
        <f>AH76</f>
        <v>&gt;15%</v>
      </c>
    </row>
    <row r="46" spans="5:39">
      <c r="E46" s="223" t="s">
        <v>158</v>
      </c>
      <c r="F46" s="223" t="s">
        <v>160</v>
      </c>
      <c r="G46" s="224" t="str">
        <f>'Score Summary'!$E$13</f>
        <v/>
      </c>
      <c r="H46" s="224" t="str">
        <f>'Score Summary'!$E$16</f>
        <v/>
      </c>
      <c r="I46" s="224" t="e">
        <f t="shared" si="1"/>
        <v>#VALUE!</v>
      </c>
      <c r="J46" s="225">
        <v>2.04</v>
      </c>
      <c r="K46" s="225" t="e">
        <f t="shared" si="2"/>
        <v>#VALUE!</v>
      </c>
      <c r="L46" s="226" t="e">
        <f t="shared" si="3"/>
        <v>#VALUE!</v>
      </c>
      <c r="M46" s="156"/>
      <c r="N46" s="231" t="s">
        <v>158</v>
      </c>
      <c r="O46" s="231" t="s">
        <v>160</v>
      </c>
      <c r="P46" s="232" t="str">
        <f>'Score Summary'!$E$13</f>
        <v/>
      </c>
      <c r="Q46" s="232" t="str">
        <f>'Score Summary'!$E$16</f>
        <v/>
      </c>
      <c r="R46" s="232" t="e">
        <f t="shared" si="4"/>
        <v>#VALUE!</v>
      </c>
      <c r="S46" s="233">
        <v>2.04</v>
      </c>
      <c r="T46" s="233" t="e">
        <f t="shared" si="5"/>
        <v>#VALUE!</v>
      </c>
      <c r="U46" s="234" t="e">
        <f t="shared" si="0"/>
        <v>#VALUE!</v>
      </c>
      <c r="V46" s="156"/>
      <c r="W46" s="156"/>
      <c r="X46" s="151"/>
      <c r="AD46" s="151"/>
      <c r="AK46" s="151" t="s">
        <v>167</v>
      </c>
      <c r="AL46" s="1">
        <f>VLOOKUP($B$4,$AD$64:$AG$71,3,FALSE)</f>
        <v>5.88</v>
      </c>
      <c r="AM46" s="1" t="str">
        <f>AH77</f>
        <v>&gt;15%</v>
      </c>
    </row>
    <row r="47" spans="5:39">
      <c r="E47" s="223" t="s">
        <v>158</v>
      </c>
      <c r="F47" s="223" t="s">
        <v>19</v>
      </c>
      <c r="G47" s="224" t="str">
        <f>'Score Summary'!$E$13</f>
        <v/>
      </c>
      <c r="H47" s="224" t="str">
        <f>'Score Summary'!$E$17</f>
        <v/>
      </c>
      <c r="I47" s="224" t="e">
        <f t="shared" si="1"/>
        <v>#VALUE!</v>
      </c>
      <c r="J47" s="225">
        <v>2.12</v>
      </c>
      <c r="K47" s="225" t="e">
        <f t="shared" si="2"/>
        <v>#VALUE!</v>
      </c>
      <c r="L47" s="226" t="e">
        <f t="shared" si="3"/>
        <v>#VALUE!</v>
      </c>
      <c r="M47" s="156"/>
      <c r="N47" s="231" t="s">
        <v>158</v>
      </c>
      <c r="O47" s="231" t="s">
        <v>19</v>
      </c>
      <c r="P47" s="232" t="str">
        <f>'Score Summary'!$E$13</f>
        <v/>
      </c>
      <c r="Q47" s="232" t="str">
        <f>'Score Summary'!$E$17</f>
        <v/>
      </c>
      <c r="R47" s="232" t="e">
        <f t="shared" si="4"/>
        <v>#VALUE!</v>
      </c>
      <c r="S47" s="233">
        <v>2.04</v>
      </c>
      <c r="T47" s="233" t="e">
        <f t="shared" si="5"/>
        <v>#VALUE!</v>
      </c>
      <c r="U47" s="234" t="e">
        <f t="shared" si="0"/>
        <v>#VALUE!</v>
      </c>
      <c r="V47" s="156"/>
      <c r="W47" s="156"/>
      <c r="X47" s="279" t="s">
        <v>162</v>
      </c>
      <c r="Y47" s="279"/>
      <c r="Z47" s="279"/>
      <c r="AA47" s="279"/>
      <c r="AB47" s="279"/>
      <c r="AC47" s="279"/>
      <c r="AD47" s="279" t="s">
        <v>162</v>
      </c>
      <c r="AE47" s="279"/>
      <c r="AF47" s="279"/>
      <c r="AG47" s="279"/>
      <c r="AH47" s="279"/>
      <c r="AI47" s="279"/>
      <c r="AK47" s="151" t="s">
        <v>168</v>
      </c>
      <c r="AL47" s="1">
        <f>VLOOKUP($B$4,$AD$64:$AG$71,4,FALSE)</f>
        <v>5.88</v>
      </c>
      <c r="AM47" s="1" t="str">
        <f>AH78</f>
        <v>&gt;15%</v>
      </c>
    </row>
    <row r="48" spans="5:39">
      <c r="E48" s="223" t="s">
        <v>158</v>
      </c>
      <c r="F48" s="223" t="s">
        <v>135</v>
      </c>
      <c r="G48" s="224" t="str">
        <f>'Score Summary'!$E$13</f>
        <v/>
      </c>
      <c r="H48" s="224" t="str">
        <f>'Score Summary'!$E$18</f>
        <v/>
      </c>
      <c r="I48" s="224" t="e">
        <f t="shared" si="1"/>
        <v>#VALUE!</v>
      </c>
      <c r="J48" s="225">
        <v>1.66</v>
      </c>
      <c r="K48" s="225" t="e">
        <f t="shared" si="2"/>
        <v>#VALUE!</v>
      </c>
      <c r="L48" s="226" t="e">
        <f t="shared" si="3"/>
        <v>#VALUE!</v>
      </c>
      <c r="M48" s="156"/>
      <c r="N48" s="231" t="s">
        <v>158</v>
      </c>
      <c r="O48" s="231" t="s">
        <v>135</v>
      </c>
      <c r="P48" s="232" t="str">
        <f>'Score Summary'!$E$13</f>
        <v/>
      </c>
      <c r="Q48" s="232" t="str">
        <f>'Score Summary'!$E$18</f>
        <v/>
      </c>
      <c r="R48" s="232" t="e">
        <f t="shared" si="4"/>
        <v>#VALUE!</v>
      </c>
      <c r="S48" s="233">
        <v>1.76</v>
      </c>
      <c r="T48" s="233" t="e">
        <f t="shared" si="5"/>
        <v>#VALUE!</v>
      </c>
      <c r="U48" s="234" t="e">
        <f t="shared" si="0"/>
        <v>#VALUE!</v>
      </c>
      <c r="V48" s="156"/>
      <c r="W48" s="156"/>
      <c r="X48" s="157" t="s">
        <v>145</v>
      </c>
      <c r="Y48" s="157" t="s">
        <v>152</v>
      </c>
      <c r="Z48" s="157" t="s">
        <v>153</v>
      </c>
      <c r="AA48" s="159">
        <v>0.15</v>
      </c>
      <c r="AB48" s="159">
        <v>0.05</v>
      </c>
      <c r="AC48" s="157" t="s">
        <v>122</v>
      </c>
      <c r="AD48" s="157" t="s">
        <v>145</v>
      </c>
      <c r="AE48" s="157" t="s">
        <v>152</v>
      </c>
      <c r="AF48" s="157" t="s">
        <v>153</v>
      </c>
      <c r="AG48" s="159">
        <v>0.15</v>
      </c>
      <c r="AH48" s="159">
        <v>0.05</v>
      </c>
      <c r="AI48" s="157" t="s">
        <v>122</v>
      </c>
    </row>
    <row r="49" spans="5:39">
      <c r="E49" s="223" t="s">
        <v>16</v>
      </c>
      <c r="F49" s="223" t="s">
        <v>159</v>
      </c>
      <c r="G49" s="224" t="str">
        <f>'Score Summary'!$E$14</f>
        <v/>
      </c>
      <c r="H49" s="224" t="str">
        <f>'Score Summary'!$E$15</f>
        <v/>
      </c>
      <c r="I49" s="224" t="e">
        <f t="shared" si="1"/>
        <v>#VALUE!</v>
      </c>
      <c r="J49" s="225">
        <v>2.12</v>
      </c>
      <c r="K49" s="225" t="e">
        <f t="shared" si="2"/>
        <v>#VALUE!</v>
      </c>
      <c r="L49" s="226" t="e">
        <f t="shared" si="3"/>
        <v>#VALUE!</v>
      </c>
      <c r="M49" s="156"/>
      <c r="N49" s="231" t="s">
        <v>16</v>
      </c>
      <c r="O49" s="231" t="s">
        <v>159</v>
      </c>
      <c r="P49" s="232" t="str">
        <f>'Score Summary'!$E$14</f>
        <v/>
      </c>
      <c r="Q49" s="232" t="str">
        <f>'Score Summary'!$E$15</f>
        <v/>
      </c>
      <c r="R49" s="232" t="e">
        <f t="shared" si="4"/>
        <v>#VALUE!</v>
      </c>
      <c r="S49" s="233">
        <v>2.12</v>
      </c>
      <c r="T49" s="233" t="e">
        <f t="shared" si="5"/>
        <v>#VALUE!</v>
      </c>
      <c r="U49" s="234" t="e">
        <f t="shared" si="0"/>
        <v>#VALUE!</v>
      </c>
      <c r="V49" s="156"/>
      <c r="W49" s="156"/>
      <c r="X49" s="151" t="s">
        <v>119</v>
      </c>
      <c r="Y49" s="156" t="e">
        <f>ABS(Y5-$AG$10)</f>
        <v>#VALUE!</v>
      </c>
      <c r="Z49" s="156">
        <v>1.76</v>
      </c>
      <c r="AA49" s="156">
        <v>2.9</v>
      </c>
      <c r="AB49" s="156">
        <v>4.0999999999999996</v>
      </c>
      <c r="AC49" s="1" t="e">
        <f t="shared" ref="AC49:AC58" si="18">IF(Y49&gt;=AB49,"≤5%",IF(Y49&gt;=AA49,"≤15%","&gt;15%"))</f>
        <v>#VALUE!</v>
      </c>
      <c r="AD49" s="151" t="s">
        <v>119</v>
      </c>
      <c r="AE49" s="156" t="e">
        <f>ABS(Y5-$AG$10)</f>
        <v>#VALUE!</v>
      </c>
      <c r="AF49" s="156">
        <v>1.44</v>
      </c>
      <c r="AG49" s="156">
        <v>3.3</v>
      </c>
      <c r="AH49" s="156">
        <v>5.0999999999999996</v>
      </c>
      <c r="AI49" s="1" t="e">
        <f t="shared" ref="AI49:AI58" si="19">IF(AE49&gt;=AH49,"≤5%",IF(AE49&gt;=AG49,"≤15%","&gt;15%"))</f>
        <v>#VALUE!</v>
      </c>
    </row>
    <row r="50" spans="5:39">
      <c r="E50" s="223" t="s">
        <v>16</v>
      </c>
      <c r="F50" s="223" t="s">
        <v>160</v>
      </c>
      <c r="G50" s="224" t="str">
        <f>'Score Summary'!$E$14</f>
        <v/>
      </c>
      <c r="H50" s="224" t="str">
        <f>'Score Summary'!$E$16</f>
        <v/>
      </c>
      <c r="I50" s="224" t="e">
        <f t="shared" si="1"/>
        <v>#VALUE!</v>
      </c>
      <c r="J50" s="225">
        <v>1.95</v>
      </c>
      <c r="K50" s="225" t="e">
        <f t="shared" si="2"/>
        <v>#VALUE!</v>
      </c>
      <c r="L50" s="226" t="e">
        <f t="shared" si="3"/>
        <v>#VALUE!</v>
      </c>
      <c r="M50" s="156"/>
      <c r="N50" s="231" t="s">
        <v>16</v>
      </c>
      <c r="O50" s="231" t="s">
        <v>160</v>
      </c>
      <c r="P50" s="232" t="str">
        <f>'Score Summary'!$E$14</f>
        <v/>
      </c>
      <c r="Q50" s="232" t="str">
        <f>'Score Summary'!$E$16</f>
        <v/>
      </c>
      <c r="R50" s="232" t="e">
        <f t="shared" si="4"/>
        <v>#VALUE!</v>
      </c>
      <c r="S50" s="233">
        <v>1.76</v>
      </c>
      <c r="T50" s="233" t="e">
        <f t="shared" si="5"/>
        <v>#VALUE!</v>
      </c>
      <c r="U50" s="234" t="e">
        <f t="shared" si="0"/>
        <v>#VALUE!</v>
      </c>
      <c r="V50" s="156"/>
      <c r="W50" s="156"/>
      <c r="X50" s="151" t="s">
        <v>124</v>
      </c>
      <c r="Y50" s="156" t="e">
        <f t="shared" ref="Y50:Y53" si="20">ABS(Y6-$AG$10)</f>
        <v>#VALUE!</v>
      </c>
      <c r="Z50" s="156">
        <v>1.66</v>
      </c>
      <c r="AA50" s="156">
        <v>2.1</v>
      </c>
      <c r="AB50" s="156">
        <v>3.5</v>
      </c>
      <c r="AC50" s="1" t="e">
        <f t="shared" si="18"/>
        <v>#VALUE!</v>
      </c>
      <c r="AD50" s="151" t="s">
        <v>124</v>
      </c>
      <c r="AE50" s="156" t="e">
        <f t="shared" ref="AE50:AE53" si="21">ABS(Y6-$AG$10)</f>
        <v>#VALUE!</v>
      </c>
      <c r="AF50" s="156">
        <v>1.56</v>
      </c>
      <c r="AG50" s="156">
        <v>2.5</v>
      </c>
      <c r="AH50" s="156">
        <v>3.7</v>
      </c>
      <c r="AI50" s="1" t="e">
        <f t="shared" si="19"/>
        <v>#VALUE!</v>
      </c>
    </row>
    <row r="51" spans="5:39">
      <c r="E51" s="223" t="s">
        <v>16</v>
      </c>
      <c r="F51" s="223" t="s">
        <v>19</v>
      </c>
      <c r="G51" s="224" t="str">
        <f>'Score Summary'!$E$14</f>
        <v/>
      </c>
      <c r="H51" s="224" t="str">
        <f>'Score Summary'!$E$17</f>
        <v/>
      </c>
      <c r="I51" s="224" t="e">
        <f t="shared" si="1"/>
        <v>#VALUE!</v>
      </c>
      <c r="J51" s="225">
        <v>2.04</v>
      </c>
      <c r="K51" s="225" t="e">
        <f t="shared" si="2"/>
        <v>#VALUE!</v>
      </c>
      <c r="L51" s="226" t="e">
        <f t="shared" si="3"/>
        <v>#VALUE!</v>
      </c>
      <c r="M51" s="156"/>
      <c r="N51" s="231" t="s">
        <v>16</v>
      </c>
      <c r="O51" s="231" t="s">
        <v>19</v>
      </c>
      <c r="P51" s="232" t="str">
        <f>'Score Summary'!$E$14</f>
        <v/>
      </c>
      <c r="Q51" s="232" t="str">
        <f>'Score Summary'!$E$17</f>
        <v/>
      </c>
      <c r="R51" s="232" t="e">
        <f t="shared" si="4"/>
        <v>#VALUE!</v>
      </c>
      <c r="S51" s="233">
        <v>1.76</v>
      </c>
      <c r="T51" s="233" t="e">
        <f t="shared" si="5"/>
        <v>#VALUE!</v>
      </c>
      <c r="U51" s="234" t="e">
        <f t="shared" si="0"/>
        <v>#VALUE!</v>
      </c>
      <c r="V51" s="156"/>
      <c r="W51" s="156"/>
      <c r="X51" s="151" t="s">
        <v>127</v>
      </c>
      <c r="Y51" s="156" t="e">
        <f t="shared" si="20"/>
        <v>#VALUE!</v>
      </c>
      <c r="Z51" s="156">
        <v>1.66</v>
      </c>
      <c r="AA51" s="156">
        <v>2.2000000000000002</v>
      </c>
      <c r="AB51" s="156">
        <v>3.3</v>
      </c>
      <c r="AC51" s="1" t="e">
        <f t="shared" si="18"/>
        <v>#VALUE!</v>
      </c>
      <c r="AD51" s="151" t="s">
        <v>127</v>
      </c>
      <c r="AE51" s="156" t="e">
        <f t="shared" si="21"/>
        <v>#VALUE!</v>
      </c>
      <c r="AF51" s="156">
        <v>1.56</v>
      </c>
      <c r="AG51" s="156">
        <v>2.7</v>
      </c>
      <c r="AH51" s="156">
        <v>4</v>
      </c>
      <c r="AI51" s="1" t="e">
        <f t="shared" si="19"/>
        <v>#VALUE!</v>
      </c>
    </row>
    <row r="52" spans="5:39">
      <c r="E52" s="223" t="s">
        <v>16</v>
      </c>
      <c r="F52" s="223" t="s">
        <v>135</v>
      </c>
      <c r="G52" s="224" t="str">
        <f>'Score Summary'!$E$14</f>
        <v/>
      </c>
      <c r="H52" s="224" t="str">
        <f>'Score Summary'!$E$18</f>
        <v/>
      </c>
      <c r="I52" s="224" t="e">
        <f t="shared" si="1"/>
        <v>#VALUE!</v>
      </c>
      <c r="J52" s="225">
        <v>1.56</v>
      </c>
      <c r="K52" s="225" t="e">
        <f t="shared" si="2"/>
        <v>#VALUE!</v>
      </c>
      <c r="L52" s="226" t="e">
        <f t="shared" si="3"/>
        <v>#VALUE!</v>
      </c>
      <c r="M52" s="156"/>
      <c r="N52" s="231" t="s">
        <v>16</v>
      </c>
      <c r="O52" s="231" t="s">
        <v>135</v>
      </c>
      <c r="P52" s="232" t="str">
        <f>'Score Summary'!$E$14</f>
        <v/>
      </c>
      <c r="Q52" s="232" t="str">
        <f>'Score Summary'!$E$18</f>
        <v/>
      </c>
      <c r="R52" s="232" t="e">
        <f t="shared" si="4"/>
        <v>#VALUE!</v>
      </c>
      <c r="S52" s="233">
        <v>1.44</v>
      </c>
      <c r="T52" s="233" t="e">
        <f t="shared" si="5"/>
        <v>#VALUE!</v>
      </c>
      <c r="U52" s="234" t="e">
        <f t="shared" si="0"/>
        <v>#VALUE!</v>
      </c>
      <c r="V52" s="156"/>
      <c r="W52" s="156"/>
      <c r="X52" s="151" t="s">
        <v>130</v>
      </c>
      <c r="Y52" s="156" t="e">
        <f t="shared" si="20"/>
        <v>#VALUE!</v>
      </c>
      <c r="Z52" s="156">
        <v>1.66</v>
      </c>
      <c r="AA52" s="156">
        <v>2.7</v>
      </c>
      <c r="AB52" s="156">
        <v>4</v>
      </c>
      <c r="AC52" s="1" t="e">
        <f t="shared" si="18"/>
        <v>#VALUE!</v>
      </c>
      <c r="AD52" s="151" t="s">
        <v>130</v>
      </c>
      <c r="AE52" s="156" t="e">
        <f t="shared" si="21"/>
        <v>#VALUE!</v>
      </c>
      <c r="AF52" s="156">
        <v>1.56</v>
      </c>
      <c r="AG52" s="156">
        <v>2.8</v>
      </c>
      <c r="AH52" s="156">
        <v>4.0999999999999996</v>
      </c>
      <c r="AI52" s="1" t="e">
        <f t="shared" si="19"/>
        <v>#VALUE!</v>
      </c>
    </row>
    <row r="53" spans="5:39">
      <c r="E53" s="223" t="s">
        <v>159</v>
      </c>
      <c r="F53" s="223" t="s">
        <v>160</v>
      </c>
      <c r="G53" s="224" t="str">
        <f>'Score Summary'!$E$15</f>
        <v/>
      </c>
      <c r="H53" s="224" t="str">
        <f>'Score Summary'!$E$16</f>
        <v/>
      </c>
      <c r="I53" s="224" t="e">
        <f t="shared" si="1"/>
        <v>#VALUE!</v>
      </c>
      <c r="J53" s="225">
        <v>2.04</v>
      </c>
      <c r="K53" s="225" t="e">
        <f t="shared" si="2"/>
        <v>#VALUE!</v>
      </c>
      <c r="L53" s="226" t="e">
        <f t="shared" si="3"/>
        <v>#VALUE!</v>
      </c>
      <c r="M53" s="156"/>
      <c r="N53" s="231" t="s">
        <v>159</v>
      </c>
      <c r="O53" s="231" t="s">
        <v>160</v>
      </c>
      <c r="P53" s="232" t="str">
        <f>'Score Summary'!$E$15</f>
        <v/>
      </c>
      <c r="Q53" s="232" t="str">
        <f>'Score Summary'!$E$16</f>
        <v/>
      </c>
      <c r="R53" s="232" t="e">
        <f t="shared" si="4"/>
        <v>#VALUE!</v>
      </c>
      <c r="S53" s="233">
        <v>2.04</v>
      </c>
      <c r="T53" s="233" t="e">
        <f t="shared" si="5"/>
        <v>#VALUE!</v>
      </c>
      <c r="U53" s="234" t="e">
        <f t="shared" si="0"/>
        <v>#VALUE!</v>
      </c>
      <c r="V53" s="156"/>
      <c r="W53" s="156"/>
      <c r="X53" s="151" t="s">
        <v>134</v>
      </c>
      <c r="Y53" s="156" t="e">
        <f t="shared" si="20"/>
        <v>#VALUE!</v>
      </c>
      <c r="Z53" s="156">
        <v>1.66</v>
      </c>
      <c r="AA53" s="156">
        <v>2.9</v>
      </c>
      <c r="AB53" s="156">
        <v>4.0999999999999996</v>
      </c>
      <c r="AC53" s="1" t="e">
        <f t="shared" si="18"/>
        <v>#VALUE!</v>
      </c>
      <c r="AD53" s="151" t="s">
        <v>134</v>
      </c>
      <c r="AE53" s="156" t="e">
        <f t="shared" si="21"/>
        <v>#VALUE!</v>
      </c>
      <c r="AF53" s="156">
        <v>1.76</v>
      </c>
      <c r="AG53" s="156">
        <v>3.1</v>
      </c>
      <c r="AH53" s="156">
        <v>4.4000000000000004</v>
      </c>
      <c r="AI53" s="1" t="e">
        <f t="shared" si="19"/>
        <v>#VALUE!</v>
      </c>
    </row>
    <row r="54" spans="5:39">
      <c r="E54" s="223" t="s">
        <v>159</v>
      </c>
      <c r="F54" s="223" t="s">
        <v>19</v>
      </c>
      <c r="G54" s="224" t="str">
        <f>'Score Summary'!$E$15</f>
        <v/>
      </c>
      <c r="H54" s="224" t="str">
        <f>'Score Summary'!$E$17</f>
        <v/>
      </c>
      <c r="I54" s="224" t="e">
        <f t="shared" si="1"/>
        <v>#VALUE!</v>
      </c>
      <c r="J54" s="225">
        <v>2.12</v>
      </c>
      <c r="K54" s="225" t="e">
        <f t="shared" si="2"/>
        <v>#VALUE!</v>
      </c>
      <c r="L54" s="226" t="e">
        <f t="shared" si="3"/>
        <v>#VALUE!</v>
      </c>
      <c r="M54" s="156"/>
      <c r="N54" s="231" t="s">
        <v>159</v>
      </c>
      <c r="O54" s="231" t="s">
        <v>19</v>
      </c>
      <c r="P54" s="232" t="str">
        <f>'Score Summary'!$E$15</f>
        <v/>
      </c>
      <c r="Q54" s="232" t="str">
        <f>'Score Summary'!$E$17</f>
        <v/>
      </c>
      <c r="R54" s="232" t="e">
        <f t="shared" si="4"/>
        <v>#VALUE!</v>
      </c>
      <c r="S54" s="233">
        <v>2.04</v>
      </c>
      <c r="T54" s="233" t="e">
        <f t="shared" si="5"/>
        <v>#VALUE!</v>
      </c>
      <c r="U54" s="234" t="e">
        <f t="shared" si="0"/>
        <v>#VALUE!</v>
      </c>
      <c r="V54" s="156"/>
      <c r="W54" s="156"/>
      <c r="X54" s="151" t="s">
        <v>120</v>
      </c>
      <c r="Y54" s="156" t="e">
        <f>ABS(AB5-$AG$10)</f>
        <v>#VALUE!</v>
      </c>
      <c r="Z54" s="156">
        <v>1.56</v>
      </c>
      <c r="AA54" s="156">
        <v>2.4</v>
      </c>
      <c r="AB54" s="156">
        <v>3.5</v>
      </c>
      <c r="AC54" s="1" t="e">
        <f t="shared" si="18"/>
        <v>#VALUE!</v>
      </c>
      <c r="AD54" s="151" t="s">
        <v>120</v>
      </c>
      <c r="AE54" s="156" t="e">
        <f>ABS(AB5-$AG$10)</f>
        <v>#VALUE!</v>
      </c>
      <c r="AF54" s="156">
        <v>1.44</v>
      </c>
      <c r="AG54" s="156">
        <v>2.6</v>
      </c>
      <c r="AH54" s="156">
        <v>3.6</v>
      </c>
      <c r="AI54" s="1" t="e">
        <f t="shared" si="19"/>
        <v>#VALUE!</v>
      </c>
    </row>
    <row r="55" spans="5:39">
      <c r="E55" s="223" t="s">
        <v>159</v>
      </c>
      <c r="F55" s="223" t="s">
        <v>135</v>
      </c>
      <c r="G55" s="224" t="str">
        <f>'Score Summary'!$E$15</f>
        <v/>
      </c>
      <c r="H55" s="224" t="str">
        <f>'Score Summary'!$E$18</f>
        <v/>
      </c>
      <c r="I55" s="224" t="e">
        <f t="shared" si="1"/>
        <v>#VALUE!</v>
      </c>
      <c r="J55" s="225">
        <v>1.66</v>
      </c>
      <c r="K55" s="225" t="e">
        <f t="shared" si="2"/>
        <v>#VALUE!</v>
      </c>
      <c r="L55" s="226" t="e">
        <f t="shared" si="3"/>
        <v>#VALUE!</v>
      </c>
      <c r="M55" s="156"/>
      <c r="N55" s="231" t="s">
        <v>159</v>
      </c>
      <c r="O55" s="231" t="s">
        <v>135</v>
      </c>
      <c r="P55" s="232" t="str">
        <f>'Score Summary'!$E$15</f>
        <v/>
      </c>
      <c r="Q55" s="232" t="str">
        <f>'Score Summary'!$E$18</f>
        <v/>
      </c>
      <c r="R55" s="232" t="e">
        <f t="shared" si="4"/>
        <v>#VALUE!</v>
      </c>
      <c r="S55" s="233">
        <v>1.76</v>
      </c>
      <c r="T55" s="233" t="e">
        <f t="shared" si="5"/>
        <v>#VALUE!</v>
      </c>
      <c r="U55" s="234" t="e">
        <f t="shared" si="0"/>
        <v>#VALUE!</v>
      </c>
      <c r="V55" s="156"/>
      <c r="W55" s="156"/>
      <c r="X55" s="151" t="s">
        <v>125</v>
      </c>
      <c r="Y55" s="156" t="e">
        <f t="shared" ref="Y55:Y58" si="22">ABS(AB6-$AG$10)</f>
        <v>#VALUE!</v>
      </c>
      <c r="Z55" s="156">
        <v>1.66</v>
      </c>
      <c r="AA55" s="156">
        <v>2.8</v>
      </c>
      <c r="AB55" s="156">
        <v>4.0999999999999996</v>
      </c>
      <c r="AC55" s="1" t="e">
        <f t="shared" si="18"/>
        <v>#VALUE!</v>
      </c>
      <c r="AD55" s="151" t="s">
        <v>125</v>
      </c>
      <c r="AE55" s="156" t="e">
        <f t="shared" ref="AE55:AE58" si="23">ABS(AB6-$AG$10)</f>
        <v>#VALUE!</v>
      </c>
      <c r="AF55" s="156">
        <v>1.66</v>
      </c>
      <c r="AG55" s="156">
        <v>3.2</v>
      </c>
      <c r="AH55" s="156">
        <v>5</v>
      </c>
      <c r="AI55" s="1" t="e">
        <f t="shared" si="19"/>
        <v>#VALUE!</v>
      </c>
    </row>
    <row r="56" spans="5:39">
      <c r="E56" s="223" t="s">
        <v>160</v>
      </c>
      <c r="F56" s="223" t="s">
        <v>19</v>
      </c>
      <c r="G56" s="224" t="str">
        <f>'Score Summary'!$E$16</f>
        <v/>
      </c>
      <c r="H56" s="224" t="str">
        <f>'Score Summary'!$E$17</f>
        <v/>
      </c>
      <c r="I56" s="224" t="e">
        <f t="shared" si="1"/>
        <v>#VALUE!</v>
      </c>
      <c r="J56" s="225">
        <v>1.95</v>
      </c>
      <c r="K56" s="225" t="e">
        <f t="shared" si="2"/>
        <v>#VALUE!</v>
      </c>
      <c r="L56" s="226" t="e">
        <f t="shared" si="3"/>
        <v>#VALUE!</v>
      </c>
      <c r="M56" s="156"/>
      <c r="N56" s="231" t="s">
        <v>160</v>
      </c>
      <c r="O56" s="231" t="s">
        <v>19</v>
      </c>
      <c r="P56" s="232" t="str">
        <f>'Score Summary'!$E$16</f>
        <v/>
      </c>
      <c r="Q56" s="232" t="str">
        <f>'Score Summary'!$E$17</f>
        <v/>
      </c>
      <c r="R56" s="232" t="e">
        <f t="shared" si="4"/>
        <v>#VALUE!</v>
      </c>
      <c r="S56" s="233">
        <v>1.66</v>
      </c>
      <c r="T56" s="233" t="e">
        <f t="shared" si="5"/>
        <v>#VALUE!</v>
      </c>
      <c r="U56" s="234" t="e">
        <f t="shared" si="0"/>
        <v>#VALUE!</v>
      </c>
      <c r="V56" s="156"/>
      <c r="W56" s="156"/>
      <c r="X56" s="151" t="s">
        <v>128</v>
      </c>
      <c r="Y56" s="156" t="e">
        <f t="shared" si="22"/>
        <v>#VALUE!</v>
      </c>
      <c r="Z56" s="156">
        <v>1.44</v>
      </c>
      <c r="AA56" s="156">
        <v>2.2000000000000002</v>
      </c>
      <c r="AB56" s="156">
        <v>3.4</v>
      </c>
      <c r="AC56" s="1" t="e">
        <f t="shared" si="18"/>
        <v>#VALUE!</v>
      </c>
      <c r="AD56" s="151" t="s">
        <v>128</v>
      </c>
      <c r="AE56" s="156" t="e">
        <f t="shared" si="23"/>
        <v>#VALUE!</v>
      </c>
      <c r="AF56" s="156">
        <v>1.31</v>
      </c>
      <c r="AG56" s="156">
        <v>2.5</v>
      </c>
      <c r="AH56" s="156">
        <v>4</v>
      </c>
      <c r="AI56" s="1" t="e">
        <f t="shared" si="19"/>
        <v>#VALUE!</v>
      </c>
    </row>
    <row r="57" spans="5:39">
      <c r="E57" s="223" t="s">
        <v>160</v>
      </c>
      <c r="F57" s="223" t="s">
        <v>135</v>
      </c>
      <c r="G57" s="224" t="str">
        <f>'Score Summary'!$E$16</f>
        <v/>
      </c>
      <c r="H57" s="224" t="str">
        <f>'Score Summary'!$E$18</f>
        <v/>
      </c>
      <c r="I57" s="224" t="e">
        <f t="shared" si="1"/>
        <v>#VALUE!</v>
      </c>
      <c r="J57" s="225">
        <v>1.44</v>
      </c>
      <c r="K57" s="225" t="e">
        <f t="shared" si="2"/>
        <v>#VALUE!</v>
      </c>
      <c r="L57" s="226" t="e">
        <f t="shared" si="3"/>
        <v>#VALUE!</v>
      </c>
      <c r="M57" s="156"/>
      <c r="N57" s="231" t="s">
        <v>160</v>
      </c>
      <c r="O57" s="231" t="s">
        <v>135</v>
      </c>
      <c r="P57" s="232" t="str">
        <f>'Score Summary'!$E$16</f>
        <v/>
      </c>
      <c r="Q57" s="232" t="str">
        <f>'Score Summary'!$E$18</f>
        <v/>
      </c>
      <c r="R57" s="232" t="e">
        <f t="shared" si="4"/>
        <v>#VALUE!</v>
      </c>
      <c r="S57" s="233">
        <v>1.31</v>
      </c>
      <c r="T57" s="233" t="e">
        <f t="shared" si="5"/>
        <v>#VALUE!</v>
      </c>
      <c r="U57" s="234" t="e">
        <f t="shared" si="0"/>
        <v>#VALUE!</v>
      </c>
      <c r="V57" s="156"/>
      <c r="W57" s="156"/>
      <c r="X57" s="151" t="s">
        <v>131</v>
      </c>
      <c r="Y57" s="156" t="e">
        <f t="shared" si="22"/>
        <v>#VALUE!</v>
      </c>
      <c r="Z57" s="156">
        <v>1.56</v>
      </c>
      <c r="AA57" s="156">
        <v>2.4</v>
      </c>
      <c r="AB57" s="156">
        <v>3.6</v>
      </c>
      <c r="AC57" s="1" t="e">
        <f t="shared" si="18"/>
        <v>#VALUE!</v>
      </c>
      <c r="AD57" s="151" t="s">
        <v>131</v>
      </c>
      <c r="AE57" s="156" t="e">
        <f t="shared" si="23"/>
        <v>#VALUE!</v>
      </c>
      <c r="AF57" s="156">
        <v>1.31</v>
      </c>
      <c r="AG57" s="156">
        <v>2.5</v>
      </c>
      <c r="AH57" s="156">
        <v>3.7</v>
      </c>
      <c r="AI57" s="1" t="e">
        <f t="shared" si="19"/>
        <v>#VALUE!</v>
      </c>
    </row>
    <row r="58" spans="5:39">
      <c r="E58" s="223" t="s">
        <v>19</v>
      </c>
      <c r="F58" s="223" t="s">
        <v>135</v>
      </c>
      <c r="G58" s="224" t="str">
        <f>'Score Summary'!$E$17</f>
        <v/>
      </c>
      <c r="H58" s="224" t="str">
        <f>'Score Summary'!$E$18</f>
        <v/>
      </c>
      <c r="I58" s="224" t="e">
        <f t="shared" si="1"/>
        <v>#VALUE!</v>
      </c>
      <c r="J58" s="225">
        <v>1.56</v>
      </c>
      <c r="K58" s="225" t="e">
        <f t="shared" si="2"/>
        <v>#VALUE!</v>
      </c>
      <c r="L58" s="226" t="e">
        <f t="shared" si="3"/>
        <v>#VALUE!</v>
      </c>
      <c r="M58" s="156"/>
      <c r="N58" s="231" t="s">
        <v>19</v>
      </c>
      <c r="O58" s="231" t="s">
        <v>135</v>
      </c>
      <c r="P58" s="232" t="str">
        <f>'Score Summary'!$E$17</f>
        <v/>
      </c>
      <c r="Q58" s="232" t="str">
        <f>'Score Summary'!$E$18</f>
        <v/>
      </c>
      <c r="R58" s="232" t="e">
        <f t="shared" si="4"/>
        <v>#VALUE!</v>
      </c>
      <c r="S58" s="233">
        <v>1.31</v>
      </c>
      <c r="T58" s="233" t="e">
        <f t="shared" si="5"/>
        <v>#VALUE!</v>
      </c>
      <c r="U58" s="234" t="e">
        <f t="shared" si="0"/>
        <v>#VALUE!</v>
      </c>
      <c r="V58" s="156"/>
      <c r="W58" s="156"/>
      <c r="X58" s="151" t="s">
        <v>135</v>
      </c>
      <c r="Y58" s="156" t="e">
        <f t="shared" si="22"/>
        <v>#VALUE!</v>
      </c>
      <c r="Z58" s="156">
        <v>0.83</v>
      </c>
      <c r="AA58" s="156">
        <v>6.2</v>
      </c>
      <c r="AB58" s="156">
        <v>9.6999999999999993</v>
      </c>
      <c r="AC58" s="1" t="e">
        <f t="shared" si="18"/>
        <v>#VALUE!</v>
      </c>
      <c r="AD58" s="151" t="s">
        <v>135</v>
      </c>
      <c r="AE58" s="156" t="e">
        <f t="shared" si="23"/>
        <v>#VALUE!</v>
      </c>
      <c r="AF58" s="156">
        <v>0.83</v>
      </c>
      <c r="AG58" s="156">
        <v>7.3</v>
      </c>
      <c r="AH58" s="156">
        <v>10</v>
      </c>
      <c r="AI58" s="1" t="e">
        <f t="shared" si="19"/>
        <v>#VALUE!</v>
      </c>
      <c r="AK58"/>
      <c r="AL58"/>
      <c r="AM58"/>
    </row>
    <row r="59" spans="5:39">
      <c r="E59" s="227"/>
      <c r="F59" s="227"/>
      <c r="G59" s="227"/>
      <c r="H59" s="227" t="s">
        <v>169</v>
      </c>
      <c r="I59" s="224" t="e">
        <f>MAX(I14:I58)</f>
        <v>#VALUE!</v>
      </c>
      <c r="J59" s="227" t="s">
        <v>169</v>
      </c>
      <c r="K59" s="225" t="e">
        <f>MAX(K14:K58)</f>
        <v>#VALUE!</v>
      </c>
      <c r="L59" s="225"/>
      <c r="M59" s="156"/>
      <c r="N59" s="235"/>
      <c r="O59" s="235"/>
      <c r="P59" s="235"/>
      <c r="Q59" s="235" t="s">
        <v>169</v>
      </c>
      <c r="R59" s="232" t="e">
        <f>MAX(R14:R58)</f>
        <v>#VALUE!</v>
      </c>
      <c r="S59" s="235" t="s">
        <v>169</v>
      </c>
      <c r="T59" s="233" t="e">
        <f>MAX(T14:T58)</f>
        <v>#VALUE!</v>
      </c>
      <c r="U59" s="233"/>
      <c r="V59" s="156"/>
      <c r="W59" s="156"/>
      <c r="X59" s="151"/>
      <c r="Y59" s="156"/>
      <c r="Z59" s="156"/>
      <c r="AA59" s="156"/>
      <c r="AB59" s="156"/>
      <c r="AD59" s="151"/>
      <c r="AE59" s="156"/>
      <c r="AF59" s="156"/>
      <c r="AG59" s="156"/>
      <c r="AH59" s="156"/>
      <c r="AK59"/>
      <c r="AL59"/>
      <c r="AM59"/>
    </row>
    <row r="60" spans="5:39">
      <c r="E60" s="227"/>
      <c r="F60" s="228" t="s">
        <v>170</v>
      </c>
      <c r="G60" s="224" t="e">
        <f>INDEX(E14:L58,MATCH(K59,K14:K58,0),1)</f>
        <v>#VALUE!</v>
      </c>
      <c r="H60" s="223" t="s">
        <v>171</v>
      </c>
      <c r="I60" s="224" t="e">
        <f>INDEX(E14:L58,MATCH(K59,K14:K58,0),2)</f>
        <v>#VALUE!</v>
      </c>
      <c r="J60" s="225"/>
      <c r="K60" s="225"/>
      <c r="L60" s="225"/>
      <c r="M60" s="156"/>
      <c r="N60" s="235"/>
      <c r="O60" s="236" t="s">
        <v>170</v>
      </c>
      <c r="P60" s="232" t="e">
        <f>INDEX(N14:U58,MATCH(T59,T14:T58,0),1)</f>
        <v>#VALUE!</v>
      </c>
      <c r="Q60" s="231" t="s">
        <v>171</v>
      </c>
      <c r="R60" s="232" t="e">
        <f>INDEX(N14:U58,MATCH(T59,T14:T58,0),2)</f>
        <v>#VALUE!</v>
      </c>
      <c r="S60" s="233"/>
      <c r="T60" s="233"/>
      <c r="U60" s="233"/>
      <c r="V60" s="156"/>
      <c r="W60" s="156"/>
      <c r="X60" s="151"/>
      <c r="Y60" s="156"/>
      <c r="Z60" s="156"/>
      <c r="AA60" s="156"/>
      <c r="AB60" s="156"/>
      <c r="AD60" s="151"/>
      <c r="AE60" s="156"/>
      <c r="AF60" s="156"/>
      <c r="AG60" s="156"/>
      <c r="AH60" s="156"/>
      <c r="AK60"/>
      <c r="AL60"/>
      <c r="AM60"/>
    </row>
    <row r="61" spans="5:39">
      <c r="E61" s="227"/>
      <c r="F61" s="223" t="s">
        <v>172</v>
      </c>
      <c r="G61" s="224" t="e">
        <f>IF(L61&gt;0,G60,I60)</f>
        <v>#VALUE!</v>
      </c>
      <c r="H61" s="223" t="s">
        <v>173</v>
      </c>
      <c r="I61" s="224" t="e">
        <f>IF(L61&lt;=0,G60,I60)</f>
        <v>#VALUE!</v>
      </c>
      <c r="J61" s="223" t="s">
        <v>174</v>
      </c>
      <c r="K61" s="225" t="e">
        <f>INDEX(E14:L58,MATCH(K59,K14:K58,0),6)</f>
        <v>#VALUE!</v>
      </c>
      <c r="L61" s="225" t="e">
        <f>INDEX(E14:L58,MATCH(K59,K14:K58,0),8)</f>
        <v>#VALUE!</v>
      </c>
      <c r="M61" s="156"/>
      <c r="N61" s="235"/>
      <c r="O61" s="231" t="s">
        <v>172</v>
      </c>
      <c r="P61" s="232" t="e">
        <f>IF(U61&gt;0,P60,R60)</f>
        <v>#VALUE!</v>
      </c>
      <c r="Q61" s="231" t="s">
        <v>173</v>
      </c>
      <c r="R61" s="232" t="e">
        <f>IF(U61&lt;=0,P60,R60)</f>
        <v>#VALUE!</v>
      </c>
      <c r="S61" s="231" t="s">
        <v>174</v>
      </c>
      <c r="T61" s="233" t="e">
        <f>INDEX(N14:U58,MATCH(T59,T14:T58,0),6)</f>
        <v>#VALUE!</v>
      </c>
      <c r="U61" s="233" t="e">
        <f>INDEX(N14:U58,MATCH(T59,T14:T58,0),8)</f>
        <v>#VALUE!</v>
      </c>
      <c r="V61" s="156"/>
      <c r="W61" s="156"/>
      <c r="X61" s="151"/>
      <c r="Y61" s="156"/>
      <c r="Z61" s="156"/>
      <c r="AA61" s="156"/>
      <c r="AB61" s="156"/>
      <c r="AD61" s="151"/>
      <c r="AE61" s="156"/>
      <c r="AF61" s="156"/>
      <c r="AG61" s="156"/>
      <c r="AH61" s="156"/>
      <c r="AK61"/>
      <c r="AL61"/>
      <c r="AM61"/>
    </row>
    <row r="62" spans="5:39">
      <c r="E62" s="227"/>
      <c r="F62" s="228" t="s">
        <v>175</v>
      </c>
      <c r="G62" s="224" t="e">
        <f>INDEX(E14:L58,MATCH(I59,I14:I58,0),1)</f>
        <v>#VALUE!</v>
      </c>
      <c r="H62" s="223" t="s">
        <v>171</v>
      </c>
      <c r="I62" s="224" t="e">
        <f>INDEX(E14:L58,MATCH(I59,I14:I58,0),2)</f>
        <v>#VALUE!</v>
      </c>
      <c r="J62" s="224"/>
      <c r="K62" s="225"/>
      <c r="L62" s="225"/>
      <c r="M62" s="156"/>
      <c r="N62" s="235"/>
      <c r="O62" s="236" t="s">
        <v>175</v>
      </c>
      <c r="P62" s="232" t="e">
        <f>INDEX(N14:U58,MATCH(R59,R14:R58,0),1)</f>
        <v>#VALUE!</v>
      </c>
      <c r="Q62" s="231" t="s">
        <v>171</v>
      </c>
      <c r="R62" s="232" t="e">
        <f>INDEX(N14:U58,MATCH(R59,R14:R58,0),2)</f>
        <v>#VALUE!</v>
      </c>
      <c r="S62" s="232"/>
      <c r="T62" s="235"/>
      <c r="U62" s="235"/>
      <c r="AK62"/>
      <c r="AL62"/>
      <c r="AM62"/>
    </row>
    <row r="63" spans="5:39">
      <c r="E63" s="227"/>
      <c r="F63" s="223" t="s">
        <v>172</v>
      </c>
      <c r="G63" s="224" t="e">
        <f>IF(L63&gt;0,G62,I62)</f>
        <v>#VALUE!</v>
      </c>
      <c r="H63" s="223" t="s">
        <v>173</v>
      </c>
      <c r="I63" s="224" t="e">
        <f>IF(L63&lt;=0,G62,I62)</f>
        <v>#VALUE!</v>
      </c>
      <c r="J63" s="223" t="s">
        <v>174</v>
      </c>
      <c r="K63" s="224" t="e">
        <f>INDEX(E14:L58,MATCH(I59,I14:I58,0),6)</f>
        <v>#VALUE!</v>
      </c>
      <c r="L63" s="224" t="e">
        <f>INDEX(E14:L58,MATCH(I59,I14:I58,0),8)</f>
        <v>#VALUE!</v>
      </c>
      <c r="N63" s="235"/>
      <c r="O63" s="231" t="s">
        <v>172</v>
      </c>
      <c r="P63" s="232" t="e">
        <f>IF(U63&gt;0,P62,R62)</f>
        <v>#VALUE!</v>
      </c>
      <c r="Q63" s="231" t="s">
        <v>173</v>
      </c>
      <c r="R63" s="232" t="e">
        <f>IF(U63&lt;=0,P62,R62)</f>
        <v>#VALUE!</v>
      </c>
      <c r="S63" s="231" t="s">
        <v>174</v>
      </c>
      <c r="T63" s="232" t="e">
        <f>INDEX(N14:U58,MATCH(R59,R14:R58,0),6)</f>
        <v>#VALUE!</v>
      </c>
      <c r="U63" s="232" t="e">
        <f>INDEX(N14:U58,MATCH(R59,R14:R58,0),8)</f>
        <v>#VALUE!</v>
      </c>
      <c r="X63" s="85" t="s">
        <v>176</v>
      </c>
      <c r="Y63" s="85"/>
      <c r="Z63" s="85"/>
      <c r="AA63" s="85"/>
      <c r="AB63" s="4"/>
      <c r="AC63" s="4"/>
      <c r="AD63" s="85" t="s">
        <v>177</v>
      </c>
      <c r="AE63" s="85"/>
      <c r="AF63" s="85"/>
      <c r="AG63" s="85"/>
      <c r="AM63"/>
    </row>
    <row r="64" spans="5:39">
      <c r="E64" s="229" t="s">
        <v>178</v>
      </c>
      <c r="F64" s="228" t="s">
        <v>172</v>
      </c>
      <c r="G64" s="224" t="e">
        <f>IF(SUM(K14:K58)=0,G61,G63)</f>
        <v>#VALUE!</v>
      </c>
      <c r="H64" s="223" t="s">
        <v>173</v>
      </c>
      <c r="I64" s="224" t="e">
        <f>IF(SUM(K14:K58)=0,I61,I63)</f>
        <v>#VALUE!</v>
      </c>
      <c r="J64" s="223" t="s">
        <v>174</v>
      </c>
      <c r="K64" s="224" t="e">
        <f>IF(SUM(K14:K58)=0,K61,K63)</f>
        <v>#VALUE!</v>
      </c>
      <c r="L64" s="224"/>
      <c r="N64" s="237" t="s">
        <v>178</v>
      </c>
      <c r="O64" s="236" t="s">
        <v>172</v>
      </c>
      <c r="P64" s="232" t="e">
        <f>IF(SUM(T14:T58)=0,P61,P63)</f>
        <v>#VALUE!</v>
      </c>
      <c r="Q64" s="231" t="s">
        <v>173</v>
      </c>
      <c r="R64" s="232" t="e">
        <f>IF(SUM(T14:T58)=0,R61,R63)</f>
        <v>#VALUE!</v>
      </c>
      <c r="S64" s="231" t="s">
        <v>174</v>
      </c>
      <c r="T64" s="232" t="e">
        <f>IF(SUM(T14:T58)=0,T61,T63)</f>
        <v>#VALUE!</v>
      </c>
      <c r="U64" s="232"/>
      <c r="X64" s="1" t="s">
        <v>88</v>
      </c>
      <c r="Y64" s="1" t="s">
        <v>166</v>
      </c>
      <c r="Z64" s="1" t="s">
        <v>167</v>
      </c>
      <c r="AA64" s="1" t="s">
        <v>168</v>
      </c>
      <c r="AD64" s="1" t="s">
        <v>88</v>
      </c>
      <c r="AE64" s="1" t="s">
        <v>166</v>
      </c>
      <c r="AF64" s="1" t="s">
        <v>167</v>
      </c>
      <c r="AG64" s="1" t="s">
        <v>168</v>
      </c>
      <c r="AM64"/>
    </row>
    <row r="65" spans="5:39">
      <c r="E65" s="316" t="s">
        <v>179</v>
      </c>
      <c r="F65" s="316"/>
      <c r="G65" s="316"/>
      <c r="H65" s="316"/>
      <c r="I65" s="316"/>
      <c r="J65" s="316"/>
      <c r="K65" s="316"/>
      <c r="L65" s="316"/>
      <c r="M65" s="1"/>
      <c r="N65" s="317" t="s">
        <v>180</v>
      </c>
      <c r="O65" s="317"/>
      <c r="P65" s="317"/>
      <c r="Q65" s="317"/>
      <c r="R65" s="317"/>
      <c r="S65" s="317"/>
      <c r="T65" s="317"/>
      <c r="U65" s="317"/>
      <c r="X65" s="1" t="s">
        <v>2</v>
      </c>
      <c r="Y65" s="156">
        <v>8.32</v>
      </c>
      <c r="Z65" s="156">
        <v>7.78</v>
      </c>
      <c r="AA65" s="156">
        <v>7.78</v>
      </c>
      <c r="AD65" s="1" t="s">
        <v>2</v>
      </c>
      <c r="AE65" s="156">
        <v>5.88</v>
      </c>
      <c r="AF65" s="156">
        <v>5.88</v>
      </c>
      <c r="AG65" s="156">
        <v>5.88</v>
      </c>
      <c r="AM65"/>
    </row>
    <row r="66" spans="5:39">
      <c r="E66" s="247" t="s">
        <v>147</v>
      </c>
      <c r="F66" s="247" t="s">
        <v>148</v>
      </c>
      <c r="G66" s="247" t="s">
        <v>35</v>
      </c>
      <c r="H66" s="247" t="s">
        <v>36</v>
      </c>
      <c r="I66" s="247" t="s">
        <v>149</v>
      </c>
      <c r="J66" s="247" t="s">
        <v>150</v>
      </c>
      <c r="K66" s="247" t="s">
        <v>151</v>
      </c>
      <c r="L66" s="247" t="s">
        <v>152</v>
      </c>
      <c r="M66" s="157"/>
      <c r="N66" s="238" t="s">
        <v>147</v>
      </c>
      <c r="O66" s="238" t="s">
        <v>148</v>
      </c>
      <c r="P66" s="238" t="s">
        <v>35</v>
      </c>
      <c r="Q66" s="238" t="s">
        <v>36</v>
      </c>
      <c r="R66" s="238" t="s">
        <v>149</v>
      </c>
      <c r="S66" s="238" t="s">
        <v>150</v>
      </c>
      <c r="T66" s="238" t="s">
        <v>151</v>
      </c>
      <c r="U66" s="238" t="s">
        <v>152</v>
      </c>
      <c r="V66" s="157"/>
      <c r="W66" s="157"/>
      <c r="X66" s="1" t="s">
        <v>77</v>
      </c>
      <c r="Y66" s="156">
        <v>7.78</v>
      </c>
      <c r="Z66" s="156">
        <v>7.78</v>
      </c>
      <c r="AA66" s="156">
        <v>7.2</v>
      </c>
      <c r="AD66" s="1" t="s">
        <v>77</v>
      </c>
      <c r="AE66" s="156">
        <v>8.32</v>
      </c>
      <c r="AF66" s="156">
        <v>8.32</v>
      </c>
      <c r="AG66" s="156">
        <v>8.32</v>
      </c>
      <c r="AM66"/>
    </row>
    <row r="67" spans="5:39">
      <c r="E67" s="248" t="s">
        <v>154</v>
      </c>
      <c r="F67" s="248" t="s">
        <v>155</v>
      </c>
      <c r="G67" s="249" t="str">
        <f>'Score Summary'!$E$9</f>
        <v/>
      </c>
      <c r="H67" s="249" t="str">
        <f>'Score Summary'!$E$10</f>
        <v/>
      </c>
      <c r="I67" s="249" t="e">
        <f>ABS(G67-H67)</f>
        <v>#VALUE!</v>
      </c>
      <c r="J67" s="250">
        <v>2.2799999999999998</v>
      </c>
      <c r="K67" s="250" t="e">
        <f>IF(I67&lt;J67,0,I67-J67)</f>
        <v>#VALUE!</v>
      </c>
      <c r="L67" s="251" t="e">
        <f>G67-H67</f>
        <v>#VALUE!</v>
      </c>
      <c r="M67" s="156"/>
      <c r="N67" s="239" t="s">
        <v>154</v>
      </c>
      <c r="O67" s="239" t="s">
        <v>155</v>
      </c>
      <c r="P67" s="240" t="str">
        <f>'Score Summary'!$E$9</f>
        <v/>
      </c>
      <c r="Q67" s="240" t="str">
        <f>'Score Summary'!$E$10</f>
        <v/>
      </c>
      <c r="R67" s="240" t="e">
        <f>ABS(P67-Q67)</f>
        <v>#VALUE!</v>
      </c>
      <c r="S67" s="241">
        <v>1.95</v>
      </c>
      <c r="T67" s="241" t="e">
        <f>IF(R67&lt;S67,0,R67-S67)</f>
        <v>#VALUE!</v>
      </c>
      <c r="U67" s="242" t="e">
        <f t="shared" ref="U67:U102" si="24">P67-Q67</f>
        <v>#VALUE!</v>
      </c>
      <c r="V67" s="156"/>
      <c r="W67" s="156"/>
      <c r="X67" s="1" t="s">
        <v>78</v>
      </c>
      <c r="Y67" s="156">
        <v>7.78</v>
      </c>
      <c r="Z67" s="156">
        <v>7.2</v>
      </c>
      <c r="AA67" s="156">
        <v>7.78</v>
      </c>
      <c r="AD67" s="1" t="s">
        <v>78</v>
      </c>
      <c r="AE67" s="156">
        <v>7.78</v>
      </c>
      <c r="AF67" s="156">
        <v>7.78</v>
      </c>
      <c r="AG67" s="156">
        <v>8.32</v>
      </c>
      <c r="AM67"/>
    </row>
    <row r="68" spans="5:39">
      <c r="E68" s="248" t="s">
        <v>154</v>
      </c>
      <c r="F68" s="248" t="s">
        <v>156</v>
      </c>
      <c r="G68" s="249" t="str">
        <f>'Score Summary'!$E$9</f>
        <v/>
      </c>
      <c r="H68" s="249" t="str">
        <f>'Score Summary'!$E$11</f>
        <v/>
      </c>
      <c r="I68" s="249" t="e">
        <f t="shared" ref="I68:I74" si="25">ABS(G68-H68)</f>
        <v>#VALUE!</v>
      </c>
      <c r="J68" s="250">
        <v>2.2799999999999998</v>
      </c>
      <c r="K68" s="250" t="e">
        <f t="shared" ref="K68:K74" si="26">IF(I68&lt;J68,0,I68-J68)</f>
        <v>#VALUE!</v>
      </c>
      <c r="L68" s="251" t="e">
        <f t="shared" ref="L68:L102" si="27">G68-H68</f>
        <v>#VALUE!</v>
      </c>
      <c r="M68" s="156"/>
      <c r="N68" s="239" t="s">
        <v>154</v>
      </c>
      <c r="O68" s="239" t="s">
        <v>156</v>
      </c>
      <c r="P68" s="240" t="str">
        <f>'Score Summary'!$E$9</f>
        <v/>
      </c>
      <c r="Q68" s="240" t="str">
        <f>'Score Summary'!$E$11</f>
        <v/>
      </c>
      <c r="R68" s="240" t="e">
        <f t="shared" ref="R68:R74" si="28">ABS(P68-Q68)</f>
        <v>#VALUE!</v>
      </c>
      <c r="S68" s="241">
        <v>1.95</v>
      </c>
      <c r="T68" s="241" t="e">
        <f t="shared" ref="T68:T102" si="29">IF(R68&lt;S68,0,R68-S68)</f>
        <v>#VALUE!</v>
      </c>
      <c r="U68" s="242" t="e">
        <f t="shared" si="24"/>
        <v>#VALUE!</v>
      </c>
      <c r="V68" s="156"/>
      <c r="W68" s="156"/>
      <c r="X68" s="1" t="s">
        <v>79</v>
      </c>
      <c r="Y68" s="156">
        <v>7.78</v>
      </c>
      <c r="Z68" s="156">
        <v>6.57</v>
      </c>
      <c r="AA68" s="156">
        <v>7.2</v>
      </c>
      <c r="AD68" s="1" t="s">
        <v>79</v>
      </c>
      <c r="AE68" s="156">
        <v>7.78</v>
      </c>
      <c r="AF68" s="156">
        <v>7.78</v>
      </c>
      <c r="AG68" s="156">
        <v>7.2</v>
      </c>
      <c r="AM68"/>
    </row>
    <row r="69" spans="5:39">
      <c r="E69" s="248" t="s">
        <v>154</v>
      </c>
      <c r="F69" s="248" t="s">
        <v>157</v>
      </c>
      <c r="G69" s="249" t="str">
        <f>'Score Summary'!$E$9</f>
        <v/>
      </c>
      <c r="H69" s="249" t="str">
        <f>'Score Summary'!$E$12</f>
        <v/>
      </c>
      <c r="I69" s="249" t="e">
        <f t="shared" si="25"/>
        <v>#VALUE!</v>
      </c>
      <c r="J69" s="250">
        <v>2.2799999999999998</v>
      </c>
      <c r="K69" s="250" t="e">
        <f t="shared" si="26"/>
        <v>#VALUE!</v>
      </c>
      <c r="L69" s="251" t="e">
        <f t="shared" si="27"/>
        <v>#VALUE!</v>
      </c>
      <c r="M69" s="156"/>
      <c r="N69" s="239" t="s">
        <v>154</v>
      </c>
      <c r="O69" s="239" t="s">
        <v>157</v>
      </c>
      <c r="P69" s="240" t="str">
        <f>'Score Summary'!$E$9</f>
        <v/>
      </c>
      <c r="Q69" s="240" t="str">
        <f>'Score Summary'!$E$12</f>
        <v/>
      </c>
      <c r="R69" s="240" t="e">
        <f t="shared" si="28"/>
        <v>#VALUE!</v>
      </c>
      <c r="S69" s="241">
        <v>1.95</v>
      </c>
      <c r="T69" s="241" t="e">
        <f t="shared" si="29"/>
        <v>#VALUE!</v>
      </c>
      <c r="U69" s="242" t="e">
        <f t="shared" si="24"/>
        <v>#VALUE!</v>
      </c>
      <c r="V69" s="156"/>
      <c r="W69" s="156"/>
      <c r="X69" s="1" t="s">
        <v>80</v>
      </c>
      <c r="Y69" s="156">
        <v>5.09</v>
      </c>
      <c r="Z69" s="156">
        <v>4.16</v>
      </c>
      <c r="AA69" s="156">
        <v>5.09</v>
      </c>
      <c r="AD69" s="1" t="s">
        <v>80</v>
      </c>
      <c r="AE69" s="156">
        <v>7.78</v>
      </c>
      <c r="AF69" s="156">
        <v>7.78</v>
      </c>
      <c r="AG69" s="156">
        <v>8.32</v>
      </c>
      <c r="AM69"/>
    </row>
    <row r="70" spans="5:39">
      <c r="E70" s="248" t="s">
        <v>154</v>
      </c>
      <c r="F70" s="248" t="s">
        <v>158</v>
      </c>
      <c r="G70" s="249" t="str">
        <f>'Score Summary'!$E$9</f>
        <v/>
      </c>
      <c r="H70" s="249" t="str">
        <f>'Score Summary'!$E$13</f>
        <v/>
      </c>
      <c r="I70" s="249" t="e">
        <f t="shared" si="25"/>
        <v>#VALUE!</v>
      </c>
      <c r="J70" s="250">
        <v>2.2799999999999998</v>
      </c>
      <c r="K70" s="250" t="e">
        <f t="shared" si="26"/>
        <v>#VALUE!</v>
      </c>
      <c r="L70" s="251" t="e">
        <f t="shared" si="27"/>
        <v>#VALUE!</v>
      </c>
      <c r="M70" s="156"/>
      <c r="N70" s="239" t="s">
        <v>154</v>
      </c>
      <c r="O70" s="239" t="s">
        <v>181</v>
      </c>
      <c r="P70" s="240" t="str">
        <f>'Score Summary'!$E$9</f>
        <v/>
      </c>
      <c r="Q70" s="240" t="str">
        <f>'Score Summary'!$E$13</f>
        <v/>
      </c>
      <c r="R70" s="240" t="e">
        <f t="shared" si="28"/>
        <v>#VALUE!</v>
      </c>
      <c r="S70" s="241">
        <v>2.12</v>
      </c>
      <c r="T70" s="241" t="e">
        <f t="shared" si="29"/>
        <v>#VALUE!</v>
      </c>
      <c r="U70" s="242" t="e">
        <f t="shared" si="24"/>
        <v>#VALUE!</v>
      </c>
      <c r="V70" s="156"/>
      <c r="W70" s="156"/>
      <c r="X70" s="1" t="s">
        <v>81</v>
      </c>
      <c r="Y70" s="156">
        <v>9.75</v>
      </c>
      <c r="Z70" s="156">
        <v>9.3000000000000007</v>
      </c>
      <c r="AA70" s="156">
        <v>9.75</v>
      </c>
      <c r="AD70" s="1" t="s">
        <v>81</v>
      </c>
      <c r="AE70" s="156">
        <v>6.57</v>
      </c>
      <c r="AF70" s="156">
        <v>6.57</v>
      </c>
      <c r="AG70" s="156">
        <v>7.2</v>
      </c>
      <c r="AM70"/>
    </row>
    <row r="71" spans="5:39">
      <c r="E71" s="248" t="s">
        <v>154</v>
      </c>
      <c r="F71" s="248" t="s">
        <v>16</v>
      </c>
      <c r="G71" s="249" t="str">
        <f>'Score Summary'!$E$9</f>
        <v/>
      </c>
      <c r="H71" s="249" t="str">
        <f>'Score Summary'!$E$14</f>
        <v/>
      </c>
      <c r="I71" s="249" t="e">
        <f t="shared" si="25"/>
        <v>#VALUE!</v>
      </c>
      <c r="J71" s="250">
        <v>2.2000000000000002</v>
      </c>
      <c r="K71" s="250" t="e">
        <f t="shared" si="26"/>
        <v>#VALUE!</v>
      </c>
      <c r="L71" s="251" t="e">
        <f t="shared" si="27"/>
        <v>#VALUE!</v>
      </c>
      <c r="M71" s="156"/>
      <c r="N71" s="239" t="s">
        <v>154</v>
      </c>
      <c r="O71" s="239" t="s">
        <v>16</v>
      </c>
      <c r="P71" s="240" t="str">
        <f>'Score Summary'!$E$9</f>
        <v/>
      </c>
      <c r="Q71" s="240" t="str">
        <f>'Score Summary'!$E$14</f>
        <v/>
      </c>
      <c r="R71" s="240" t="e">
        <f t="shared" si="28"/>
        <v>#VALUE!</v>
      </c>
      <c r="S71" s="241">
        <v>1.86</v>
      </c>
      <c r="T71" s="241" t="e">
        <f t="shared" si="29"/>
        <v>#VALUE!</v>
      </c>
      <c r="U71" s="242" t="e">
        <f t="shared" si="24"/>
        <v>#VALUE!</v>
      </c>
      <c r="V71" s="156"/>
      <c r="W71" s="156"/>
      <c r="X71" s="1" t="s">
        <v>82</v>
      </c>
      <c r="Y71" s="156">
        <v>8.32</v>
      </c>
      <c r="Z71" s="156">
        <v>7.2</v>
      </c>
      <c r="AA71" s="156">
        <v>7.2</v>
      </c>
      <c r="AD71" s="1" t="s">
        <v>82</v>
      </c>
      <c r="AE71" s="156">
        <v>4.16</v>
      </c>
      <c r="AF71" s="156">
        <v>4.16</v>
      </c>
      <c r="AG71" s="156">
        <v>4.16</v>
      </c>
      <c r="AM71"/>
    </row>
    <row r="72" spans="5:39">
      <c r="E72" s="248" t="s">
        <v>154</v>
      </c>
      <c r="F72" s="248" t="s">
        <v>159</v>
      </c>
      <c r="G72" s="249" t="str">
        <f>'Score Summary'!$E$9</f>
        <v/>
      </c>
      <c r="H72" s="249" t="str">
        <f>'Score Summary'!$E$15</f>
        <v/>
      </c>
      <c r="I72" s="249" t="e">
        <f t="shared" si="25"/>
        <v>#VALUE!</v>
      </c>
      <c r="J72" s="250">
        <v>2.2799999999999998</v>
      </c>
      <c r="K72" s="250" t="e">
        <f t="shared" si="26"/>
        <v>#VALUE!</v>
      </c>
      <c r="L72" s="251" t="e">
        <f t="shared" si="27"/>
        <v>#VALUE!</v>
      </c>
      <c r="M72" s="156"/>
      <c r="N72" s="239" t="s">
        <v>154</v>
      </c>
      <c r="O72" s="239" t="s">
        <v>159</v>
      </c>
      <c r="P72" s="240" t="str">
        <f>'Score Summary'!$E$9</f>
        <v/>
      </c>
      <c r="Q72" s="240" t="str">
        <f>'Score Summary'!$E$15</f>
        <v/>
      </c>
      <c r="R72" s="240" t="e">
        <f t="shared" si="28"/>
        <v>#VALUE!</v>
      </c>
      <c r="S72" s="241">
        <v>2.12</v>
      </c>
      <c r="T72" s="241" t="e">
        <f t="shared" si="29"/>
        <v>#VALUE!</v>
      </c>
      <c r="U72" s="242" t="e">
        <f t="shared" si="24"/>
        <v>#VALUE!</v>
      </c>
      <c r="V72" s="156"/>
      <c r="W72" s="156"/>
      <c r="AM72"/>
    </row>
    <row r="73" spans="5:39">
      <c r="E73" s="248" t="s">
        <v>154</v>
      </c>
      <c r="F73" s="248" t="s">
        <v>160</v>
      </c>
      <c r="G73" s="249" t="str">
        <f>'Score Summary'!$E$9</f>
        <v/>
      </c>
      <c r="H73" s="249" t="str">
        <f>'Score Summary'!$E$16</f>
        <v/>
      </c>
      <c r="I73" s="249" t="e">
        <f t="shared" si="25"/>
        <v>#VALUE!</v>
      </c>
      <c r="J73" s="250">
        <v>2.12</v>
      </c>
      <c r="K73" s="250" t="e">
        <f t="shared" si="26"/>
        <v>#VALUE!</v>
      </c>
      <c r="L73" s="251" t="e">
        <f t="shared" si="27"/>
        <v>#VALUE!</v>
      </c>
      <c r="M73" s="156"/>
      <c r="N73" s="239" t="s">
        <v>154</v>
      </c>
      <c r="O73" s="239" t="s">
        <v>160</v>
      </c>
      <c r="P73" s="240" t="str">
        <f>'Score Summary'!$E$9</f>
        <v/>
      </c>
      <c r="Q73" s="240" t="str">
        <f>'Score Summary'!$E$16</f>
        <v/>
      </c>
      <c r="R73" s="240" t="e">
        <f t="shared" si="28"/>
        <v>#VALUE!</v>
      </c>
      <c r="S73" s="241">
        <v>1.76</v>
      </c>
      <c r="T73" s="241" t="e">
        <f t="shared" si="29"/>
        <v>#VALUE!</v>
      </c>
      <c r="U73" s="242" t="e">
        <f t="shared" si="24"/>
        <v>#VALUE!</v>
      </c>
      <c r="V73" s="156"/>
      <c r="W73" s="156"/>
      <c r="X73" s="167" t="s">
        <v>182</v>
      </c>
      <c r="Y73" s="4"/>
      <c r="Z73" s="4"/>
      <c r="AA73" s="4"/>
      <c r="AB73" s="4"/>
      <c r="AC73" s="4"/>
      <c r="AD73" s="167" t="s">
        <v>183</v>
      </c>
      <c r="AE73" s="4"/>
      <c r="AF73" s="4"/>
      <c r="AG73" s="4"/>
      <c r="AH73" s="4"/>
      <c r="AI73" s="4"/>
      <c r="AM73"/>
    </row>
    <row r="74" spans="5:39">
      <c r="E74" s="248" t="s">
        <v>154</v>
      </c>
      <c r="F74" s="248" t="s">
        <v>19</v>
      </c>
      <c r="G74" s="249" t="str">
        <f>'Score Summary'!$E$9</f>
        <v/>
      </c>
      <c r="H74" s="249" t="str">
        <f>'Score Summary'!$E$17</f>
        <v/>
      </c>
      <c r="I74" s="249" t="e">
        <f t="shared" si="25"/>
        <v>#VALUE!</v>
      </c>
      <c r="J74" s="250">
        <v>2.2000000000000002</v>
      </c>
      <c r="K74" s="250" t="e">
        <f t="shared" si="26"/>
        <v>#VALUE!</v>
      </c>
      <c r="L74" s="251" t="e">
        <f t="shared" si="27"/>
        <v>#VALUE!</v>
      </c>
      <c r="M74" s="156"/>
      <c r="N74" s="239" t="s">
        <v>154</v>
      </c>
      <c r="O74" s="239" t="s">
        <v>19</v>
      </c>
      <c r="P74" s="240" t="str">
        <f>'Score Summary'!$E$9</f>
        <v/>
      </c>
      <c r="Q74" s="240" t="str">
        <f>'Score Summary'!$E$17</f>
        <v/>
      </c>
      <c r="R74" s="240" t="e">
        <f t="shared" si="28"/>
        <v>#VALUE!</v>
      </c>
      <c r="S74" s="241">
        <v>1.76</v>
      </c>
      <c r="T74" s="241" t="e">
        <f t="shared" si="29"/>
        <v>#VALUE!</v>
      </c>
      <c r="U74" s="242" t="e">
        <f t="shared" si="24"/>
        <v>#VALUE!</v>
      </c>
      <c r="V74" s="156"/>
      <c r="W74" s="156"/>
      <c r="X74" s="1" t="s">
        <v>184</v>
      </c>
      <c r="Y74" s="1">
        <f>Calc2!$D$12</f>
        <v>41</v>
      </c>
      <c r="Z74" s="1" t="s">
        <v>185</v>
      </c>
      <c r="AA74" s="1">
        <f>Calc2!$D$13</f>
        <v>49</v>
      </c>
      <c r="AB74" s="1" t="s">
        <v>186</v>
      </c>
      <c r="AC74" s="1">
        <f>Calc2!$D$15</f>
        <v>40</v>
      </c>
      <c r="AD74" s="1" t="s">
        <v>184</v>
      </c>
      <c r="AE74" s="1">
        <f>Calc2!$D$12</f>
        <v>41</v>
      </c>
      <c r="AF74" s="1" t="s">
        <v>185</v>
      </c>
      <c r="AG74" s="1">
        <f>Calc2!$D$13</f>
        <v>49</v>
      </c>
      <c r="AH74" s="1" t="s">
        <v>186</v>
      </c>
      <c r="AI74" s="1">
        <f>Calc2!$D$15</f>
        <v>40</v>
      </c>
      <c r="AM74"/>
    </row>
    <row r="75" spans="5:39">
      <c r="E75" s="248" t="s">
        <v>155</v>
      </c>
      <c r="F75" s="248" t="s">
        <v>156</v>
      </c>
      <c r="G75" s="249" t="str">
        <f>'Score Summary'!$E$10</f>
        <v/>
      </c>
      <c r="H75" s="249" t="str">
        <f>'Score Summary'!$E$11</f>
        <v/>
      </c>
      <c r="I75" s="249" t="e">
        <f t="shared" ref="I75:I102" si="30">ABS(G75-H75)</f>
        <v>#VALUE!</v>
      </c>
      <c r="J75" s="250">
        <v>2.2000000000000002</v>
      </c>
      <c r="K75" s="250" t="e">
        <f t="shared" ref="K75:K102" si="31">IF(I75&lt;J75,0,I75-J75)</f>
        <v>#VALUE!</v>
      </c>
      <c r="L75" s="251" t="e">
        <f t="shared" si="27"/>
        <v>#VALUE!</v>
      </c>
      <c r="M75" s="156"/>
      <c r="N75" s="239" t="s">
        <v>155</v>
      </c>
      <c r="O75" s="239" t="s">
        <v>156</v>
      </c>
      <c r="P75" s="240" t="str">
        <f>'Score Summary'!$E$10</f>
        <v/>
      </c>
      <c r="Q75" s="240" t="str">
        <f>'Score Summary'!$E$11</f>
        <v/>
      </c>
      <c r="R75" s="240" t="e">
        <f t="shared" ref="R75:R102" si="32">ABS(P75-Q75)</f>
        <v>#VALUE!</v>
      </c>
      <c r="S75" s="241">
        <v>2.04</v>
      </c>
      <c r="T75" s="241" t="e">
        <f t="shared" si="29"/>
        <v>#VALUE!</v>
      </c>
      <c r="U75" s="242" t="e">
        <f t="shared" si="24"/>
        <v>#VALUE!</v>
      </c>
      <c r="V75" s="156"/>
      <c r="W75" s="156"/>
      <c r="Y75" s="1" t="s">
        <v>187</v>
      </c>
      <c r="Z75" s="158">
        <v>0.15</v>
      </c>
      <c r="AA75" s="158">
        <v>0.05</v>
      </c>
      <c r="AB75" s="1" t="s">
        <v>122</v>
      </c>
      <c r="AE75" s="1" t="s">
        <v>187</v>
      </c>
      <c r="AF75" s="158">
        <v>0.15</v>
      </c>
      <c r="AG75" s="158">
        <v>0.05</v>
      </c>
      <c r="AH75" s="1" t="s">
        <v>122</v>
      </c>
      <c r="AM75"/>
    </row>
    <row r="76" spans="5:39">
      <c r="E76" s="248" t="s">
        <v>155</v>
      </c>
      <c r="F76" s="248" t="s">
        <v>157</v>
      </c>
      <c r="G76" s="249" t="str">
        <f>'Score Summary'!$E$10</f>
        <v/>
      </c>
      <c r="H76" s="249" t="str">
        <f>'Score Summary'!$E$12</f>
        <v/>
      </c>
      <c r="I76" s="249" t="e">
        <f t="shared" si="30"/>
        <v>#VALUE!</v>
      </c>
      <c r="J76" s="250">
        <v>2.2000000000000002</v>
      </c>
      <c r="K76" s="250" t="e">
        <f t="shared" si="31"/>
        <v>#VALUE!</v>
      </c>
      <c r="L76" s="251" t="e">
        <f t="shared" si="27"/>
        <v>#VALUE!</v>
      </c>
      <c r="M76" s="156"/>
      <c r="N76" s="239" t="s">
        <v>155</v>
      </c>
      <c r="O76" s="239" t="s">
        <v>157</v>
      </c>
      <c r="P76" s="240" t="str">
        <f>'Score Summary'!$E$10</f>
        <v/>
      </c>
      <c r="Q76" s="240" t="str">
        <f>'Score Summary'!$E$12</f>
        <v/>
      </c>
      <c r="R76" s="240" t="e">
        <f t="shared" si="32"/>
        <v>#VALUE!</v>
      </c>
      <c r="S76" s="241">
        <v>2.04</v>
      </c>
      <c r="T76" s="241" t="e">
        <f t="shared" si="29"/>
        <v>#VALUE!</v>
      </c>
      <c r="U76" s="242" t="e">
        <f t="shared" si="24"/>
        <v>#VALUE!</v>
      </c>
      <c r="V76" s="156"/>
      <c r="W76" s="156"/>
      <c r="X76" s="1" t="s">
        <v>188</v>
      </c>
      <c r="Y76" s="1">
        <f>ABS(Y74-AA74)</f>
        <v>8</v>
      </c>
      <c r="Z76" s="1">
        <v>9</v>
      </c>
      <c r="AA76" s="1">
        <v>15</v>
      </c>
      <c r="AB76" s="1" t="str">
        <f>IF(Y76&gt;=AA76,"≤5%",IF(Y76&gt;=Z76,"≤15%","&gt;15%"))</f>
        <v>&gt;15%</v>
      </c>
      <c r="AD76" s="1" t="s">
        <v>188</v>
      </c>
      <c r="AE76" s="1">
        <f>ABS(AE74-AG74)</f>
        <v>8</v>
      </c>
      <c r="AF76" s="1">
        <f>IF(AE74&gt;AG74,9,10)</f>
        <v>10</v>
      </c>
      <c r="AG76" s="1">
        <f>IF(AE74&gt;AG74,15,17)</f>
        <v>17</v>
      </c>
      <c r="AH76" s="1" t="str">
        <f>IF(AE76&gt;=AG76,"≤5%",IF(AE76&gt;=AF76,"≤15%","&gt;15%"))</f>
        <v>&gt;15%</v>
      </c>
      <c r="AM76"/>
    </row>
    <row r="77" spans="5:39">
      <c r="E77" s="248" t="s">
        <v>155</v>
      </c>
      <c r="F77" s="248" t="s">
        <v>158</v>
      </c>
      <c r="G77" s="249" t="str">
        <f>'Score Summary'!$E$10</f>
        <v/>
      </c>
      <c r="H77" s="249" t="str">
        <f>'Score Summary'!$E$13</f>
        <v/>
      </c>
      <c r="I77" s="249" t="e">
        <f t="shared" si="30"/>
        <v>#VALUE!</v>
      </c>
      <c r="J77" s="250">
        <v>2.2000000000000002</v>
      </c>
      <c r="K77" s="250" t="e">
        <f t="shared" si="31"/>
        <v>#VALUE!</v>
      </c>
      <c r="L77" s="251" t="e">
        <f t="shared" si="27"/>
        <v>#VALUE!</v>
      </c>
      <c r="M77" s="156"/>
      <c r="N77" s="239" t="s">
        <v>155</v>
      </c>
      <c r="O77" s="239" t="s">
        <v>158</v>
      </c>
      <c r="P77" s="240" t="str">
        <f>'Score Summary'!$E$10</f>
        <v/>
      </c>
      <c r="Q77" s="240" t="str">
        <f>'Score Summary'!$E$13</f>
        <v/>
      </c>
      <c r="R77" s="240" t="e">
        <f t="shared" si="32"/>
        <v>#VALUE!</v>
      </c>
      <c r="S77" s="241">
        <v>2.2000000000000002</v>
      </c>
      <c r="T77" s="241" t="e">
        <f t="shared" si="29"/>
        <v>#VALUE!</v>
      </c>
      <c r="U77" s="242" t="e">
        <f t="shared" si="24"/>
        <v>#VALUE!</v>
      </c>
      <c r="V77" s="156"/>
      <c r="W77" s="156"/>
      <c r="X77" s="1" t="s">
        <v>189</v>
      </c>
      <c r="Y77" s="1">
        <f>ABS(Y74-AC74)</f>
        <v>1</v>
      </c>
      <c r="Z77" s="1">
        <f>IF(Y74&gt;AC74,9,7)</f>
        <v>9</v>
      </c>
      <c r="AA77" s="1">
        <f>IF(Y74&gt;AC74,13,12)</f>
        <v>13</v>
      </c>
      <c r="AB77" s="1" t="str">
        <f>IF(Y77&gt;=AA77,"≤5%",IF(Y77&gt;=Z77,"≤15%","&gt;15%"))</f>
        <v>&gt;15%</v>
      </c>
      <c r="AD77" s="1" t="s">
        <v>189</v>
      </c>
      <c r="AE77" s="1">
        <f>ABS(AE74-AI74)</f>
        <v>1</v>
      </c>
      <c r="AF77" s="1">
        <f>IF(AE74&gt;AI74,9,8)</f>
        <v>9</v>
      </c>
      <c r="AG77" s="1">
        <f>IF(AE74&gt;AI74,16,13)</f>
        <v>16</v>
      </c>
      <c r="AH77" s="1" t="str">
        <f>IF(AE77&gt;=AG77,"≤5%",IF(AE77&gt;=AF77,"≤15%","&gt;15%"))</f>
        <v>&gt;15%</v>
      </c>
      <c r="AM77"/>
    </row>
    <row r="78" spans="5:39">
      <c r="E78" s="248" t="s">
        <v>155</v>
      </c>
      <c r="F78" s="248" t="s">
        <v>16</v>
      </c>
      <c r="G78" s="249" t="str">
        <f>'Score Summary'!$E$10</f>
        <v/>
      </c>
      <c r="H78" s="249" t="str">
        <f>'Score Summary'!$E$14</f>
        <v/>
      </c>
      <c r="I78" s="249" t="e">
        <f t="shared" si="30"/>
        <v>#VALUE!</v>
      </c>
      <c r="J78" s="250">
        <v>2.12</v>
      </c>
      <c r="K78" s="250" t="e">
        <f t="shared" si="31"/>
        <v>#VALUE!</v>
      </c>
      <c r="L78" s="251" t="e">
        <f t="shared" si="27"/>
        <v>#VALUE!</v>
      </c>
      <c r="M78" s="156"/>
      <c r="N78" s="239" t="s">
        <v>155</v>
      </c>
      <c r="O78" s="239" t="s">
        <v>16</v>
      </c>
      <c r="P78" s="240" t="str">
        <f>'Score Summary'!$E$10</f>
        <v/>
      </c>
      <c r="Q78" s="240" t="str">
        <f>'Score Summary'!$E$14</f>
        <v/>
      </c>
      <c r="R78" s="240" t="e">
        <f t="shared" si="32"/>
        <v>#VALUE!</v>
      </c>
      <c r="S78" s="241">
        <v>1.95</v>
      </c>
      <c r="T78" s="241" t="e">
        <f t="shared" si="29"/>
        <v>#VALUE!</v>
      </c>
      <c r="U78" s="242" t="e">
        <f t="shared" si="24"/>
        <v>#VALUE!</v>
      </c>
      <c r="V78" s="156"/>
      <c r="W78" s="156"/>
      <c r="X78" s="1" t="s">
        <v>190</v>
      </c>
      <c r="Y78" s="1">
        <f>ABS(AA74-AC74)</f>
        <v>9</v>
      </c>
      <c r="Z78" s="1">
        <f>IF(AA74&gt;AC74,9,8)</f>
        <v>9</v>
      </c>
      <c r="AA78" s="1">
        <v>15</v>
      </c>
      <c r="AB78" s="1" t="str">
        <f>IF(Y78&gt;=AA78,"≤5%",IF(Y78&gt;=Z78,"≤15%","&gt;15%"))</f>
        <v>≤15%</v>
      </c>
      <c r="AD78" s="1" t="s">
        <v>190</v>
      </c>
      <c r="AE78" s="1">
        <f>ABS(AG74-AI74)</f>
        <v>9</v>
      </c>
      <c r="AF78" s="1">
        <f>IF(AG74&gt;AI74,10,8)</f>
        <v>10</v>
      </c>
      <c r="AG78" s="1">
        <f>IF(AG74&gt;AI74,17,16)</f>
        <v>17</v>
      </c>
      <c r="AH78" s="1" t="str">
        <f>IF(AE78&gt;=AG78,"≤5%",IF(AE78&gt;=AF78,"≤15%","&gt;15%"))</f>
        <v>&gt;15%</v>
      </c>
      <c r="AM78"/>
    </row>
    <row r="79" spans="5:39">
      <c r="E79" s="248" t="s">
        <v>155</v>
      </c>
      <c r="F79" s="248" t="s">
        <v>159</v>
      </c>
      <c r="G79" s="249" t="str">
        <f>'Score Summary'!$E$10</f>
        <v/>
      </c>
      <c r="H79" s="249" t="str">
        <f>'Score Summary'!$E$15</f>
        <v/>
      </c>
      <c r="I79" s="249" t="e">
        <f t="shared" si="30"/>
        <v>#VALUE!</v>
      </c>
      <c r="J79" s="250">
        <v>2.2000000000000002</v>
      </c>
      <c r="K79" s="250" t="e">
        <f t="shared" si="31"/>
        <v>#VALUE!</v>
      </c>
      <c r="L79" s="251" t="e">
        <f t="shared" si="27"/>
        <v>#VALUE!</v>
      </c>
      <c r="M79" s="156"/>
      <c r="N79" s="239" t="s">
        <v>155</v>
      </c>
      <c r="O79" s="239" t="s">
        <v>159</v>
      </c>
      <c r="P79" s="240" t="str">
        <f>'Score Summary'!$E$10</f>
        <v/>
      </c>
      <c r="Q79" s="240" t="str">
        <f>'Score Summary'!$E$15</f>
        <v/>
      </c>
      <c r="R79" s="240" t="e">
        <f t="shared" si="32"/>
        <v>#VALUE!</v>
      </c>
      <c r="S79" s="241">
        <v>2.2000000000000002</v>
      </c>
      <c r="T79" s="241" t="e">
        <f t="shared" si="29"/>
        <v>#VALUE!</v>
      </c>
      <c r="U79" s="242" t="e">
        <f t="shared" si="24"/>
        <v>#VALUE!</v>
      </c>
      <c r="V79" s="156"/>
      <c r="W79" s="156"/>
      <c r="AK79"/>
      <c r="AL79"/>
      <c r="AM79"/>
    </row>
    <row r="80" spans="5:39">
      <c r="E80" s="248" t="s">
        <v>155</v>
      </c>
      <c r="F80" s="248" t="s">
        <v>160</v>
      </c>
      <c r="G80" s="249" t="str">
        <f>'Score Summary'!$E$10</f>
        <v/>
      </c>
      <c r="H80" s="249" t="str">
        <f>'Score Summary'!$E$16</f>
        <v/>
      </c>
      <c r="I80" s="249" t="e">
        <f t="shared" si="30"/>
        <v>#VALUE!</v>
      </c>
      <c r="J80" s="250">
        <v>2.04</v>
      </c>
      <c r="K80" s="250" t="e">
        <f t="shared" si="31"/>
        <v>#VALUE!</v>
      </c>
      <c r="L80" s="251" t="e">
        <f t="shared" si="27"/>
        <v>#VALUE!</v>
      </c>
      <c r="M80" s="156"/>
      <c r="N80" s="239" t="s">
        <v>155</v>
      </c>
      <c r="O80" s="239" t="s">
        <v>160</v>
      </c>
      <c r="P80" s="240" t="str">
        <f>'Score Summary'!$E$10</f>
        <v/>
      </c>
      <c r="Q80" s="240" t="str">
        <f>'Score Summary'!$E$16</f>
        <v/>
      </c>
      <c r="R80" s="240" t="e">
        <f t="shared" si="32"/>
        <v>#VALUE!</v>
      </c>
      <c r="S80" s="241">
        <v>1.86</v>
      </c>
      <c r="T80" s="241" t="e">
        <f t="shared" si="29"/>
        <v>#VALUE!</v>
      </c>
      <c r="U80" s="242" t="e">
        <f t="shared" si="24"/>
        <v>#VALUE!</v>
      </c>
      <c r="V80" s="156"/>
      <c r="W80" s="156"/>
      <c r="AK80"/>
      <c r="AL80"/>
      <c r="AM80"/>
    </row>
    <row r="81" spans="5:39">
      <c r="E81" s="248" t="s">
        <v>155</v>
      </c>
      <c r="F81" s="248" t="s">
        <v>19</v>
      </c>
      <c r="G81" s="249" t="str">
        <f>'Score Summary'!$E$10</f>
        <v/>
      </c>
      <c r="H81" s="249" t="str">
        <f>'Score Summary'!$E$17</f>
        <v/>
      </c>
      <c r="I81" s="249" t="e">
        <f t="shared" si="30"/>
        <v>#VALUE!</v>
      </c>
      <c r="J81" s="250">
        <v>2.12</v>
      </c>
      <c r="K81" s="250" t="e">
        <f t="shared" si="31"/>
        <v>#VALUE!</v>
      </c>
      <c r="L81" s="251" t="e">
        <f t="shared" si="27"/>
        <v>#VALUE!</v>
      </c>
      <c r="M81" s="156"/>
      <c r="N81" s="239" t="s">
        <v>155</v>
      </c>
      <c r="O81" s="239" t="s">
        <v>19</v>
      </c>
      <c r="P81" s="240" t="str">
        <f>'Score Summary'!$E$10</f>
        <v/>
      </c>
      <c r="Q81" s="240" t="str">
        <f>'Score Summary'!$E$17</f>
        <v/>
      </c>
      <c r="R81" s="240" t="e">
        <f t="shared" si="32"/>
        <v>#VALUE!</v>
      </c>
      <c r="S81" s="241">
        <v>1.86</v>
      </c>
      <c r="T81" s="241" t="e">
        <f t="shared" si="29"/>
        <v>#VALUE!</v>
      </c>
      <c r="U81" s="242" t="e">
        <f t="shared" si="24"/>
        <v>#VALUE!</v>
      </c>
      <c r="V81" s="156"/>
      <c r="W81" s="156"/>
      <c r="X81"/>
      <c r="Y81"/>
      <c r="Z81"/>
      <c r="AA81"/>
      <c r="AB81"/>
      <c r="AC81"/>
      <c r="AD81"/>
      <c r="AE81"/>
      <c r="AF81"/>
      <c r="AG81"/>
      <c r="AH81"/>
      <c r="AI81"/>
      <c r="AK81"/>
      <c r="AL81"/>
      <c r="AM81"/>
    </row>
    <row r="82" spans="5:39">
      <c r="E82" s="248" t="s">
        <v>156</v>
      </c>
      <c r="F82" s="248" t="s">
        <v>157</v>
      </c>
      <c r="G82" s="249" t="str">
        <f>'Score Summary'!$E$11</f>
        <v/>
      </c>
      <c r="H82" s="249" t="str">
        <f>'Score Summary'!$E$12</f>
        <v/>
      </c>
      <c r="I82" s="249" t="e">
        <f t="shared" si="30"/>
        <v>#VALUE!</v>
      </c>
      <c r="J82" s="250">
        <v>2.2000000000000002</v>
      </c>
      <c r="K82" s="250" t="e">
        <f t="shared" si="31"/>
        <v>#VALUE!</v>
      </c>
      <c r="L82" s="251" t="e">
        <f t="shared" si="27"/>
        <v>#VALUE!</v>
      </c>
      <c r="M82" s="156"/>
      <c r="N82" s="239" t="s">
        <v>156</v>
      </c>
      <c r="O82" s="239" t="s">
        <v>157</v>
      </c>
      <c r="P82" s="240" t="str">
        <f>'Score Summary'!$E$11</f>
        <v/>
      </c>
      <c r="Q82" s="240" t="str">
        <f>'Score Summary'!$E$12</f>
        <v/>
      </c>
      <c r="R82" s="240" t="e">
        <f t="shared" si="32"/>
        <v>#VALUE!</v>
      </c>
      <c r="S82" s="241">
        <v>2.04</v>
      </c>
      <c r="T82" s="241" t="e">
        <f t="shared" si="29"/>
        <v>#VALUE!</v>
      </c>
      <c r="U82" s="242" t="e">
        <f t="shared" si="24"/>
        <v>#VALUE!</v>
      </c>
      <c r="V82" s="156"/>
      <c r="W82" s="156"/>
      <c r="X82"/>
      <c r="Y82"/>
      <c r="Z82"/>
      <c r="AA82"/>
      <c r="AB82"/>
      <c r="AC82"/>
      <c r="AD82"/>
      <c r="AE82"/>
      <c r="AF82"/>
      <c r="AG82"/>
      <c r="AH82"/>
      <c r="AI82"/>
      <c r="AK82"/>
      <c r="AL82"/>
      <c r="AM82"/>
    </row>
    <row r="83" spans="5:39">
      <c r="E83" s="248" t="s">
        <v>156</v>
      </c>
      <c r="F83" s="248" t="s">
        <v>158</v>
      </c>
      <c r="G83" s="249" t="str">
        <f>'Score Summary'!$E$11</f>
        <v/>
      </c>
      <c r="H83" s="249" t="str">
        <f>'Score Summary'!$E$13</f>
        <v/>
      </c>
      <c r="I83" s="249" t="e">
        <f t="shared" si="30"/>
        <v>#VALUE!</v>
      </c>
      <c r="J83" s="250">
        <v>2.2000000000000002</v>
      </c>
      <c r="K83" s="250" t="e">
        <f t="shared" si="31"/>
        <v>#VALUE!</v>
      </c>
      <c r="L83" s="251" t="e">
        <f t="shared" si="27"/>
        <v>#VALUE!</v>
      </c>
      <c r="M83" s="156"/>
      <c r="N83" s="239" t="s">
        <v>156</v>
      </c>
      <c r="O83" s="239" t="s">
        <v>158</v>
      </c>
      <c r="P83" s="240" t="str">
        <f>'Score Summary'!$E$11</f>
        <v/>
      </c>
      <c r="Q83" s="240" t="str">
        <f>'Score Summary'!$E$13</f>
        <v/>
      </c>
      <c r="R83" s="240" t="e">
        <f t="shared" si="32"/>
        <v>#VALUE!</v>
      </c>
      <c r="S83" s="241">
        <v>2.2000000000000002</v>
      </c>
      <c r="T83" s="241" t="e">
        <f t="shared" si="29"/>
        <v>#VALUE!</v>
      </c>
      <c r="U83" s="242" t="e">
        <f t="shared" si="24"/>
        <v>#VALUE!</v>
      </c>
      <c r="V83" s="156"/>
      <c r="W83" s="156"/>
      <c r="X83"/>
      <c r="Y83"/>
      <c r="Z83"/>
      <c r="AA83"/>
      <c r="AB83"/>
      <c r="AC83"/>
      <c r="AD83"/>
      <c r="AE83"/>
      <c r="AF83"/>
      <c r="AG83"/>
      <c r="AH83"/>
      <c r="AI83"/>
      <c r="AK83"/>
      <c r="AL83"/>
      <c r="AM83"/>
    </row>
    <row r="84" spans="5:39">
      <c r="E84" s="248" t="s">
        <v>156</v>
      </c>
      <c r="F84" s="248" t="s">
        <v>16</v>
      </c>
      <c r="G84" s="249" t="str">
        <f>'Score Summary'!$E$11</f>
        <v/>
      </c>
      <c r="H84" s="249" t="str">
        <f>'Score Summary'!$E$14</f>
        <v/>
      </c>
      <c r="I84" s="249" t="e">
        <f t="shared" si="30"/>
        <v>#VALUE!</v>
      </c>
      <c r="J84" s="250">
        <v>2.12</v>
      </c>
      <c r="K84" s="250" t="e">
        <f t="shared" si="31"/>
        <v>#VALUE!</v>
      </c>
      <c r="L84" s="251" t="e">
        <f t="shared" si="27"/>
        <v>#VALUE!</v>
      </c>
      <c r="M84" s="156"/>
      <c r="N84" s="239" t="s">
        <v>156</v>
      </c>
      <c r="O84" s="239" t="s">
        <v>16</v>
      </c>
      <c r="P84" s="240" t="str">
        <f>'Score Summary'!$E$11</f>
        <v/>
      </c>
      <c r="Q84" s="240" t="str">
        <f>'Score Summary'!$E$14</f>
        <v/>
      </c>
      <c r="R84" s="240" t="e">
        <f t="shared" si="32"/>
        <v>#VALUE!</v>
      </c>
      <c r="S84" s="241">
        <v>1.95</v>
      </c>
      <c r="T84" s="241" t="e">
        <f t="shared" si="29"/>
        <v>#VALUE!</v>
      </c>
      <c r="U84" s="242" t="e">
        <f t="shared" si="24"/>
        <v>#VALUE!</v>
      </c>
      <c r="V84" s="156"/>
      <c r="W84" s="156"/>
      <c r="X84"/>
      <c r="Y84"/>
      <c r="Z84"/>
      <c r="AA84"/>
      <c r="AB84"/>
      <c r="AC84"/>
      <c r="AD84"/>
      <c r="AE84"/>
      <c r="AF84"/>
      <c r="AG84"/>
      <c r="AH84"/>
      <c r="AI84"/>
      <c r="AK84"/>
      <c r="AL84"/>
      <c r="AM84"/>
    </row>
    <row r="85" spans="5:39">
      <c r="E85" s="248" t="s">
        <v>156</v>
      </c>
      <c r="F85" s="248" t="s">
        <v>159</v>
      </c>
      <c r="G85" s="249" t="str">
        <f>'Score Summary'!$E$11</f>
        <v/>
      </c>
      <c r="H85" s="249" t="str">
        <f>'Score Summary'!$E$15</f>
        <v/>
      </c>
      <c r="I85" s="249" t="e">
        <f t="shared" si="30"/>
        <v>#VALUE!</v>
      </c>
      <c r="J85" s="250">
        <v>2.2000000000000002</v>
      </c>
      <c r="K85" s="250" t="e">
        <f t="shared" si="31"/>
        <v>#VALUE!</v>
      </c>
      <c r="L85" s="251" t="e">
        <f t="shared" si="27"/>
        <v>#VALUE!</v>
      </c>
      <c r="M85" s="156"/>
      <c r="N85" s="239" t="s">
        <v>156</v>
      </c>
      <c r="O85" s="239" t="s">
        <v>159</v>
      </c>
      <c r="P85" s="240" t="str">
        <f>'Score Summary'!$E$11</f>
        <v/>
      </c>
      <c r="Q85" s="240" t="str">
        <f>'Score Summary'!$E$15</f>
        <v/>
      </c>
      <c r="R85" s="240" t="e">
        <f t="shared" si="32"/>
        <v>#VALUE!</v>
      </c>
      <c r="S85" s="241">
        <v>2.2000000000000002</v>
      </c>
      <c r="T85" s="241" t="e">
        <f t="shared" si="29"/>
        <v>#VALUE!</v>
      </c>
      <c r="U85" s="242" t="e">
        <f t="shared" si="24"/>
        <v>#VALUE!</v>
      </c>
      <c r="V85" s="156"/>
      <c r="W85" s="156"/>
      <c r="X85"/>
      <c r="Y85"/>
      <c r="Z85"/>
      <c r="AA85"/>
      <c r="AB85"/>
      <c r="AC85"/>
      <c r="AD85"/>
      <c r="AE85"/>
      <c r="AF85"/>
      <c r="AG85"/>
      <c r="AH85"/>
      <c r="AI85"/>
      <c r="AK85"/>
      <c r="AL85"/>
      <c r="AM85"/>
    </row>
    <row r="86" spans="5:39">
      <c r="E86" s="248" t="s">
        <v>156</v>
      </c>
      <c r="F86" s="248" t="s">
        <v>160</v>
      </c>
      <c r="G86" s="249" t="str">
        <f>'Score Summary'!$E$11</f>
        <v/>
      </c>
      <c r="H86" s="249" t="str">
        <f>'Score Summary'!$E$16</f>
        <v/>
      </c>
      <c r="I86" s="249" t="e">
        <f t="shared" si="30"/>
        <v>#VALUE!</v>
      </c>
      <c r="J86" s="250">
        <v>2.04</v>
      </c>
      <c r="K86" s="250" t="e">
        <f t="shared" si="31"/>
        <v>#VALUE!</v>
      </c>
      <c r="L86" s="251" t="e">
        <f t="shared" si="27"/>
        <v>#VALUE!</v>
      </c>
      <c r="M86" s="156"/>
      <c r="N86" s="239" t="s">
        <v>156</v>
      </c>
      <c r="O86" s="239" t="s">
        <v>160</v>
      </c>
      <c r="P86" s="240" t="str">
        <f>'Score Summary'!$E$11</f>
        <v/>
      </c>
      <c r="Q86" s="240" t="str">
        <f>'Score Summary'!$E$16</f>
        <v/>
      </c>
      <c r="R86" s="240" t="e">
        <f t="shared" si="32"/>
        <v>#VALUE!</v>
      </c>
      <c r="S86" s="241">
        <v>1.86</v>
      </c>
      <c r="T86" s="241" t="e">
        <f t="shared" si="29"/>
        <v>#VALUE!</v>
      </c>
      <c r="U86" s="242" t="e">
        <f t="shared" si="24"/>
        <v>#VALUE!</v>
      </c>
      <c r="V86" s="156"/>
      <c r="W86" s="156"/>
      <c r="X86"/>
      <c r="Y86"/>
      <c r="Z86"/>
      <c r="AA86"/>
      <c r="AB86"/>
      <c r="AC86"/>
      <c r="AD86"/>
      <c r="AE86"/>
      <c r="AF86"/>
      <c r="AG86"/>
      <c r="AH86"/>
      <c r="AI86"/>
      <c r="AK86"/>
      <c r="AL86"/>
      <c r="AM86"/>
    </row>
    <row r="87" spans="5:39">
      <c r="E87" s="248" t="s">
        <v>156</v>
      </c>
      <c r="F87" s="248" t="s">
        <v>19</v>
      </c>
      <c r="G87" s="249" t="str">
        <f>'Score Summary'!$E$11</f>
        <v/>
      </c>
      <c r="H87" s="249" t="str">
        <f>'Score Summary'!$E$17</f>
        <v/>
      </c>
      <c r="I87" s="249" t="e">
        <f t="shared" si="30"/>
        <v>#VALUE!</v>
      </c>
      <c r="J87" s="250">
        <v>2.12</v>
      </c>
      <c r="K87" s="250" t="e">
        <f t="shared" si="31"/>
        <v>#VALUE!</v>
      </c>
      <c r="L87" s="251" t="e">
        <f t="shared" si="27"/>
        <v>#VALUE!</v>
      </c>
      <c r="M87" s="156"/>
      <c r="N87" s="239" t="s">
        <v>156</v>
      </c>
      <c r="O87" s="239" t="s">
        <v>19</v>
      </c>
      <c r="P87" s="240" t="str">
        <f>'Score Summary'!$E$11</f>
        <v/>
      </c>
      <c r="Q87" s="240" t="str">
        <f>'Score Summary'!$E$17</f>
        <v/>
      </c>
      <c r="R87" s="240" t="e">
        <f t="shared" si="32"/>
        <v>#VALUE!</v>
      </c>
      <c r="S87" s="241">
        <v>1.86</v>
      </c>
      <c r="T87" s="241" t="e">
        <f t="shared" si="29"/>
        <v>#VALUE!</v>
      </c>
      <c r="U87" s="242" t="e">
        <f t="shared" si="24"/>
        <v>#VALUE!</v>
      </c>
      <c r="V87" s="156"/>
      <c r="W87" s="156"/>
      <c r="X87"/>
      <c r="Y87"/>
      <c r="Z87"/>
      <c r="AA87"/>
      <c r="AB87"/>
      <c r="AC87"/>
      <c r="AD87"/>
      <c r="AE87"/>
      <c r="AF87"/>
      <c r="AG87"/>
      <c r="AH87"/>
      <c r="AI87"/>
      <c r="AK87"/>
      <c r="AL87"/>
      <c r="AM87"/>
    </row>
    <row r="88" spans="5:39">
      <c r="E88" s="248" t="s">
        <v>157</v>
      </c>
      <c r="F88" s="248" t="s">
        <v>158</v>
      </c>
      <c r="G88" s="249" t="str">
        <f>'Score Summary'!$E$12</f>
        <v/>
      </c>
      <c r="H88" s="249" t="str">
        <f>'Score Summary'!$E$13</f>
        <v/>
      </c>
      <c r="I88" s="249" t="e">
        <f t="shared" si="30"/>
        <v>#VALUE!</v>
      </c>
      <c r="J88" s="250">
        <v>2.2000000000000002</v>
      </c>
      <c r="K88" s="250" t="e">
        <f t="shared" si="31"/>
        <v>#VALUE!</v>
      </c>
      <c r="L88" s="251" t="e">
        <f t="shared" si="27"/>
        <v>#VALUE!</v>
      </c>
      <c r="M88" s="156"/>
      <c r="N88" s="239" t="s">
        <v>157</v>
      </c>
      <c r="O88" s="239" t="s">
        <v>158</v>
      </c>
      <c r="P88" s="240" t="str">
        <f>'Score Summary'!$E$12</f>
        <v/>
      </c>
      <c r="Q88" s="240" t="str">
        <f>'Score Summary'!$E$13</f>
        <v/>
      </c>
      <c r="R88" s="240" t="e">
        <f t="shared" si="32"/>
        <v>#VALUE!</v>
      </c>
      <c r="S88" s="241">
        <v>2.2000000000000002</v>
      </c>
      <c r="T88" s="241" t="e">
        <f t="shared" si="29"/>
        <v>#VALUE!</v>
      </c>
      <c r="U88" s="242" t="e">
        <f t="shared" si="24"/>
        <v>#VALUE!</v>
      </c>
      <c r="V88" s="156"/>
      <c r="W88" s="156"/>
      <c r="X88"/>
      <c r="Y88"/>
      <c r="Z88"/>
      <c r="AA88"/>
      <c r="AB88"/>
      <c r="AC88"/>
      <c r="AD88"/>
      <c r="AE88"/>
      <c r="AF88"/>
      <c r="AG88"/>
      <c r="AH88"/>
      <c r="AI88"/>
      <c r="AK88"/>
      <c r="AL88"/>
      <c r="AM88"/>
    </row>
    <row r="89" spans="5:39">
      <c r="E89" s="248" t="s">
        <v>157</v>
      </c>
      <c r="F89" s="248" t="s">
        <v>16</v>
      </c>
      <c r="G89" s="249" t="str">
        <f>'Score Summary'!$E$12</f>
        <v/>
      </c>
      <c r="H89" s="249" t="str">
        <f>'Score Summary'!$E$14</f>
        <v/>
      </c>
      <c r="I89" s="249" t="e">
        <f t="shared" si="30"/>
        <v>#VALUE!</v>
      </c>
      <c r="J89" s="250">
        <v>2.12</v>
      </c>
      <c r="K89" s="250" t="e">
        <f t="shared" si="31"/>
        <v>#VALUE!</v>
      </c>
      <c r="L89" s="251" t="e">
        <f t="shared" si="27"/>
        <v>#VALUE!</v>
      </c>
      <c r="M89" s="156"/>
      <c r="N89" s="239" t="s">
        <v>157</v>
      </c>
      <c r="O89" s="239" t="s">
        <v>16</v>
      </c>
      <c r="P89" s="240" t="str">
        <f>'Score Summary'!$E$12</f>
        <v/>
      </c>
      <c r="Q89" s="240" t="str">
        <f>'Score Summary'!$E$14</f>
        <v/>
      </c>
      <c r="R89" s="240" t="e">
        <f t="shared" si="32"/>
        <v>#VALUE!</v>
      </c>
      <c r="S89" s="241">
        <v>1.95</v>
      </c>
      <c r="T89" s="241" t="e">
        <f t="shared" si="29"/>
        <v>#VALUE!</v>
      </c>
      <c r="U89" s="242" t="e">
        <f t="shared" si="24"/>
        <v>#VALUE!</v>
      </c>
      <c r="V89" s="156"/>
      <c r="W89" s="156"/>
      <c r="X89"/>
      <c r="Y89"/>
      <c r="Z89"/>
      <c r="AA89"/>
      <c r="AB89"/>
      <c r="AC89"/>
      <c r="AD89"/>
      <c r="AE89"/>
      <c r="AF89"/>
      <c r="AG89"/>
      <c r="AH89"/>
      <c r="AI89"/>
      <c r="AK89"/>
      <c r="AL89"/>
      <c r="AM89"/>
    </row>
    <row r="90" spans="5:39">
      <c r="E90" s="248" t="s">
        <v>157</v>
      </c>
      <c r="F90" s="248" t="s">
        <v>159</v>
      </c>
      <c r="G90" s="249" t="str">
        <f>'Score Summary'!$E$12</f>
        <v/>
      </c>
      <c r="H90" s="249" t="str">
        <f>'Score Summary'!$E$15</f>
        <v/>
      </c>
      <c r="I90" s="249" t="e">
        <f t="shared" si="30"/>
        <v>#VALUE!</v>
      </c>
      <c r="J90" s="250">
        <v>2.2000000000000002</v>
      </c>
      <c r="K90" s="250" t="e">
        <f t="shared" si="31"/>
        <v>#VALUE!</v>
      </c>
      <c r="L90" s="251" t="e">
        <f t="shared" si="27"/>
        <v>#VALUE!</v>
      </c>
      <c r="M90" s="156"/>
      <c r="N90" s="239" t="s">
        <v>157</v>
      </c>
      <c r="O90" s="239" t="s">
        <v>159</v>
      </c>
      <c r="P90" s="240" t="str">
        <f>'Score Summary'!$E$12</f>
        <v/>
      </c>
      <c r="Q90" s="240" t="str">
        <f>'Score Summary'!$E$15</f>
        <v/>
      </c>
      <c r="R90" s="240" t="e">
        <f t="shared" si="32"/>
        <v>#VALUE!</v>
      </c>
      <c r="S90" s="241">
        <v>2.2000000000000002</v>
      </c>
      <c r="T90" s="241" t="e">
        <f t="shared" si="29"/>
        <v>#VALUE!</v>
      </c>
      <c r="U90" s="242" t="e">
        <f t="shared" si="24"/>
        <v>#VALUE!</v>
      </c>
      <c r="V90" s="156"/>
      <c r="W90" s="156"/>
      <c r="X90"/>
      <c r="Y90"/>
      <c r="Z90"/>
      <c r="AA90"/>
      <c r="AB90"/>
      <c r="AC90"/>
      <c r="AD90"/>
      <c r="AE90"/>
      <c r="AF90"/>
      <c r="AG90"/>
      <c r="AH90"/>
      <c r="AI90"/>
      <c r="AK90"/>
      <c r="AL90"/>
      <c r="AM90"/>
    </row>
    <row r="91" spans="5:39">
      <c r="E91" s="248" t="s">
        <v>157</v>
      </c>
      <c r="F91" s="248" t="s">
        <v>160</v>
      </c>
      <c r="G91" s="249" t="str">
        <f>'Score Summary'!$E$12</f>
        <v/>
      </c>
      <c r="H91" s="249" t="str">
        <f>'Score Summary'!$E$16</f>
        <v/>
      </c>
      <c r="I91" s="249" t="e">
        <f t="shared" si="30"/>
        <v>#VALUE!</v>
      </c>
      <c r="J91" s="250">
        <v>2.04</v>
      </c>
      <c r="K91" s="250" t="e">
        <f t="shared" si="31"/>
        <v>#VALUE!</v>
      </c>
      <c r="L91" s="251" t="e">
        <f t="shared" si="27"/>
        <v>#VALUE!</v>
      </c>
      <c r="M91" s="156"/>
      <c r="N91" s="239" t="s">
        <v>157</v>
      </c>
      <c r="O91" s="239" t="s">
        <v>160</v>
      </c>
      <c r="P91" s="240" t="str">
        <f>'Score Summary'!$E$12</f>
        <v/>
      </c>
      <c r="Q91" s="240" t="str">
        <f>'Score Summary'!$E$16</f>
        <v/>
      </c>
      <c r="R91" s="240" t="e">
        <f t="shared" si="32"/>
        <v>#VALUE!</v>
      </c>
      <c r="S91" s="241">
        <v>1.86</v>
      </c>
      <c r="T91" s="241" t="e">
        <f t="shared" si="29"/>
        <v>#VALUE!</v>
      </c>
      <c r="U91" s="242" t="e">
        <f t="shared" si="24"/>
        <v>#VALUE!</v>
      </c>
      <c r="V91" s="156"/>
      <c r="W91" s="156"/>
      <c r="X91"/>
      <c r="Y91"/>
      <c r="Z91"/>
      <c r="AA91"/>
      <c r="AB91"/>
      <c r="AC91"/>
      <c r="AD91"/>
      <c r="AE91"/>
      <c r="AF91"/>
      <c r="AG91"/>
      <c r="AH91"/>
      <c r="AI91"/>
      <c r="AK91"/>
      <c r="AL91"/>
      <c r="AM91"/>
    </row>
    <row r="92" spans="5:39">
      <c r="E92" s="248" t="s">
        <v>157</v>
      </c>
      <c r="F92" s="248" t="s">
        <v>19</v>
      </c>
      <c r="G92" s="249" t="str">
        <f>'Score Summary'!$E$12</f>
        <v/>
      </c>
      <c r="H92" s="249" t="str">
        <f>'Score Summary'!$E$17</f>
        <v/>
      </c>
      <c r="I92" s="249" t="e">
        <f t="shared" si="30"/>
        <v>#VALUE!</v>
      </c>
      <c r="J92" s="250">
        <v>2.12</v>
      </c>
      <c r="K92" s="250" t="e">
        <f t="shared" si="31"/>
        <v>#VALUE!</v>
      </c>
      <c r="L92" s="251" t="e">
        <f t="shared" si="27"/>
        <v>#VALUE!</v>
      </c>
      <c r="M92" s="156"/>
      <c r="N92" s="239" t="s">
        <v>157</v>
      </c>
      <c r="O92" s="239" t="s">
        <v>19</v>
      </c>
      <c r="P92" s="240" t="str">
        <f>'Score Summary'!$E$12</f>
        <v/>
      </c>
      <c r="Q92" s="240" t="str">
        <f>'Score Summary'!$E$17</f>
        <v/>
      </c>
      <c r="R92" s="240" t="e">
        <f t="shared" si="32"/>
        <v>#VALUE!</v>
      </c>
      <c r="S92" s="241">
        <v>1.86</v>
      </c>
      <c r="T92" s="241" t="e">
        <f t="shared" si="29"/>
        <v>#VALUE!</v>
      </c>
      <c r="U92" s="242" t="e">
        <f t="shared" si="24"/>
        <v>#VALUE!</v>
      </c>
      <c r="V92" s="156"/>
      <c r="W92" s="156"/>
      <c r="X92"/>
      <c r="Y92"/>
      <c r="Z92"/>
      <c r="AA92"/>
      <c r="AB92"/>
      <c r="AC92"/>
      <c r="AD92"/>
      <c r="AE92"/>
      <c r="AF92"/>
      <c r="AG92"/>
      <c r="AH92"/>
      <c r="AI92"/>
      <c r="AK92"/>
      <c r="AL92"/>
      <c r="AM92"/>
    </row>
    <row r="93" spans="5:39">
      <c r="E93" s="248" t="s">
        <v>158</v>
      </c>
      <c r="F93" s="248" t="s">
        <v>16</v>
      </c>
      <c r="G93" s="249" t="str">
        <f>'Score Summary'!$E$13</f>
        <v/>
      </c>
      <c r="H93" s="249" t="str">
        <f>'Score Summary'!$E$14</f>
        <v/>
      </c>
      <c r="I93" s="249" t="e">
        <f t="shared" si="30"/>
        <v>#VALUE!</v>
      </c>
      <c r="J93" s="250">
        <v>2.12</v>
      </c>
      <c r="K93" s="250" t="e">
        <f t="shared" si="31"/>
        <v>#VALUE!</v>
      </c>
      <c r="L93" s="251" t="e">
        <f t="shared" si="27"/>
        <v>#VALUE!</v>
      </c>
      <c r="M93" s="156"/>
      <c r="N93" s="239" t="s">
        <v>158</v>
      </c>
      <c r="O93" s="239" t="s">
        <v>16</v>
      </c>
      <c r="P93" s="240" t="str">
        <f>'Score Summary'!$E$13</f>
        <v/>
      </c>
      <c r="Q93" s="240" t="str">
        <f>'Score Summary'!$E$14</f>
        <v/>
      </c>
      <c r="R93" s="240" t="e">
        <f t="shared" si="32"/>
        <v>#VALUE!</v>
      </c>
      <c r="S93" s="241">
        <v>2.12</v>
      </c>
      <c r="T93" s="241" t="e">
        <f t="shared" si="29"/>
        <v>#VALUE!</v>
      </c>
      <c r="U93" s="242" t="e">
        <f t="shared" si="24"/>
        <v>#VALUE!</v>
      </c>
      <c r="V93" s="156"/>
      <c r="W93" s="156"/>
      <c r="X93"/>
      <c r="Y93"/>
      <c r="Z93"/>
      <c r="AA93"/>
      <c r="AB93"/>
      <c r="AC93"/>
      <c r="AD93"/>
      <c r="AE93"/>
      <c r="AF93"/>
      <c r="AG93"/>
      <c r="AH93"/>
      <c r="AI93"/>
      <c r="AK93"/>
      <c r="AL93"/>
      <c r="AM93"/>
    </row>
    <row r="94" spans="5:39">
      <c r="E94" s="248" t="s">
        <v>158</v>
      </c>
      <c r="F94" s="248" t="s">
        <v>159</v>
      </c>
      <c r="G94" s="249" t="str">
        <f>'Score Summary'!$E$13</f>
        <v/>
      </c>
      <c r="H94" s="249" t="str">
        <f>'Score Summary'!$E$15</f>
        <v/>
      </c>
      <c r="I94" s="249" t="e">
        <f t="shared" si="30"/>
        <v>#VALUE!</v>
      </c>
      <c r="J94" s="250">
        <v>2.2000000000000002</v>
      </c>
      <c r="K94" s="250" t="e">
        <f t="shared" si="31"/>
        <v>#VALUE!</v>
      </c>
      <c r="L94" s="251" t="e">
        <f t="shared" si="27"/>
        <v>#VALUE!</v>
      </c>
      <c r="M94" s="156"/>
      <c r="N94" s="239" t="s">
        <v>158</v>
      </c>
      <c r="O94" s="239" t="s">
        <v>159</v>
      </c>
      <c r="P94" s="240" t="str">
        <f>'Score Summary'!$E$13</f>
        <v/>
      </c>
      <c r="Q94" s="240" t="str">
        <f>'Score Summary'!$E$15</f>
        <v/>
      </c>
      <c r="R94" s="240" t="e">
        <f t="shared" si="32"/>
        <v>#VALUE!</v>
      </c>
      <c r="S94" s="241">
        <v>2.35</v>
      </c>
      <c r="T94" s="241" t="e">
        <f t="shared" si="29"/>
        <v>#VALUE!</v>
      </c>
      <c r="U94" s="242" t="e">
        <f t="shared" si="24"/>
        <v>#VALUE!</v>
      </c>
      <c r="V94" s="156"/>
      <c r="W94" s="156"/>
      <c r="X94"/>
      <c r="Y94"/>
      <c r="Z94"/>
      <c r="AA94"/>
      <c r="AB94"/>
      <c r="AC94"/>
      <c r="AD94"/>
      <c r="AE94"/>
      <c r="AF94"/>
      <c r="AG94"/>
      <c r="AH94"/>
      <c r="AI94"/>
      <c r="AK94"/>
      <c r="AL94"/>
      <c r="AM94"/>
    </row>
    <row r="95" spans="5:39">
      <c r="E95" s="248" t="s">
        <v>158</v>
      </c>
      <c r="F95" s="248" t="s">
        <v>160</v>
      </c>
      <c r="G95" s="249" t="str">
        <f>'Score Summary'!$E$13</f>
        <v/>
      </c>
      <c r="H95" s="249" t="str">
        <f>'Score Summary'!$E$16</f>
        <v/>
      </c>
      <c r="I95" s="249" t="e">
        <f t="shared" si="30"/>
        <v>#VALUE!</v>
      </c>
      <c r="J95" s="250">
        <v>2.04</v>
      </c>
      <c r="K95" s="250" t="e">
        <f t="shared" si="31"/>
        <v>#VALUE!</v>
      </c>
      <c r="L95" s="251" t="e">
        <f t="shared" si="27"/>
        <v>#VALUE!</v>
      </c>
      <c r="M95" s="156"/>
      <c r="N95" s="239" t="s">
        <v>158</v>
      </c>
      <c r="O95" s="239" t="s">
        <v>160</v>
      </c>
      <c r="P95" s="240" t="str">
        <f>'Score Summary'!$E$13</f>
        <v/>
      </c>
      <c r="Q95" s="240" t="str">
        <f>'Score Summary'!$E$16</f>
        <v/>
      </c>
      <c r="R95" s="240" t="e">
        <f t="shared" si="32"/>
        <v>#VALUE!</v>
      </c>
      <c r="S95" s="241">
        <v>2.04</v>
      </c>
      <c r="T95" s="241" t="e">
        <f t="shared" si="29"/>
        <v>#VALUE!</v>
      </c>
      <c r="U95" s="242" t="e">
        <f t="shared" si="24"/>
        <v>#VALUE!</v>
      </c>
      <c r="V95" s="156"/>
      <c r="W95" s="156"/>
      <c r="X95"/>
      <c r="Y95"/>
      <c r="Z95"/>
      <c r="AA95"/>
      <c r="AB95"/>
      <c r="AC95"/>
      <c r="AD95"/>
      <c r="AE95"/>
      <c r="AF95"/>
      <c r="AG95"/>
      <c r="AH95"/>
      <c r="AI95"/>
      <c r="AK95"/>
      <c r="AL95"/>
      <c r="AM95"/>
    </row>
    <row r="96" spans="5:39">
      <c r="E96" s="248" t="s">
        <v>158</v>
      </c>
      <c r="F96" s="248" t="s">
        <v>19</v>
      </c>
      <c r="G96" s="249" t="str">
        <f>'Score Summary'!$E$13</f>
        <v/>
      </c>
      <c r="H96" s="249" t="str">
        <f>'Score Summary'!$E$17</f>
        <v/>
      </c>
      <c r="I96" s="249" t="e">
        <f t="shared" si="30"/>
        <v>#VALUE!</v>
      </c>
      <c r="J96" s="250">
        <v>2.12</v>
      </c>
      <c r="K96" s="250" t="e">
        <f t="shared" si="31"/>
        <v>#VALUE!</v>
      </c>
      <c r="L96" s="251" t="e">
        <f t="shared" si="27"/>
        <v>#VALUE!</v>
      </c>
      <c r="M96" s="156"/>
      <c r="N96" s="239" t="s">
        <v>158</v>
      </c>
      <c r="O96" s="239" t="s">
        <v>19</v>
      </c>
      <c r="P96" s="240" t="str">
        <f>'Score Summary'!$E$13</f>
        <v/>
      </c>
      <c r="Q96" s="240" t="str">
        <f>'Score Summary'!$E$17</f>
        <v/>
      </c>
      <c r="R96" s="240" t="e">
        <f t="shared" si="32"/>
        <v>#VALUE!</v>
      </c>
      <c r="S96" s="241">
        <v>2.04</v>
      </c>
      <c r="T96" s="241" t="e">
        <f t="shared" si="29"/>
        <v>#VALUE!</v>
      </c>
      <c r="U96" s="242" t="e">
        <f t="shared" si="24"/>
        <v>#VALUE!</v>
      </c>
      <c r="V96" s="156"/>
      <c r="W96" s="156"/>
      <c r="X96"/>
      <c r="Y96"/>
      <c r="Z96"/>
      <c r="AA96"/>
      <c r="AB96"/>
      <c r="AC96"/>
      <c r="AD96"/>
      <c r="AE96"/>
      <c r="AF96"/>
      <c r="AG96"/>
      <c r="AH96"/>
      <c r="AI96"/>
      <c r="AK96"/>
      <c r="AL96"/>
      <c r="AM96"/>
    </row>
    <row r="97" spans="5:39">
      <c r="E97" s="248" t="s">
        <v>16</v>
      </c>
      <c r="F97" s="248" t="s">
        <v>159</v>
      </c>
      <c r="G97" s="249" t="str">
        <f>'Score Summary'!$E$14</f>
        <v/>
      </c>
      <c r="H97" s="249" t="str">
        <f>'Score Summary'!$E$15</f>
        <v/>
      </c>
      <c r="I97" s="249" t="e">
        <f t="shared" si="30"/>
        <v>#VALUE!</v>
      </c>
      <c r="J97" s="250">
        <v>2.12</v>
      </c>
      <c r="K97" s="250" t="e">
        <f t="shared" si="31"/>
        <v>#VALUE!</v>
      </c>
      <c r="L97" s="251" t="e">
        <f t="shared" si="27"/>
        <v>#VALUE!</v>
      </c>
      <c r="M97" s="156"/>
      <c r="N97" s="239" t="s">
        <v>16</v>
      </c>
      <c r="O97" s="239" t="s">
        <v>159</v>
      </c>
      <c r="P97" s="240" t="str">
        <f>'Score Summary'!$E$14</f>
        <v/>
      </c>
      <c r="Q97" s="240" t="str">
        <f>'Score Summary'!$E$15</f>
        <v/>
      </c>
      <c r="R97" s="240" t="e">
        <f t="shared" si="32"/>
        <v>#VALUE!</v>
      </c>
      <c r="S97" s="241">
        <v>2.12</v>
      </c>
      <c r="T97" s="241" t="e">
        <f t="shared" si="29"/>
        <v>#VALUE!</v>
      </c>
      <c r="U97" s="242" t="e">
        <f t="shared" si="24"/>
        <v>#VALUE!</v>
      </c>
      <c r="V97" s="156"/>
      <c r="W97" s="156"/>
      <c r="X97"/>
      <c r="Y97"/>
      <c r="Z97"/>
      <c r="AA97"/>
      <c r="AB97"/>
      <c r="AC97"/>
      <c r="AD97"/>
      <c r="AE97"/>
      <c r="AF97"/>
      <c r="AG97"/>
      <c r="AH97"/>
      <c r="AI97"/>
      <c r="AK97"/>
      <c r="AL97"/>
      <c r="AM97"/>
    </row>
    <row r="98" spans="5:39">
      <c r="E98" s="248" t="s">
        <v>16</v>
      </c>
      <c r="F98" s="248" t="s">
        <v>160</v>
      </c>
      <c r="G98" s="249" t="str">
        <f>'Score Summary'!$E$14</f>
        <v/>
      </c>
      <c r="H98" s="249" t="str">
        <f>'Score Summary'!$E$16</f>
        <v/>
      </c>
      <c r="I98" s="249" t="e">
        <f t="shared" si="30"/>
        <v>#VALUE!</v>
      </c>
      <c r="J98" s="250">
        <v>1.95</v>
      </c>
      <c r="K98" s="250" t="e">
        <f t="shared" si="31"/>
        <v>#VALUE!</v>
      </c>
      <c r="L98" s="251" t="e">
        <f t="shared" si="27"/>
        <v>#VALUE!</v>
      </c>
      <c r="M98" s="156"/>
      <c r="N98" s="239" t="s">
        <v>16</v>
      </c>
      <c r="O98" s="239" t="s">
        <v>160</v>
      </c>
      <c r="P98" s="240" t="str">
        <f>'Score Summary'!$E$14</f>
        <v/>
      </c>
      <c r="Q98" s="240" t="str">
        <f>'Score Summary'!$E$16</f>
        <v/>
      </c>
      <c r="R98" s="240" t="e">
        <f t="shared" si="32"/>
        <v>#VALUE!</v>
      </c>
      <c r="S98" s="241">
        <v>1.76</v>
      </c>
      <c r="T98" s="241" t="e">
        <f t="shared" si="29"/>
        <v>#VALUE!</v>
      </c>
      <c r="U98" s="242" t="e">
        <f t="shared" si="24"/>
        <v>#VALUE!</v>
      </c>
      <c r="V98" s="156"/>
      <c r="W98" s="156"/>
      <c r="X98"/>
      <c r="Y98"/>
      <c r="Z98"/>
      <c r="AA98"/>
      <c r="AB98"/>
      <c r="AC98"/>
      <c r="AD98"/>
      <c r="AE98"/>
      <c r="AF98"/>
      <c r="AG98"/>
      <c r="AH98"/>
      <c r="AI98"/>
      <c r="AK98"/>
      <c r="AL98"/>
      <c r="AM98"/>
    </row>
    <row r="99" spans="5:39">
      <c r="E99" s="248" t="s">
        <v>16</v>
      </c>
      <c r="F99" s="248" t="s">
        <v>19</v>
      </c>
      <c r="G99" s="249" t="str">
        <f>'Score Summary'!$E$14</f>
        <v/>
      </c>
      <c r="H99" s="249" t="str">
        <f>'Score Summary'!$E$17</f>
        <v/>
      </c>
      <c r="I99" s="249" t="e">
        <f t="shared" si="30"/>
        <v>#VALUE!</v>
      </c>
      <c r="J99" s="250">
        <v>2.04</v>
      </c>
      <c r="K99" s="250" t="e">
        <f t="shared" si="31"/>
        <v>#VALUE!</v>
      </c>
      <c r="L99" s="251" t="e">
        <f t="shared" si="27"/>
        <v>#VALUE!</v>
      </c>
      <c r="M99" s="156"/>
      <c r="N99" s="239" t="s">
        <v>16</v>
      </c>
      <c r="O99" s="239" t="s">
        <v>19</v>
      </c>
      <c r="P99" s="240" t="str">
        <f>'Score Summary'!$E$14</f>
        <v/>
      </c>
      <c r="Q99" s="240" t="str">
        <f>'Score Summary'!$E$17</f>
        <v/>
      </c>
      <c r="R99" s="240" t="e">
        <f t="shared" si="32"/>
        <v>#VALUE!</v>
      </c>
      <c r="S99" s="241">
        <v>1.76</v>
      </c>
      <c r="T99" s="241" t="e">
        <f t="shared" si="29"/>
        <v>#VALUE!</v>
      </c>
      <c r="U99" s="242" t="e">
        <f t="shared" si="24"/>
        <v>#VALUE!</v>
      </c>
      <c r="V99" s="156"/>
      <c r="W99" s="156"/>
      <c r="X99"/>
      <c r="Y99"/>
      <c r="Z99"/>
      <c r="AA99"/>
      <c r="AB99"/>
      <c r="AC99"/>
      <c r="AD99"/>
      <c r="AE99"/>
      <c r="AF99"/>
      <c r="AG99"/>
      <c r="AH99"/>
      <c r="AI99"/>
      <c r="AK99"/>
      <c r="AL99"/>
      <c r="AM99"/>
    </row>
    <row r="100" spans="5:39">
      <c r="E100" s="248" t="s">
        <v>159</v>
      </c>
      <c r="F100" s="248" t="s">
        <v>160</v>
      </c>
      <c r="G100" s="249" t="str">
        <f>'Score Summary'!$E$15</f>
        <v/>
      </c>
      <c r="H100" s="249" t="str">
        <f>'Score Summary'!$E$16</f>
        <v/>
      </c>
      <c r="I100" s="249" t="e">
        <f t="shared" si="30"/>
        <v>#VALUE!</v>
      </c>
      <c r="J100" s="250">
        <v>2.04</v>
      </c>
      <c r="K100" s="250" t="e">
        <f t="shared" si="31"/>
        <v>#VALUE!</v>
      </c>
      <c r="L100" s="251" t="e">
        <f t="shared" si="27"/>
        <v>#VALUE!</v>
      </c>
      <c r="M100" s="156"/>
      <c r="N100" s="239" t="s">
        <v>159</v>
      </c>
      <c r="O100" s="239" t="s">
        <v>160</v>
      </c>
      <c r="P100" s="240" t="str">
        <f>'Score Summary'!$E$15</f>
        <v/>
      </c>
      <c r="Q100" s="240" t="str">
        <f>'Score Summary'!$E$16</f>
        <v/>
      </c>
      <c r="R100" s="240" t="e">
        <f t="shared" si="32"/>
        <v>#VALUE!</v>
      </c>
      <c r="S100" s="241">
        <v>2.04</v>
      </c>
      <c r="T100" s="241" t="e">
        <f t="shared" si="29"/>
        <v>#VALUE!</v>
      </c>
      <c r="U100" s="242" t="e">
        <f t="shared" si="24"/>
        <v>#VALUE!</v>
      </c>
      <c r="V100" s="156"/>
      <c r="W100" s="156"/>
      <c r="X100"/>
      <c r="Y100"/>
      <c r="Z100"/>
      <c r="AA100"/>
      <c r="AB100"/>
      <c r="AC100"/>
      <c r="AD100"/>
      <c r="AE100"/>
      <c r="AF100"/>
      <c r="AG100"/>
      <c r="AH100"/>
      <c r="AI100"/>
      <c r="AK100"/>
      <c r="AL100"/>
      <c r="AM100"/>
    </row>
    <row r="101" spans="5:39">
      <c r="E101" s="248" t="s">
        <v>159</v>
      </c>
      <c r="F101" s="248" t="s">
        <v>19</v>
      </c>
      <c r="G101" s="249" t="str">
        <f>'Score Summary'!$E$15</f>
        <v/>
      </c>
      <c r="H101" s="249" t="str">
        <f>'Score Summary'!$E$17</f>
        <v/>
      </c>
      <c r="I101" s="249" t="e">
        <f t="shared" si="30"/>
        <v>#VALUE!</v>
      </c>
      <c r="J101" s="250">
        <v>2.12</v>
      </c>
      <c r="K101" s="250" t="e">
        <f t="shared" si="31"/>
        <v>#VALUE!</v>
      </c>
      <c r="L101" s="251" t="e">
        <f t="shared" si="27"/>
        <v>#VALUE!</v>
      </c>
      <c r="M101" s="156"/>
      <c r="N101" s="239" t="s">
        <v>159</v>
      </c>
      <c r="O101" s="239" t="s">
        <v>19</v>
      </c>
      <c r="P101" s="240" t="str">
        <f>'Score Summary'!$E$15</f>
        <v/>
      </c>
      <c r="Q101" s="240" t="str">
        <f>'Score Summary'!$E$17</f>
        <v/>
      </c>
      <c r="R101" s="240" t="e">
        <f t="shared" si="32"/>
        <v>#VALUE!</v>
      </c>
      <c r="S101" s="241">
        <v>2.04</v>
      </c>
      <c r="T101" s="241" t="e">
        <f t="shared" si="29"/>
        <v>#VALUE!</v>
      </c>
      <c r="U101" s="242" t="e">
        <f t="shared" si="24"/>
        <v>#VALUE!</v>
      </c>
      <c r="V101" s="156"/>
      <c r="W101" s="156"/>
      <c r="X101"/>
      <c r="Y101"/>
      <c r="Z101"/>
      <c r="AA101"/>
      <c r="AB101"/>
      <c r="AC101"/>
      <c r="AD101"/>
      <c r="AE101"/>
      <c r="AF101"/>
      <c r="AG101"/>
      <c r="AH101"/>
      <c r="AI101"/>
      <c r="AK101"/>
      <c r="AL101"/>
      <c r="AM101"/>
    </row>
    <row r="102" spans="5:39">
      <c r="E102" s="248" t="s">
        <v>160</v>
      </c>
      <c r="F102" s="248" t="s">
        <v>19</v>
      </c>
      <c r="G102" s="249" t="str">
        <f>'Score Summary'!$E$16</f>
        <v/>
      </c>
      <c r="H102" s="249" t="str">
        <f>'Score Summary'!$E$17</f>
        <v/>
      </c>
      <c r="I102" s="249" t="e">
        <f t="shared" si="30"/>
        <v>#VALUE!</v>
      </c>
      <c r="J102" s="250">
        <v>1.95</v>
      </c>
      <c r="K102" s="250" t="e">
        <f t="shared" si="31"/>
        <v>#VALUE!</v>
      </c>
      <c r="L102" s="251" t="e">
        <f t="shared" si="27"/>
        <v>#VALUE!</v>
      </c>
      <c r="M102" s="156"/>
      <c r="N102" s="239" t="s">
        <v>160</v>
      </c>
      <c r="O102" s="239" t="s">
        <v>19</v>
      </c>
      <c r="P102" s="240" t="str">
        <f>'Score Summary'!$E$16</f>
        <v/>
      </c>
      <c r="Q102" s="240" t="str">
        <f>'Score Summary'!$E$17</f>
        <v/>
      </c>
      <c r="R102" s="240" t="e">
        <f t="shared" si="32"/>
        <v>#VALUE!</v>
      </c>
      <c r="S102" s="241">
        <v>1.66</v>
      </c>
      <c r="T102" s="241" t="e">
        <f t="shared" si="29"/>
        <v>#VALUE!</v>
      </c>
      <c r="U102" s="242" t="e">
        <f t="shared" si="24"/>
        <v>#VALUE!</v>
      </c>
      <c r="V102" s="156"/>
      <c r="W102" s="156"/>
      <c r="X102"/>
      <c r="Y102"/>
      <c r="Z102"/>
      <c r="AA102"/>
      <c r="AB102"/>
      <c r="AC102"/>
      <c r="AD102"/>
      <c r="AE102"/>
      <c r="AF102"/>
      <c r="AG102"/>
      <c r="AH102"/>
      <c r="AI102"/>
      <c r="AK102"/>
      <c r="AL102"/>
      <c r="AM102"/>
    </row>
    <row r="103" spans="5:39">
      <c r="E103" s="252"/>
      <c r="F103" s="252"/>
      <c r="G103" s="252"/>
      <c r="H103" s="252" t="s">
        <v>169</v>
      </c>
      <c r="I103" s="249" t="e">
        <f>MAX(I67:I102)</f>
        <v>#VALUE!</v>
      </c>
      <c r="J103" s="252" t="s">
        <v>169</v>
      </c>
      <c r="K103" s="253" t="e">
        <f>MAX(K67:K102)</f>
        <v>#VALUE!</v>
      </c>
      <c r="L103" s="252"/>
      <c r="M103" s="156"/>
      <c r="N103" s="243"/>
      <c r="O103" s="243"/>
      <c r="P103" s="243"/>
      <c r="Q103" s="243" t="s">
        <v>169</v>
      </c>
      <c r="R103" s="240" t="e">
        <f>MAX(R67:R102)</f>
        <v>#VALUE!</v>
      </c>
      <c r="S103" s="243" t="s">
        <v>169</v>
      </c>
      <c r="T103" s="244" t="e">
        <f>MAX(T67:T102)</f>
        <v>#VALUE!</v>
      </c>
      <c r="U103" s="243"/>
      <c r="V103" s="156"/>
      <c r="W103" s="156"/>
      <c r="X103"/>
      <c r="Y103"/>
      <c r="Z103"/>
      <c r="AA103"/>
      <c r="AB103"/>
      <c r="AC103"/>
      <c r="AD103"/>
      <c r="AE103"/>
      <c r="AF103"/>
      <c r="AG103"/>
      <c r="AH103"/>
      <c r="AI103"/>
      <c r="AK103"/>
      <c r="AL103"/>
      <c r="AM103"/>
    </row>
    <row r="104" spans="5:39">
      <c r="E104" s="252"/>
      <c r="F104" s="254" t="s">
        <v>170</v>
      </c>
      <c r="G104" s="249" t="e">
        <f>INDEX(E67:L102,MATCH(K103,K67:K102,0),1)</f>
        <v>#VALUE!</v>
      </c>
      <c r="H104" s="248" t="s">
        <v>171</v>
      </c>
      <c r="I104" s="249" t="e">
        <f>INDEX(E67:L102,MATCH(K103,K67:K102,0),2)</f>
        <v>#VALUE!</v>
      </c>
      <c r="J104" s="250"/>
      <c r="K104" s="250"/>
      <c r="L104" s="250"/>
      <c r="M104" s="156"/>
      <c r="N104" s="243"/>
      <c r="O104" s="245" t="s">
        <v>170</v>
      </c>
      <c r="P104" s="240" t="e">
        <f>INDEX(N67:U102,MATCH(T103,T67:T102,0),1)</f>
        <v>#VALUE!</v>
      </c>
      <c r="Q104" s="239" t="s">
        <v>171</v>
      </c>
      <c r="R104" s="240" t="e">
        <f>INDEX(N67:U102,MATCH(T103,T67:T102,0),2)</f>
        <v>#VALUE!</v>
      </c>
      <c r="S104" s="241"/>
      <c r="T104" s="241"/>
      <c r="U104" s="241"/>
      <c r="V104" s="156"/>
      <c r="W104" s="156"/>
      <c r="X104"/>
      <c r="Y104"/>
      <c r="Z104"/>
      <c r="AA104"/>
      <c r="AB104"/>
      <c r="AC104"/>
      <c r="AD104"/>
      <c r="AE104"/>
      <c r="AF104"/>
      <c r="AG104"/>
      <c r="AH104"/>
      <c r="AI104"/>
      <c r="AK104"/>
      <c r="AL104"/>
      <c r="AM104"/>
    </row>
    <row r="105" spans="5:39">
      <c r="E105" s="252"/>
      <c r="F105" s="248" t="s">
        <v>172</v>
      </c>
      <c r="G105" s="249" t="e">
        <f>IF(L105&gt;0,G104,I104)</f>
        <v>#VALUE!</v>
      </c>
      <c r="H105" s="248" t="s">
        <v>173</v>
      </c>
      <c r="I105" s="249" t="e">
        <f>IF(L105&lt;=0,G104,I104)</f>
        <v>#VALUE!</v>
      </c>
      <c r="J105" s="248" t="s">
        <v>174</v>
      </c>
      <c r="K105" s="250" t="e">
        <f>INDEX(E67:L102,MATCH(K103,K67:K102,0),6)</f>
        <v>#VALUE!</v>
      </c>
      <c r="L105" s="250" t="e">
        <f>INDEX(E67:L102,MATCH(K103,K67:K102,0),8)</f>
        <v>#VALUE!</v>
      </c>
      <c r="M105" s="156"/>
      <c r="N105" s="243"/>
      <c r="O105" s="239" t="s">
        <v>172</v>
      </c>
      <c r="P105" s="240" t="e">
        <f>IF(U105&gt;0,P104,R104)</f>
        <v>#VALUE!</v>
      </c>
      <c r="Q105" s="239" t="s">
        <v>173</v>
      </c>
      <c r="R105" s="240" t="e">
        <f>IF(U105&lt;=0,P104,R104)</f>
        <v>#VALUE!</v>
      </c>
      <c r="S105" s="239" t="s">
        <v>174</v>
      </c>
      <c r="T105" s="241" t="e">
        <f>INDEX(N67:U102,MATCH(T103,T67:T102,0),6)</f>
        <v>#VALUE!</v>
      </c>
      <c r="U105" s="241" t="e">
        <f>INDEX(N67:U102,MATCH(T103,T67:T102,0),8)</f>
        <v>#VALUE!</v>
      </c>
      <c r="V105" s="156"/>
      <c r="W105" s="156"/>
      <c r="X105"/>
      <c r="Y105"/>
      <c r="Z105"/>
      <c r="AA105"/>
      <c r="AB105"/>
      <c r="AC105"/>
      <c r="AD105"/>
      <c r="AE105"/>
      <c r="AF105"/>
      <c r="AG105"/>
      <c r="AH105"/>
      <c r="AI105"/>
      <c r="AK105"/>
      <c r="AL105"/>
      <c r="AM105"/>
    </row>
    <row r="106" spans="5:39">
      <c r="E106" s="252"/>
      <c r="F106" s="254" t="s">
        <v>175</v>
      </c>
      <c r="G106" s="249" t="e">
        <f>INDEX(E67:L102,MATCH(I103,I67:I102,0),1)</f>
        <v>#VALUE!</v>
      </c>
      <c r="H106" s="248" t="s">
        <v>171</v>
      </c>
      <c r="I106" s="249" t="e">
        <f>INDEX(E67:L102,MATCH(I103,I67:I102,0),2)</f>
        <v>#VALUE!</v>
      </c>
      <c r="J106" s="249"/>
      <c r="K106" s="250"/>
      <c r="L106" s="250"/>
      <c r="N106" s="243"/>
      <c r="O106" s="245" t="s">
        <v>175</v>
      </c>
      <c r="P106" s="240" t="e">
        <f>INDEX(N67:U102,MATCH(R103,R67:R102,0),1)</f>
        <v>#VALUE!</v>
      </c>
      <c r="Q106" s="239" t="s">
        <v>171</v>
      </c>
      <c r="R106" s="240" t="e">
        <f>INDEX(N67:U102,MATCH(R103,R67:R102,0),2)</f>
        <v>#VALUE!</v>
      </c>
      <c r="S106" s="240"/>
      <c r="T106" s="241"/>
      <c r="U106" s="241"/>
    </row>
    <row r="107" spans="5:39">
      <c r="E107" s="252"/>
      <c r="F107" s="248" t="s">
        <v>172</v>
      </c>
      <c r="G107" s="249" t="e">
        <f>IF(L107&gt;0,G106,I106)</f>
        <v>#VALUE!</v>
      </c>
      <c r="H107" s="248" t="s">
        <v>173</v>
      </c>
      <c r="I107" s="249" t="e">
        <f>IF(L107&lt;=0,G106,I106)</f>
        <v>#VALUE!</v>
      </c>
      <c r="J107" s="248" t="s">
        <v>174</v>
      </c>
      <c r="K107" s="249" t="e">
        <f>INDEX(E67:L102,MATCH(I103,I67:I102,0),6)</f>
        <v>#VALUE!</v>
      </c>
      <c r="L107" s="249" t="e">
        <f>INDEX(E67:L102,MATCH(I103,I67:I102,0),8)</f>
        <v>#VALUE!</v>
      </c>
      <c r="N107" s="243"/>
      <c r="O107" s="239" t="s">
        <v>172</v>
      </c>
      <c r="P107" s="240" t="e">
        <f>IF(U107&gt;0,P106,R106)</f>
        <v>#VALUE!</v>
      </c>
      <c r="Q107" s="239" t="s">
        <v>173</v>
      </c>
      <c r="R107" s="240" t="e">
        <f>IF(U107&lt;=0,P106,R106)</f>
        <v>#VALUE!</v>
      </c>
      <c r="S107" s="239" t="s">
        <v>174</v>
      </c>
      <c r="T107" s="240" t="e">
        <f>INDEX(N67:U102,MATCH(R103,R67:R102,0),6)</f>
        <v>#VALUE!</v>
      </c>
      <c r="U107" s="240" t="e">
        <f>INDEX(N67:U102,MATCH(R103,R67:R102,0),8)</f>
        <v>#VALUE!</v>
      </c>
    </row>
    <row r="108" spans="5:39">
      <c r="E108" s="255" t="s">
        <v>178</v>
      </c>
      <c r="F108" s="254" t="s">
        <v>172</v>
      </c>
      <c r="G108" s="249" t="e">
        <f>IF(SUM(K67:K102)=0,G105,G107)</f>
        <v>#VALUE!</v>
      </c>
      <c r="H108" s="248" t="s">
        <v>173</v>
      </c>
      <c r="I108" s="249" t="e">
        <f>IF(SUM(K67:K102)=0,I105,I107)</f>
        <v>#VALUE!</v>
      </c>
      <c r="J108" s="248" t="s">
        <v>174</v>
      </c>
      <c r="K108" s="249" t="e">
        <f>IF(SUM(K67:K102)=0,K105,K107)</f>
        <v>#VALUE!</v>
      </c>
      <c r="L108" s="252"/>
      <c r="N108" s="246" t="s">
        <v>178</v>
      </c>
      <c r="O108" s="245" t="s">
        <v>172</v>
      </c>
      <c r="P108" s="240" t="e">
        <f>IF(SUM(T67:T102)=0,P105,P107)</f>
        <v>#VALUE!</v>
      </c>
      <c r="Q108" s="239" t="s">
        <v>173</v>
      </c>
      <c r="R108" s="240" t="e">
        <f>IF(SUM(T67:T102)=0,R105,R107)</f>
        <v>#VALUE!</v>
      </c>
      <c r="S108" s="239" t="s">
        <v>174</v>
      </c>
      <c r="T108" s="240" t="e">
        <f>IF(SUM(T67:T102)=0,T105,T107)</f>
        <v>#VALUE!</v>
      </c>
      <c r="U108" s="243"/>
    </row>
    <row r="109" spans="5:39">
      <c r="E109" s="21"/>
      <c r="F109" s="197"/>
      <c r="H109" s="151"/>
      <c r="J109" s="151"/>
      <c r="N109" s="21"/>
      <c r="O109" s="197"/>
      <c r="Q109" s="151"/>
      <c r="S109" s="151"/>
    </row>
    <row r="110" spans="5:39">
      <c r="E110" s="318" t="s">
        <v>191</v>
      </c>
      <c r="F110" s="318"/>
      <c r="G110" s="318"/>
      <c r="H110" s="318"/>
      <c r="I110" s="318"/>
      <c r="J110" s="318"/>
      <c r="K110" s="318"/>
      <c r="L110" s="318"/>
      <c r="M110" s="1"/>
      <c r="N110" s="319" t="s">
        <v>192</v>
      </c>
      <c r="O110" s="319"/>
      <c r="P110" s="319"/>
      <c r="Q110" s="319"/>
      <c r="R110" s="319"/>
      <c r="S110" s="319"/>
      <c r="T110" s="319"/>
      <c r="U110" s="319"/>
    </row>
    <row r="111" spans="5:39">
      <c r="E111" s="198" t="s">
        <v>147</v>
      </c>
      <c r="F111" s="198" t="s">
        <v>148</v>
      </c>
      <c r="G111" s="198" t="s">
        <v>35</v>
      </c>
      <c r="H111" s="198" t="s">
        <v>36</v>
      </c>
      <c r="I111" s="198" t="s">
        <v>149</v>
      </c>
      <c r="J111" s="198" t="s">
        <v>150</v>
      </c>
      <c r="K111" s="198" t="s">
        <v>151</v>
      </c>
      <c r="L111" s="198" t="s">
        <v>152</v>
      </c>
      <c r="M111" s="157"/>
      <c r="N111" s="203" t="s">
        <v>147</v>
      </c>
      <c r="O111" s="203" t="s">
        <v>148</v>
      </c>
      <c r="P111" s="203" t="s">
        <v>35</v>
      </c>
      <c r="Q111" s="203" t="s">
        <v>36</v>
      </c>
      <c r="R111" s="203" t="s">
        <v>149</v>
      </c>
      <c r="S111" s="203" t="s">
        <v>150</v>
      </c>
      <c r="T111" s="203" t="s">
        <v>151</v>
      </c>
      <c r="U111" s="203" t="s">
        <v>152</v>
      </c>
    </row>
    <row r="112" spans="5:39">
      <c r="E112" s="10" t="s">
        <v>154</v>
      </c>
      <c r="F112" s="10" t="s">
        <v>156</v>
      </c>
      <c r="G112" s="31" t="str">
        <f>'Score Summary'!$E$9</f>
        <v/>
      </c>
      <c r="H112" s="31" t="str">
        <f>'Score Summary'!$E$11</f>
        <v/>
      </c>
      <c r="I112" s="31" t="e">
        <f t="shared" ref="I112:I113" si="33">ABS(G112-H112)</f>
        <v>#VALUE!</v>
      </c>
      <c r="J112" s="199">
        <v>2.2799999999999998</v>
      </c>
      <c r="K112" s="199" t="e">
        <f t="shared" ref="K112:K113" si="34">IF(I112&lt;J112,0,I112-J112)</f>
        <v>#VALUE!</v>
      </c>
      <c r="L112" s="200" t="e">
        <f t="shared" ref="L112:L114" si="35">G112-H112</f>
        <v>#VALUE!</v>
      </c>
      <c r="M112" s="156"/>
      <c r="N112" s="204" t="s">
        <v>154</v>
      </c>
      <c r="O112" s="204" t="s">
        <v>156</v>
      </c>
      <c r="P112" s="34" t="str">
        <f>'Score Summary'!$E$9</f>
        <v/>
      </c>
      <c r="Q112" s="34" t="str">
        <f>'Score Summary'!$E$11</f>
        <v/>
      </c>
      <c r="R112" s="34" t="e">
        <f t="shared" ref="R112:R113" si="36">ABS(P112-Q112)</f>
        <v>#VALUE!</v>
      </c>
      <c r="S112" s="205">
        <v>1.95</v>
      </c>
      <c r="T112" s="205" t="e">
        <f t="shared" ref="T112:T114" si="37">IF(R112&lt;S112,0,R112-S112)</f>
        <v>#VALUE!</v>
      </c>
      <c r="U112" s="206" t="e">
        <f t="shared" ref="U112:U114" si="38">P112-Q112</f>
        <v>#VALUE!</v>
      </c>
    </row>
    <row r="113" spans="5:39">
      <c r="E113" s="10" t="s">
        <v>154</v>
      </c>
      <c r="F113" s="10" t="s">
        <v>193</v>
      </c>
      <c r="G113" s="31" t="str">
        <f>'Score Summary'!$E$9</f>
        <v/>
      </c>
      <c r="H113" s="31" t="str">
        <f>'Score Summary'!$E$16</f>
        <v/>
      </c>
      <c r="I113" s="31" t="e">
        <f t="shared" si="33"/>
        <v>#VALUE!</v>
      </c>
      <c r="J113" s="199">
        <v>2.12</v>
      </c>
      <c r="K113" s="199" t="e">
        <f t="shared" si="34"/>
        <v>#VALUE!</v>
      </c>
      <c r="L113" s="200" t="e">
        <f t="shared" si="35"/>
        <v>#VALUE!</v>
      </c>
      <c r="M113" s="156"/>
      <c r="N113" s="204" t="s">
        <v>154</v>
      </c>
      <c r="O113" s="204" t="s">
        <v>193</v>
      </c>
      <c r="P113" s="34" t="str">
        <f>'Score Summary'!$E$9</f>
        <v/>
      </c>
      <c r="Q113" s="34" t="str">
        <f>'Score Summary'!$E$16</f>
        <v/>
      </c>
      <c r="R113" s="34" t="e">
        <f t="shared" si="36"/>
        <v>#VALUE!</v>
      </c>
      <c r="S113" s="205">
        <v>1.76</v>
      </c>
      <c r="T113" s="205" t="e">
        <f t="shared" si="37"/>
        <v>#VALUE!</v>
      </c>
      <c r="U113" s="206" t="e">
        <f t="shared" si="38"/>
        <v>#VALUE!</v>
      </c>
    </row>
    <row r="114" spans="5:39">
      <c r="E114" s="10" t="s">
        <v>156</v>
      </c>
      <c r="F114" s="10" t="s">
        <v>193</v>
      </c>
      <c r="G114" s="31" t="str">
        <f>'Score Summary'!$E$11</f>
        <v/>
      </c>
      <c r="H114" s="31" t="str">
        <f>'Score Summary'!$E$16</f>
        <v/>
      </c>
      <c r="I114" s="31" t="e">
        <f>ABS(G114-H114)</f>
        <v>#VALUE!</v>
      </c>
      <c r="J114" s="199">
        <v>2.04</v>
      </c>
      <c r="K114" s="199" t="e">
        <f>IF(I114&lt;J114,0,I114-J114)</f>
        <v>#VALUE!</v>
      </c>
      <c r="L114" s="200" t="e">
        <f t="shared" si="35"/>
        <v>#VALUE!</v>
      </c>
      <c r="M114" s="156"/>
      <c r="N114" s="204" t="s">
        <v>156</v>
      </c>
      <c r="O114" s="204" t="s">
        <v>193</v>
      </c>
      <c r="P114" s="34" t="str">
        <f>'Score Summary'!$E$11</f>
        <v/>
      </c>
      <c r="Q114" s="34" t="str">
        <f>'Score Summary'!$E$16</f>
        <v/>
      </c>
      <c r="R114" s="34" t="e">
        <f>ABS(P114-Q114)</f>
        <v>#VALUE!</v>
      </c>
      <c r="S114" s="205">
        <v>1.86</v>
      </c>
      <c r="T114" s="205" t="e">
        <f t="shared" si="37"/>
        <v>#VALUE!</v>
      </c>
      <c r="U114" s="206" t="e">
        <f t="shared" si="38"/>
        <v>#VALUE!</v>
      </c>
    </row>
    <row r="115" spans="5:39">
      <c r="E115" s="201"/>
      <c r="F115" s="201"/>
      <c r="G115" s="201"/>
      <c r="H115" s="31" t="s">
        <v>169</v>
      </c>
      <c r="I115" s="31" t="e">
        <f>MAX(I112:I114)</f>
        <v>#VALUE!</v>
      </c>
      <c r="J115" s="199" t="s">
        <v>169</v>
      </c>
      <c r="K115" s="199" t="e">
        <f>MAX(K112:K114)</f>
        <v>#VALUE!</v>
      </c>
      <c r="L115" s="200"/>
      <c r="M115" s="156"/>
      <c r="N115" s="207"/>
      <c r="O115" s="207"/>
      <c r="P115" s="207"/>
      <c r="Q115" s="34" t="s">
        <v>169</v>
      </c>
      <c r="R115" s="34" t="e">
        <f>MAX(R112:R114)</f>
        <v>#VALUE!</v>
      </c>
      <c r="S115" s="205" t="s">
        <v>169</v>
      </c>
      <c r="T115" s="205" t="e">
        <f>MAX(T112:T114)</f>
        <v>#VALUE!</v>
      </c>
      <c r="U115" s="206"/>
    </row>
    <row r="116" spans="5:39">
      <c r="E116" s="201"/>
      <c r="F116" s="12" t="s">
        <v>170</v>
      </c>
      <c r="G116" s="31" t="e">
        <f>INDEX(E112:L114,MATCH(K115,K112:K114,0),1)</f>
        <v>#VALUE!</v>
      </c>
      <c r="H116" s="10" t="s">
        <v>171</v>
      </c>
      <c r="I116" s="31" t="e">
        <f>INDEX(E112:L114,MATCH(K115,K112:K114,0),2)</f>
        <v>#VALUE!</v>
      </c>
      <c r="J116" s="199"/>
      <c r="K116" s="199"/>
      <c r="L116" s="200"/>
      <c r="M116" s="156"/>
      <c r="N116" s="207"/>
      <c r="O116" s="208" t="s">
        <v>170</v>
      </c>
      <c r="P116" s="34" t="e">
        <f>INDEX(N112:U114,MATCH(T115,T112:T114,0),1)</f>
        <v>#VALUE!</v>
      </c>
      <c r="Q116" s="204" t="s">
        <v>171</v>
      </c>
      <c r="R116" s="34" t="e">
        <f>INDEX(N112:U114,MATCH(T115,T112:T114,0),2)</f>
        <v>#VALUE!</v>
      </c>
      <c r="S116" s="205"/>
      <c r="T116" s="205"/>
      <c r="U116" s="206"/>
    </row>
    <row r="117" spans="5:39">
      <c r="E117" s="201"/>
      <c r="F117" s="10" t="s">
        <v>172</v>
      </c>
      <c r="G117" s="31" t="e">
        <f>IF(L117&gt;0,G116,I116)</f>
        <v>#VALUE!</v>
      </c>
      <c r="H117" s="10" t="s">
        <v>173</v>
      </c>
      <c r="I117" s="31" t="e">
        <f>IF(L117&lt;=0,G116,I116)</f>
        <v>#VALUE!</v>
      </c>
      <c r="J117" s="10" t="s">
        <v>174</v>
      </c>
      <c r="K117" s="199" t="e">
        <f>INDEX(E112:L114,MATCH(K115,K112:K114,0),6)</f>
        <v>#VALUE!</v>
      </c>
      <c r="L117" s="200" t="e">
        <f>INDEX(E112:L114,MATCH(K115,K112:K114,0),8)</f>
        <v>#VALUE!</v>
      </c>
      <c r="M117" s="156"/>
      <c r="N117" s="207"/>
      <c r="O117" s="204" t="s">
        <v>172</v>
      </c>
      <c r="P117" s="34" t="e">
        <f>IF(U117&gt;0,P116,R116)</f>
        <v>#VALUE!</v>
      </c>
      <c r="Q117" s="204" t="s">
        <v>173</v>
      </c>
      <c r="R117" s="34" t="e">
        <f>IF(U117&lt;=0,P116,R116)</f>
        <v>#VALUE!</v>
      </c>
      <c r="S117" s="204" t="s">
        <v>174</v>
      </c>
      <c r="T117" s="205" t="e">
        <f>INDEX(N112:U114,MATCH(T115,T112:T114,0),6)</f>
        <v>#VALUE!</v>
      </c>
      <c r="U117" s="206" t="e">
        <f>INDEX(N112:U114,MATCH(T115,T112:T114,0),8)</f>
        <v>#VALUE!</v>
      </c>
    </row>
    <row r="118" spans="5:39">
      <c r="E118" s="201"/>
      <c r="F118" s="12" t="s">
        <v>175</v>
      </c>
      <c r="G118" s="31" t="e">
        <f>INDEX(E112:L114,MATCH(I115,I112:I114,0),1)</f>
        <v>#VALUE!</v>
      </c>
      <c r="H118" s="10" t="s">
        <v>171</v>
      </c>
      <c r="I118" s="31" t="e">
        <f>INDEX(E112:L114,MATCH(I115,I112:I114,0),2)</f>
        <v>#VALUE!</v>
      </c>
      <c r="J118" s="31"/>
      <c r="K118" s="199"/>
      <c r="L118" s="200"/>
      <c r="M118" s="156"/>
      <c r="N118" s="207"/>
      <c r="O118" s="208" t="s">
        <v>175</v>
      </c>
      <c r="P118" s="207" t="e">
        <f>INDEX(N112:U114,MATCH(R115,R112:R114,0),1)</f>
        <v>#VALUE!</v>
      </c>
      <c r="Q118" s="204" t="s">
        <v>171</v>
      </c>
      <c r="R118" s="34" t="e">
        <f>INDEX(N112:U114,MATCH(R115,R112:R114,0),2)</f>
        <v>#VALUE!</v>
      </c>
      <c r="S118" s="34"/>
      <c r="T118" s="205"/>
      <c r="U118" s="206"/>
    </row>
    <row r="119" spans="5:39">
      <c r="E119" s="201"/>
      <c r="F119" s="10" t="s">
        <v>172</v>
      </c>
      <c r="G119" s="31" t="e">
        <f>IF(L119&gt;0,G118,I118)</f>
        <v>#VALUE!</v>
      </c>
      <c r="H119" s="10" t="s">
        <v>173</v>
      </c>
      <c r="I119" s="31" t="e">
        <f>IF(L119&lt;=0,G118,I118)</f>
        <v>#VALUE!</v>
      </c>
      <c r="J119" s="10" t="s">
        <v>174</v>
      </c>
      <c r="K119" s="199" t="e">
        <f>INDEX(E112:L114,MATCH(I115,I112:I114,0),6)</f>
        <v>#VALUE!</v>
      </c>
      <c r="L119" s="200" t="e">
        <f>INDEX(E112:L114,MATCH(I115,I112:I114,0),8)</f>
        <v>#VALUE!</v>
      </c>
      <c r="M119" s="156"/>
      <c r="N119" s="207"/>
      <c r="O119" s="204" t="s">
        <v>172</v>
      </c>
      <c r="P119" s="34" t="e">
        <f>IF(U119&gt;0,P118,R118)</f>
        <v>#VALUE!</v>
      </c>
      <c r="Q119" s="204" t="s">
        <v>173</v>
      </c>
      <c r="R119" s="34" t="e">
        <f>IF(U119&lt;=0,P118,R118)</f>
        <v>#VALUE!</v>
      </c>
      <c r="S119" s="204" t="s">
        <v>174</v>
      </c>
      <c r="T119" s="205" t="e">
        <f>INDEX(N112:U114,MATCH(R115,R112:R114,0),6)</f>
        <v>#VALUE!</v>
      </c>
      <c r="U119" s="206" t="e">
        <f>INDEX(N112:U114,MATCH(R115,R112:R114,0),8)</f>
        <v>#VALUE!</v>
      </c>
    </row>
    <row r="120" spans="5:39">
      <c r="E120" s="202" t="s">
        <v>178</v>
      </c>
      <c r="F120" s="12" t="s">
        <v>172</v>
      </c>
      <c r="G120" s="31" t="e">
        <f>IF(SUM(K112:K114)=0,G117,G119)</f>
        <v>#VALUE!</v>
      </c>
      <c r="H120" s="10" t="s">
        <v>173</v>
      </c>
      <c r="I120" s="31" t="e">
        <f>IF(SUM(K112:K114)=0,I117,I119)</f>
        <v>#VALUE!</v>
      </c>
      <c r="J120" s="10" t="s">
        <v>174</v>
      </c>
      <c r="K120" s="199" t="e">
        <f>IF(SUM(K112:K114)=0,K117,K119)</f>
        <v>#VALUE!</v>
      </c>
      <c r="L120" s="200"/>
      <c r="M120" s="156"/>
      <c r="N120" s="209" t="s">
        <v>178</v>
      </c>
      <c r="O120" s="208" t="s">
        <v>172</v>
      </c>
      <c r="P120" s="34" t="e">
        <f>IF(SUM(T112:T114)=0,P117,P119)</f>
        <v>#VALUE!</v>
      </c>
      <c r="Q120" s="204" t="s">
        <v>173</v>
      </c>
      <c r="R120" s="34" t="e">
        <f>IF(SUM(T112:T114)=0,R117,R119)</f>
        <v>#VALUE!</v>
      </c>
      <c r="S120" s="204" t="s">
        <v>174</v>
      </c>
      <c r="T120" s="205" t="e">
        <f>IF(SUM(T112:T114)=0,T117,T119)</f>
        <v>#VALUE!</v>
      </c>
      <c r="U120" s="206"/>
    </row>
    <row r="121" spans="5:39">
      <c r="E121" s="151"/>
      <c r="F121" s="151"/>
      <c r="G121" s="1"/>
      <c r="H121" s="1"/>
      <c r="I121" s="1"/>
      <c r="J121" s="156"/>
      <c r="K121" s="156"/>
      <c r="L121" s="156"/>
      <c r="M121" s="156"/>
      <c r="N121" s="151"/>
      <c r="O121" s="151"/>
      <c r="P121" s="1"/>
      <c r="Q121" s="1"/>
      <c r="R121" s="1"/>
      <c r="S121" s="156"/>
      <c r="X121"/>
      <c r="Y121"/>
      <c r="Z121"/>
      <c r="AA121"/>
      <c r="AB121"/>
      <c r="AC121"/>
      <c r="AD121"/>
      <c r="AE121"/>
      <c r="AF121"/>
      <c r="AG121"/>
      <c r="AH121"/>
      <c r="AI121"/>
      <c r="AK121"/>
      <c r="AL121"/>
      <c r="AM121"/>
    </row>
    <row r="122" spans="5:39">
      <c r="E122" s="210" t="s">
        <v>194</v>
      </c>
      <c r="F122" s="211"/>
      <c r="G122" s="211"/>
      <c r="H122" s="211"/>
      <c r="I122" s="211"/>
      <c r="J122" s="211"/>
      <c r="K122" s="212"/>
      <c r="L122" s="212"/>
      <c r="M122" s="156"/>
      <c r="N122" s="216" t="s">
        <v>195</v>
      </c>
      <c r="O122" s="216"/>
      <c r="P122" s="216"/>
      <c r="Q122" s="216"/>
      <c r="R122" s="216"/>
      <c r="S122" s="216"/>
      <c r="T122" s="217"/>
      <c r="U122" s="217"/>
      <c r="X122"/>
      <c r="Y122"/>
      <c r="Z122"/>
      <c r="AA122"/>
      <c r="AB122"/>
      <c r="AC122"/>
      <c r="AD122"/>
      <c r="AE122"/>
      <c r="AF122"/>
      <c r="AG122"/>
      <c r="AH122"/>
      <c r="AI122"/>
      <c r="AK122"/>
      <c r="AL122"/>
      <c r="AM122"/>
    </row>
    <row r="123" spans="5:39">
      <c r="E123" s="213" t="s">
        <v>147</v>
      </c>
      <c r="F123" s="213" t="s">
        <v>148</v>
      </c>
      <c r="G123" s="213" t="s">
        <v>35</v>
      </c>
      <c r="H123" s="213" t="s">
        <v>36</v>
      </c>
      <c r="I123" s="213" t="s">
        <v>149</v>
      </c>
      <c r="J123" s="213" t="s">
        <v>150</v>
      </c>
      <c r="K123" s="213" t="s">
        <v>151</v>
      </c>
      <c r="L123" s="213" t="s">
        <v>152</v>
      </c>
      <c r="M123" s="157"/>
      <c r="N123" s="218" t="s">
        <v>147</v>
      </c>
      <c r="O123" s="218" t="s">
        <v>148</v>
      </c>
      <c r="P123" s="218" t="s">
        <v>35</v>
      </c>
      <c r="Q123" s="218" t="s">
        <v>36</v>
      </c>
      <c r="R123" s="218" t="s">
        <v>149</v>
      </c>
      <c r="S123" s="218" t="s">
        <v>150</v>
      </c>
      <c r="T123" s="218" t="s">
        <v>151</v>
      </c>
      <c r="U123" s="218" t="s">
        <v>152</v>
      </c>
      <c r="V123" s="157"/>
      <c r="W123" s="157"/>
      <c r="X123"/>
      <c r="Y123"/>
      <c r="Z123"/>
      <c r="AA123"/>
      <c r="AB123"/>
      <c r="AC123"/>
      <c r="AD123"/>
      <c r="AE123"/>
      <c r="AF123"/>
      <c r="AG123"/>
      <c r="AH123"/>
      <c r="AI123"/>
      <c r="AK123"/>
      <c r="AL123"/>
      <c r="AM123"/>
    </row>
    <row r="124" spans="5:39">
      <c r="E124" s="214" t="s">
        <v>16</v>
      </c>
      <c r="F124" s="214" t="s">
        <v>19</v>
      </c>
      <c r="G124" s="53" t="str">
        <f>'Score Summary'!$E$14</f>
        <v/>
      </c>
      <c r="H124" s="53" t="str">
        <f>'Score Summary'!$E$17</f>
        <v/>
      </c>
      <c r="I124" s="53" t="e">
        <f t="shared" ref="I124" si="39">ABS(G124-H124)</f>
        <v>#VALUE!</v>
      </c>
      <c r="J124" s="212">
        <v>2.04</v>
      </c>
      <c r="K124" s="212" t="e">
        <f>IF(I124&lt;J124,0,I124-J124)</f>
        <v>#VALUE!</v>
      </c>
      <c r="L124" s="215" t="e">
        <f>G124-H124</f>
        <v>#VALUE!</v>
      </c>
      <c r="M124" s="156"/>
      <c r="N124" s="219" t="s">
        <v>16</v>
      </c>
      <c r="O124" s="219" t="s">
        <v>19</v>
      </c>
      <c r="P124" s="60" t="str">
        <f>'Score Summary'!$E$14</f>
        <v/>
      </c>
      <c r="Q124" s="60" t="str">
        <f>'Score Summary'!$E$17</f>
        <v/>
      </c>
      <c r="R124" s="60" t="e">
        <f t="shared" ref="R124" si="40">ABS(P124-Q124)</f>
        <v>#VALUE!</v>
      </c>
      <c r="S124" s="220">
        <v>1.76</v>
      </c>
      <c r="T124" s="220" t="e">
        <f>IF(R124&lt;S124,0,R124-S124)</f>
        <v>#VALUE!</v>
      </c>
      <c r="U124" s="221" t="e">
        <f>P124-Q124</f>
        <v>#VALUE!</v>
      </c>
      <c r="V124" s="156"/>
      <c r="W124" s="156"/>
      <c r="X124"/>
      <c r="Y124"/>
      <c r="Z124"/>
      <c r="AA124"/>
      <c r="AB124"/>
      <c r="AC124"/>
      <c r="AD124"/>
      <c r="AE124"/>
      <c r="AF124"/>
      <c r="AG124"/>
      <c r="AH124"/>
      <c r="AI124"/>
      <c r="AK124"/>
      <c r="AL124"/>
      <c r="AM124"/>
    </row>
    <row r="125" spans="5:39">
      <c r="E125" s="214" t="s">
        <v>196</v>
      </c>
      <c r="F125" s="214" t="s">
        <v>197</v>
      </c>
      <c r="G125" s="53" t="e">
        <f>IF(L124&gt;0,E124,F124)</f>
        <v>#VALUE!</v>
      </c>
      <c r="H125" s="214" t="s">
        <v>173</v>
      </c>
      <c r="I125" s="53" t="e">
        <f>IF(L124&lt;=0,E124,F124)</f>
        <v>#VALUE!</v>
      </c>
      <c r="J125" s="212"/>
      <c r="K125" s="212"/>
      <c r="L125" s="212"/>
      <c r="M125" s="156"/>
      <c r="N125" s="219" t="s">
        <v>196</v>
      </c>
      <c r="O125" s="219" t="s">
        <v>197</v>
      </c>
      <c r="P125" s="60" t="e">
        <f>IF(U124&gt;0,N124,O124)</f>
        <v>#VALUE!</v>
      </c>
      <c r="Q125" s="219" t="s">
        <v>173</v>
      </c>
      <c r="R125" s="60" t="e">
        <f>IF(U124&lt;=0,N124,O124)</f>
        <v>#VALUE!</v>
      </c>
      <c r="S125" s="220"/>
      <c r="T125" s="220"/>
      <c r="U125" s="220"/>
      <c r="V125" s="156"/>
      <c r="W125" s="156"/>
      <c r="X125"/>
      <c r="Y125"/>
      <c r="Z125"/>
      <c r="AA125"/>
      <c r="AB125"/>
      <c r="AC125"/>
      <c r="AD125"/>
      <c r="AE125"/>
      <c r="AF125"/>
      <c r="AG125"/>
      <c r="AH125"/>
      <c r="AI125"/>
      <c r="AK125"/>
      <c r="AL125"/>
      <c r="AM125"/>
    </row>
    <row r="126" spans="5:39">
      <c r="E126" s="151"/>
      <c r="F126" s="151"/>
      <c r="G126" s="1"/>
      <c r="H126" s="1"/>
      <c r="I126" s="1"/>
      <c r="J126" s="156"/>
      <c r="K126" s="156"/>
      <c r="L126" s="156"/>
      <c r="M126" s="156"/>
      <c r="N126" s="151"/>
      <c r="O126" s="151"/>
      <c r="P126" s="1"/>
      <c r="Q126" s="1"/>
      <c r="R126" s="1"/>
      <c r="S126" s="156"/>
      <c r="T126" s="156"/>
      <c r="U126" s="156"/>
      <c r="V126" s="156"/>
      <c r="W126" s="156"/>
      <c r="X126"/>
      <c r="Y126"/>
      <c r="Z126"/>
      <c r="AA126"/>
      <c r="AB126"/>
      <c r="AC126"/>
      <c r="AD126"/>
      <c r="AE126"/>
      <c r="AF126"/>
      <c r="AG126"/>
      <c r="AH126"/>
      <c r="AI126"/>
      <c r="AK126"/>
      <c r="AL126"/>
      <c r="AM126"/>
    </row>
    <row r="127" spans="5:39">
      <c r="E127" s="312" t="s">
        <v>198</v>
      </c>
      <c r="F127" s="312"/>
      <c r="G127" s="312"/>
      <c r="H127" s="312"/>
      <c r="I127" s="312"/>
      <c r="J127" s="312"/>
      <c r="K127" s="312"/>
      <c r="L127" s="312"/>
      <c r="M127" s="156"/>
      <c r="N127" s="313" t="s">
        <v>199</v>
      </c>
      <c r="O127" s="313"/>
      <c r="P127" s="313"/>
      <c r="Q127" s="313"/>
      <c r="R127" s="313"/>
      <c r="S127" s="313"/>
      <c r="T127" s="313"/>
      <c r="U127" s="313"/>
      <c r="X127"/>
      <c r="Y127"/>
      <c r="Z127"/>
      <c r="AA127"/>
      <c r="AB127"/>
      <c r="AC127"/>
      <c r="AD127"/>
      <c r="AE127"/>
      <c r="AF127"/>
      <c r="AG127"/>
      <c r="AH127"/>
      <c r="AI127"/>
      <c r="AK127"/>
      <c r="AL127"/>
      <c r="AM127"/>
    </row>
    <row r="128" spans="5:39">
      <c r="E128" s="177" t="s">
        <v>147</v>
      </c>
      <c r="F128" s="177" t="s">
        <v>148</v>
      </c>
      <c r="G128" s="177" t="s">
        <v>35</v>
      </c>
      <c r="H128" s="177" t="s">
        <v>36</v>
      </c>
      <c r="I128" s="177" t="s">
        <v>149</v>
      </c>
      <c r="J128" s="177" t="s">
        <v>150</v>
      </c>
      <c r="K128" s="177" t="s">
        <v>151</v>
      </c>
      <c r="L128" s="177" t="s">
        <v>152</v>
      </c>
      <c r="M128" s="157"/>
      <c r="N128" s="183" t="s">
        <v>147</v>
      </c>
      <c r="O128" s="183" t="s">
        <v>148</v>
      </c>
      <c r="P128" s="183" t="s">
        <v>35</v>
      </c>
      <c r="Q128" s="183" t="s">
        <v>36</v>
      </c>
      <c r="R128" s="183" t="s">
        <v>149</v>
      </c>
      <c r="S128" s="183" t="s">
        <v>150</v>
      </c>
      <c r="T128" s="183" t="s">
        <v>151</v>
      </c>
      <c r="U128" s="183" t="s">
        <v>152</v>
      </c>
      <c r="V128" s="157"/>
      <c r="W128" s="157"/>
      <c r="X128"/>
      <c r="Y128"/>
      <c r="Z128"/>
      <c r="AA128"/>
      <c r="AB128"/>
      <c r="AC128"/>
      <c r="AD128"/>
      <c r="AE128"/>
      <c r="AF128"/>
      <c r="AG128"/>
      <c r="AH128"/>
      <c r="AI128"/>
      <c r="AK128"/>
      <c r="AL128"/>
      <c r="AM128"/>
    </row>
    <row r="129" spans="5:39">
      <c r="E129" s="6" t="s">
        <v>155</v>
      </c>
      <c r="F129" s="6" t="s">
        <v>157</v>
      </c>
      <c r="G129" s="47" t="str">
        <f>'Score Summary'!$E$10</f>
        <v/>
      </c>
      <c r="H129" s="47" t="str">
        <f>'Score Summary'!$E$12</f>
        <v/>
      </c>
      <c r="I129" s="47" t="e">
        <f t="shared" ref="I129:I138" si="41">ABS(G129-H129)</f>
        <v>#VALUE!</v>
      </c>
      <c r="J129" s="176">
        <v>2.2000000000000002</v>
      </c>
      <c r="K129" s="176" t="e">
        <f t="shared" ref="K129:K138" si="42">IF(I129&lt;J129,0,I129-J129)</f>
        <v>#VALUE!</v>
      </c>
      <c r="L129" s="178" t="e">
        <f>G129-H129</f>
        <v>#VALUE!</v>
      </c>
      <c r="M129" s="156"/>
      <c r="N129" s="184" t="s">
        <v>155</v>
      </c>
      <c r="O129" s="184" t="s">
        <v>157</v>
      </c>
      <c r="P129" s="133" t="str">
        <f>'Score Summary'!$E$10</f>
        <v/>
      </c>
      <c r="Q129" s="133" t="str">
        <f>'Score Summary'!$E$12</f>
        <v/>
      </c>
      <c r="R129" s="133" t="e">
        <f t="shared" ref="R129:R138" si="43">ABS(P129-Q129)</f>
        <v>#VALUE!</v>
      </c>
      <c r="S129" s="185">
        <v>2.04</v>
      </c>
      <c r="T129" s="185" t="e">
        <f t="shared" ref="T129:T138" si="44">IF(R129&lt;S129,0,R129-S129)</f>
        <v>#VALUE!</v>
      </c>
      <c r="U129" s="195" t="e">
        <f>P129-Q129</f>
        <v>#VALUE!</v>
      </c>
      <c r="V129" s="156"/>
      <c r="W129" s="156"/>
      <c r="X129"/>
      <c r="Y129"/>
      <c r="Z129"/>
      <c r="AA129"/>
      <c r="AB129"/>
      <c r="AC129"/>
      <c r="AD129"/>
      <c r="AE129"/>
      <c r="AF129"/>
      <c r="AG129"/>
      <c r="AH129"/>
      <c r="AI129"/>
      <c r="AK129"/>
      <c r="AL129"/>
      <c r="AM129"/>
    </row>
    <row r="130" spans="5:39">
      <c r="E130" s="6" t="s">
        <v>155</v>
      </c>
      <c r="F130" s="6" t="s">
        <v>158</v>
      </c>
      <c r="G130" s="47" t="str">
        <f>'Score Summary'!$E$10</f>
        <v/>
      </c>
      <c r="H130" s="47" t="str">
        <f>'Score Summary'!$E$13</f>
        <v/>
      </c>
      <c r="I130" s="47" t="e">
        <f t="shared" si="41"/>
        <v>#VALUE!</v>
      </c>
      <c r="J130" s="176">
        <v>2.2000000000000002</v>
      </c>
      <c r="K130" s="176" t="e">
        <f t="shared" si="42"/>
        <v>#VALUE!</v>
      </c>
      <c r="L130" s="178" t="e">
        <f t="shared" ref="L130:L138" si="45">G130-H130</f>
        <v>#VALUE!</v>
      </c>
      <c r="M130" s="156"/>
      <c r="N130" s="184" t="s">
        <v>155</v>
      </c>
      <c r="O130" s="184" t="s">
        <v>158</v>
      </c>
      <c r="P130" s="133" t="str">
        <f>'Score Summary'!$E$10</f>
        <v/>
      </c>
      <c r="Q130" s="133" t="str">
        <f>'Score Summary'!$E$13</f>
        <v/>
      </c>
      <c r="R130" s="133" t="e">
        <f t="shared" si="43"/>
        <v>#VALUE!</v>
      </c>
      <c r="S130" s="185">
        <v>2.2000000000000002</v>
      </c>
      <c r="T130" s="185" t="e">
        <f t="shared" si="44"/>
        <v>#VALUE!</v>
      </c>
      <c r="U130" s="195" t="e">
        <f t="shared" ref="U130:U138" si="46">P130-Q130</f>
        <v>#VALUE!</v>
      </c>
      <c r="V130" s="156"/>
      <c r="W130" s="156"/>
      <c r="X130"/>
      <c r="Y130"/>
      <c r="Z130"/>
      <c r="AA130"/>
      <c r="AB130"/>
      <c r="AC130"/>
      <c r="AD130"/>
      <c r="AE130"/>
      <c r="AF130"/>
      <c r="AG130"/>
      <c r="AH130"/>
      <c r="AI130"/>
      <c r="AK130"/>
      <c r="AL130"/>
      <c r="AM130"/>
    </row>
    <row r="131" spans="5:39">
      <c r="E131" s="6" t="s">
        <v>155</v>
      </c>
      <c r="F131" s="6" t="s">
        <v>17</v>
      </c>
      <c r="G131" s="47" t="str">
        <f>'Score Summary'!$E$10</f>
        <v/>
      </c>
      <c r="H131" s="47" t="str">
        <f>'Score Summary'!$E$15</f>
        <v/>
      </c>
      <c r="I131" s="47" t="e">
        <f t="shared" si="41"/>
        <v>#VALUE!</v>
      </c>
      <c r="J131" s="176">
        <v>2.2000000000000002</v>
      </c>
      <c r="K131" s="176" t="e">
        <f t="shared" si="42"/>
        <v>#VALUE!</v>
      </c>
      <c r="L131" s="178" t="e">
        <f t="shared" si="45"/>
        <v>#VALUE!</v>
      </c>
      <c r="M131" s="156"/>
      <c r="N131" s="184" t="s">
        <v>155</v>
      </c>
      <c r="O131" s="184" t="s">
        <v>17</v>
      </c>
      <c r="P131" s="133" t="str">
        <f>'Score Summary'!$E$10</f>
        <v/>
      </c>
      <c r="Q131" s="133" t="str">
        <f>'Score Summary'!$E$15</f>
        <v/>
      </c>
      <c r="R131" s="133" t="e">
        <f t="shared" si="43"/>
        <v>#VALUE!</v>
      </c>
      <c r="S131" s="185">
        <v>2.2000000000000002</v>
      </c>
      <c r="T131" s="185" t="e">
        <f t="shared" si="44"/>
        <v>#VALUE!</v>
      </c>
      <c r="U131" s="195" t="e">
        <f t="shared" si="46"/>
        <v>#VALUE!</v>
      </c>
      <c r="V131" s="156"/>
      <c r="W131" s="156"/>
      <c r="X131"/>
      <c r="Y131"/>
      <c r="Z131"/>
      <c r="AA131"/>
      <c r="AB131"/>
      <c r="AC131"/>
      <c r="AD131"/>
      <c r="AE131"/>
      <c r="AF131"/>
      <c r="AG131"/>
      <c r="AH131"/>
      <c r="AI131"/>
      <c r="AK131"/>
      <c r="AL131"/>
      <c r="AM131"/>
    </row>
    <row r="132" spans="5:39">
      <c r="E132" s="6" t="s">
        <v>155</v>
      </c>
      <c r="F132" s="6" t="s">
        <v>135</v>
      </c>
      <c r="G132" s="47" t="str">
        <f>'Score Summary'!$E$10</f>
        <v/>
      </c>
      <c r="H132" s="47" t="str">
        <f>'Score Summary'!$E$18</f>
        <v/>
      </c>
      <c r="I132" s="47" t="e">
        <f t="shared" si="41"/>
        <v>#VALUE!</v>
      </c>
      <c r="J132" s="176">
        <v>1.66</v>
      </c>
      <c r="K132" s="176" t="e">
        <f t="shared" si="42"/>
        <v>#VALUE!</v>
      </c>
      <c r="L132" s="178" t="e">
        <f t="shared" si="45"/>
        <v>#VALUE!</v>
      </c>
      <c r="M132" s="156"/>
      <c r="N132" s="184" t="s">
        <v>155</v>
      </c>
      <c r="O132" s="184" t="s">
        <v>135</v>
      </c>
      <c r="P132" s="133" t="str">
        <f>'Score Summary'!$E$10</f>
        <v/>
      </c>
      <c r="Q132" s="133" t="str">
        <f>'Score Summary'!$E$18</f>
        <v/>
      </c>
      <c r="R132" s="133" t="e">
        <f t="shared" si="43"/>
        <v>#VALUE!</v>
      </c>
      <c r="S132" s="185">
        <v>1.56</v>
      </c>
      <c r="T132" s="185" t="e">
        <f t="shared" si="44"/>
        <v>#VALUE!</v>
      </c>
      <c r="U132" s="195" t="e">
        <f t="shared" si="46"/>
        <v>#VALUE!</v>
      </c>
      <c r="V132" s="156"/>
      <c r="W132" s="156"/>
      <c r="X132"/>
      <c r="Y132"/>
      <c r="Z132"/>
      <c r="AA132"/>
      <c r="AB132"/>
      <c r="AC132"/>
      <c r="AD132"/>
      <c r="AE132"/>
      <c r="AF132"/>
      <c r="AG132"/>
      <c r="AH132"/>
      <c r="AI132"/>
      <c r="AK132"/>
      <c r="AL132"/>
      <c r="AM132"/>
    </row>
    <row r="133" spans="5:39">
      <c r="E133" s="6" t="s">
        <v>157</v>
      </c>
      <c r="F133" s="6" t="s">
        <v>158</v>
      </c>
      <c r="G133" s="47" t="str">
        <f>'Score Summary'!$E$12</f>
        <v/>
      </c>
      <c r="H133" s="47" t="str">
        <f>'Score Summary'!$E$13</f>
        <v/>
      </c>
      <c r="I133" s="47" t="e">
        <f t="shared" si="41"/>
        <v>#VALUE!</v>
      </c>
      <c r="J133" s="176">
        <v>2.2000000000000002</v>
      </c>
      <c r="K133" s="176" t="e">
        <f t="shared" si="42"/>
        <v>#VALUE!</v>
      </c>
      <c r="L133" s="178" t="e">
        <f t="shared" si="45"/>
        <v>#VALUE!</v>
      </c>
      <c r="M133" s="156"/>
      <c r="N133" s="184" t="s">
        <v>157</v>
      </c>
      <c r="O133" s="184" t="s">
        <v>158</v>
      </c>
      <c r="P133" s="133" t="str">
        <f>'Score Summary'!$E$12</f>
        <v/>
      </c>
      <c r="Q133" s="133" t="str">
        <f>'Score Summary'!$E$13</f>
        <v/>
      </c>
      <c r="R133" s="133" t="e">
        <f t="shared" si="43"/>
        <v>#VALUE!</v>
      </c>
      <c r="S133" s="185">
        <v>2.2000000000000002</v>
      </c>
      <c r="T133" s="185" t="e">
        <f t="shared" si="44"/>
        <v>#VALUE!</v>
      </c>
      <c r="U133" s="195" t="e">
        <f t="shared" si="46"/>
        <v>#VALUE!</v>
      </c>
      <c r="V133" s="156"/>
      <c r="W133" s="156"/>
      <c r="X133"/>
      <c r="Y133"/>
      <c r="Z133"/>
      <c r="AA133"/>
      <c r="AB133"/>
      <c r="AC133"/>
      <c r="AD133"/>
      <c r="AE133"/>
      <c r="AF133"/>
      <c r="AG133"/>
      <c r="AH133"/>
      <c r="AI133"/>
      <c r="AK133"/>
      <c r="AL133"/>
      <c r="AM133"/>
    </row>
    <row r="134" spans="5:39">
      <c r="E134" s="6" t="s">
        <v>157</v>
      </c>
      <c r="F134" s="6" t="s">
        <v>17</v>
      </c>
      <c r="G134" s="47" t="str">
        <f>'Score Summary'!$E$12</f>
        <v/>
      </c>
      <c r="H134" s="47" t="str">
        <f>'Score Summary'!$E$15</f>
        <v/>
      </c>
      <c r="I134" s="47" t="e">
        <f t="shared" si="41"/>
        <v>#VALUE!</v>
      </c>
      <c r="J134" s="176">
        <v>2.2000000000000002</v>
      </c>
      <c r="K134" s="176" t="e">
        <f t="shared" si="42"/>
        <v>#VALUE!</v>
      </c>
      <c r="L134" s="178" t="e">
        <f t="shared" si="45"/>
        <v>#VALUE!</v>
      </c>
      <c r="M134" s="156"/>
      <c r="N134" s="184" t="s">
        <v>157</v>
      </c>
      <c r="O134" s="184" t="s">
        <v>17</v>
      </c>
      <c r="P134" s="133" t="str">
        <f>'Score Summary'!$E$12</f>
        <v/>
      </c>
      <c r="Q134" s="133" t="str">
        <f>'Score Summary'!$E$15</f>
        <v/>
      </c>
      <c r="R134" s="133" t="e">
        <f t="shared" si="43"/>
        <v>#VALUE!</v>
      </c>
      <c r="S134" s="185">
        <v>2.2000000000000002</v>
      </c>
      <c r="T134" s="185" t="e">
        <f t="shared" si="44"/>
        <v>#VALUE!</v>
      </c>
      <c r="U134" s="195" t="e">
        <f t="shared" si="46"/>
        <v>#VALUE!</v>
      </c>
      <c r="V134" s="156"/>
      <c r="W134" s="156"/>
      <c r="X134"/>
      <c r="Y134"/>
      <c r="Z134"/>
      <c r="AA134"/>
      <c r="AB134"/>
      <c r="AC134"/>
      <c r="AD134"/>
      <c r="AE134"/>
      <c r="AF134"/>
      <c r="AG134"/>
      <c r="AH134"/>
      <c r="AI134"/>
      <c r="AK134"/>
      <c r="AL134"/>
      <c r="AM134"/>
    </row>
    <row r="135" spans="5:39">
      <c r="E135" s="6" t="s">
        <v>157</v>
      </c>
      <c r="F135" s="6" t="s">
        <v>135</v>
      </c>
      <c r="G135" s="47" t="str">
        <f>'Score Summary'!$E$12</f>
        <v/>
      </c>
      <c r="H135" s="47" t="str">
        <f>'Score Summary'!$E$18</f>
        <v/>
      </c>
      <c r="I135" s="47" t="e">
        <f t="shared" si="41"/>
        <v>#VALUE!</v>
      </c>
      <c r="J135" s="176">
        <v>1.66</v>
      </c>
      <c r="K135" s="176" t="e">
        <f t="shared" si="42"/>
        <v>#VALUE!</v>
      </c>
      <c r="L135" s="178" t="e">
        <f t="shared" si="45"/>
        <v>#VALUE!</v>
      </c>
      <c r="M135" s="156"/>
      <c r="N135" s="184" t="s">
        <v>157</v>
      </c>
      <c r="O135" s="184" t="s">
        <v>135</v>
      </c>
      <c r="P135" s="133" t="str">
        <f>'Score Summary'!$E$12</f>
        <v/>
      </c>
      <c r="Q135" s="133" t="str">
        <f>'Score Summary'!$E$18</f>
        <v/>
      </c>
      <c r="R135" s="133" t="e">
        <f t="shared" si="43"/>
        <v>#VALUE!</v>
      </c>
      <c r="S135" s="185">
        <v>1.56</v>
      </c>
      <c r="T135" s="185" t="e">
        <f t="shared" si="44"/>
        <v>#VALUE!</v>
      </c>
      <c r="U135" s="195" t="e">
        <f t="shared" si="46"/>
        <v>#VALUE!</v>
      </c>
      <c r="V135" s="156"/>
      <c r="W135" s="156"/>
      <c r="X135"/>
      <c r="Y135"/>
      <c r="Z135"/>
      <c r="AA135"/>
      <c r="AB135"/>
      <c r="AC135"/>
      <c r="AD135"/>
      <c r="AE135"/>
      <c r="AF135"/>
      <c r="AG135"/>
      <c r="AH135"/>
      <c r="AI135"/>
      <c r="AK135"/>
      <c r="AL135"/>
      <c r="AM135"/>
    </row>
    <row r="136" spans="5:39">
      <c r="E136" s="6" t="s">
        <v>158</v>
      </c>
      <c r="F136" s="6" t="s">
        <v>17</v>
      </c>
      <c r="G136" s="47" t="str">
        <f>'Score Summary'!$E$13</f>
        <v/>
      </c>
      <c r="H136" s="47" t="str">
        <f>'Score Summary'!$E$15</f>
        <v/>
      </c>
      <c r="I136" s="47" t="e">
        <f t="shared" si="41"/>
        <v>#VALUE!</v>
      </c>
      <c r="J136" s="176">
        <v>2.2000000000000002</v>
      </c>
      <c r="K136" s="176" t="e">
        <f t="shared" si="42"/>
        <v>#VALUE!</v>
      </c>
      <c r="L136" s="178" t="e">
        <f t="shared" si="45"/>
        <v>#VALUE!</v>
      </c>
      <c r="M136" s="156"/>
      <c r="N136" s="184" t="s">
        <v>158</v>
      </c>
      <c r="O136" s="184" t="s">
        <v>17</v>
      </c>
      <c r="P136" s="133" t="str">
        <f>'Score Summary'!$E$13</f>
        <v/>
      </c>
      <c r="Q136" s="133" t="str">
        <f>'Score Summary'!$E$15</f>
        <v/>
      </c>
      <c r="R136" s="133" t="e">
        <f t="shared" si="43"/>
        <v>#VALUE!</v>
      </c>
      <c r="S136" s="185">
        <v>2.35</v>
      </c>
      <c r="T136" s="185" t="e">
        <f t="shared" si="44"/>
        <v>#VALUE!</v>
      </c>
      <c r="U136" s="195" t="e">
        <f t="shared" si="46"/>
        <v>#VALUE!</v>
      </c>
      <c r="V136" s="156"/>
      <c r="W136" s="156"/>
      <c r="X136"/>
      <c r="Y136"/>
      <c r="Z136"/>
      <c r="AA136"/>
      <c r="AB136"/>
      <c r="AC136"/>
      <c r="AD136"/>
      <c r="AE136"/>
      <c r="AF136"/>
      <c r="AG136"/>
      <c r="AH136"/>
      <c r="AI136"/>
      <c r="AK136"/>
      <c r="AL136"/>
      <c r="AM136"/>
    </row>
    <row r="137" spans="5:39">
      <c r="E137" s="6" t="s">
        <v>158</v>
      </c>
      <c r="F137" s="6" t="s">
        <v>135</v>
      </c>
      <c r="G137" s="47" t="str">
        <f>'Score Summary'!$E$13</f>
        <v/>
      </c>
      <c r="H137" s="47" t="str">
        <f>'Score Summary'!$E$18</f>
        <v/>
      </c>
      <c r="I137" s="47" t="e">
        <f t="shared" si="41"/>
        <v>#VALUE!</v>
      </c>
      <c r="J137" s="176">
        <v>1.66</v>
      </c>
      <c r="K137" s="176" t="e">
        <f t="shared" si="42"/>
        <v>#VALUE!</v>
      </c>
      <c r="L137" s="178" t="e">
        <f t="shared" si="45"/>
        <v>#VALUE!</v>
      </c>
      <c r="M137" s="156"/>
      <c r="N137" s="184" t="s">
        <v>158</v>
      </c>
      <c r="O137" s="184" t="s">
        <v>135</v>
      </c>
      <c r="P137" s="133" t="str">
        <f>'Score Summary'!$E$13</f>
        <v/>
      </c>
      <c r="Q137" s="133" t="str">
        <f>'Score Summary'!$E$18</f>
        <v/>
      </c>
      <c r="R137" s="133" t="e">
        <f t="shared" si="43"/>
        <v>#VALUE!</v>
      </c>
      <c r="S137" s="185">
        <v>1.76</v>
      </c>
      <c r="T137" s="185" t="e">
        <f t="shared" si="44"/>
        <v>#VALUE!</v>
      </c>
      <c r="U137" s="195" t="e">
        <f t="shared" si="46"/>
        <v>#VALUE!</v>
      </c>
      <c r="V137" s="156"/>
      <c r="W137" s="156"/>
      <c r="X137"/>
      <c r="Y137"/>
      <c r="Z137"/>
      <c r="AA137"/>
      <c r="AB137"/>
      <c r="AC137"/>
      <c r="AD137"/>
      <c r="AE137"/>
      <c r="AF137"/>
      <c r="AG137"/>
      <c r="AH137"/>
      <c r="AI137"/>
      <c r="AK137"/>
      <c r="AL137"/>
      <c r="AM137"/>
    </row>
    <row r="138" spans="5:39">
      <c r="E138" s="6" t="s">
        <v>17</v>
      </c>
      <c r="F138" s="6" t="s">
        <v>135</v>
      </c>
      <c r="G138" s="47" t="str">
        <f>'Score Summary'!$E$15</f>
        <v/>
      </c>
      <c r="H138" s="47" t="str">
        <f>'Score Summary'!$E$18</f>
        <v/>
      </c>
      <c r="I138" s="47" t="e">
        <f t="shared" si="41"/>
        <v>#VALUE!</v>
      </c>
      <c r="J138" s="176">
        <v>1.66</v>
      </c>
      <c r="K138" s="176" t="e">
        <f t="shared" si="42"/>
        <v>#VALUE!</v>
      </c>
      <c r="L138" s="178" t="e">
        <f t="shared" si="45"/>
        <v>#VALUE!</v>
      </c>
      <c r="M138" s="156"/>
      <c r="N138" s="184" t="s">
        <v>17</v>
      </c>
      <c r="O138" s="184" t="s">
        <v>135</v>
      </c>
      <c r="P138" s="133" t="str">
        <f>'Score Summary'!$E$15</f>
        <v/>
      </c>
      <c r="Q138" s="133" t="str">
        <f>'Score Summary'!$E$18</f>
        <v/>
      </c>
      <c r="R138" s="133" t="e">
        <f t="shared" si="43"/>
        <v>#VALUE!</v>
      </c>
      <c r="S138" s="185">
        <v>1.76</v>
      </c>
      <c r="T138" s="185" t="e">
        <f t="shared" si="44"/>
        <v>#VALUE!</v>
      </c>
      <c r="U138" s="195" t="e">
        <f t="shared" si="46"/>
        <v>#VALUE!</v>
      </c>
      <c r="V138" s="156"/>
      <c r="W138" s="156"/>
      <c r="X138"/>
      <c r="Y138"/>
      <c r="Z138"/>
      <c r="AA138"/>
      <c r="AB138"/>
      <c r="AC138"/>
      <c r="AD138"/>
      <c r="AE138"/>
      <c r="AF138"/>
      <c r="AG138"/>
      <c r="AH138"/>
      <c r="AI138"/>
      <c r="AK138"/>
      <c r="AL138"/>
      <c r="AM138"/>
    </row>
    <row r="139" spans="5:39">
      <c r="E139" s="6"/>
      <c r="F139" s="179"/>
      <c r="G139" s="47"/>
      <c r="H139" s="47" t="s">
        <v>200</v>
      </c>
      <c r="I139" s="47" t="e">
        <f>MAX(I129:I138)</f>
        <v>#VALUE!</v>
      </c>
      <c r="J139" s="176" t="s">
        <v>169</v>
      </c>
      <c r="K139" s="176" t="e">
        <f>MAX(K129:K138)</f>
        <v>#VALUE!</v>
      </c>
      <c r="L139" s="176"/>
      <c r="M139" s="156"/>
      <c r="N139" s="184"/>
      <c r="O139" s="184"/>
      <c r="P139" s="133"/>
      <c r="Q139" s="133" t="s">
        <v>169</v>
      </c>
      <c r="R139" s="133" t="e">
        <f>MAX(R129:R138)</f>
        <v>#VALUE!</v>
      </c>
      <c r="S139" s="185" t="s">
        <v>169</v>
      </c>
      <c r="T139" s="185" t="e">
        <f>MAX(T129:T138)</f>
        <v>#VALUE!</v>
      </c>
      <c r="U139" s="185"/>
      <c r="V139" s="156"/>
      <c r="W139" s="156"/>
      <c r="X139"/>
      <c r="Y139"/>
      <c r="Z139"/>
      <c r="AA139"/>
      <c r="AB139"/>
      <c r="AC139"/>
      <c r="AD139"/>
      <c r="AE139"/>
      <c r="AF139"/>
      <c r="AG139"/>
      <c r="AH139"/>
      <c r="AI139"/>
      <c r="AK139"/>
      <c r="AL139"/>
      <c r="AM139"/>
    </row>
    <row r="140" spans="5:39">
      <c r="E140" s="179"/>
      <c r="F140" s="180" t="s">
        <v>170</v>
      </c>
      <c r="G140" s="47" t="e">
        <f>INDEX(E129:L138,MATCH(K139,K129:K138,0),1)</f>
        <v>#VALUE!</v>
      </c>
      <c r="H140" s="6" t="s">
        <v>171</v>
      </c>
      <c r="I140" s="47" t="e">
        <f>INDEX(E129:L138,MATCH(K139,K129:K138,0),2)</f>
        <v>#VALUE!</v>
      </c>
      <c r="J140" s="47"/>
      <c r="K140" s="176"/>
      <c r="L140" s="176"/>
      <c r="M140" s="156"/>
      <c r="N140" s="182"/>
      <c r="O140" s="191" t="s">
        <v>170</v>
      </c>
      <c r="P140" s="133" t="e">
        <f>INDEX(N129:U138,MATCH(T139,T129:T138,0),1)</f>
        <v>#VALUE!</v>
      </c>
      <c r="Q140" s="184" t="s">
        <v>171</v>
      </c>
      <c r="R140" s="133" t="e">
        <f>INDEX(N129:U138,MATCH(T139,T129:T138,0),2)</f>
        <v>#VALUE!</v>
      </c>
      <c r="S140" s="185"/>
      <c r="T140" s="185"/>
      <c r="U140" s="185"/>
      <c r="V140" s="156"/>
      <c r="W140" s="156"/>
      <c r="X140"/>
      <c r="Y140"/>
      <c r="Z140"/>
      <c r="AA140"/>
      <c r="AB140"/>
      <c r="AC140"/>
      <c r="AD140"/>
      <c r="AE140"/>
      <c r="AF140"/>
      <c r="AG140"/>
      <c r="AH140"/>
      <c r="AI140"/>
      <c r="AK140"/>
      <c r="AL140"/>
      <c r="AM140"/>
    </row>
    <row r="141" spans="5:39">
      <c r="E141" s="179"/>
      <c r="F141" s="6" t="s">
        <v>172</v>
      </c>
      <c r="G141" s="47" t="e">
        <f>IF(L141&gt;0,G140,I140)</f>
        <v>#VALUE!</v>
      </c>
      <c r="H141" s="6" t="s">
        <v>173</v>
      </c>
      <c r="I141" s="47" t="e">
        <f>IF(L141&lt;=0,G140,I140)</f>
        <v>#VALUE!</v>
      </c>
      <c r="J141" s="6" t="s">
        <v>174</v>
      </c>
      <c r="K141" s="47" t="e">
        <f>INDEX(E129:L138,MATCH(K139,K129:K138,0),6)</f>
        <v>#VALUE!</v>
      </c>
      <c r="L141" s="47" t="e">
        <f>INDEX(E129:L138,MATCH(K139,K129:K138,0),8)</f>
        <v>#VALUE!</v>
      </c>
      <c r="N141" s="182"/>
      <c r="O141" s="184" t="s">
        <v>172</v>
      </c>
      <c r="P141" s="133" t="e">
        <f>IF(U141&gt;0,P140,R140)</f>
        <v>#VALUE!</v>
      </c>
      <c r="Q141" s="184" t="s">
        <v>173</v>
      </c>
      <c r="R141" s="133" t="e">
        <f>IF(U141&lt;=0,P140,R140)</f>
        <v>#VALUE!</v>
      </c>
      <c r="S141" s="184" t="s">
        <v>174</v>
      </c>
      <c r="T141" s="133" t="e">
        <f>INDEX(N129:U138,MATCH(T139,T129:T138,0),6)</f>
        <v>#VALUE!</v>
      </c>
      <c r="U141" s="182" t="e">
        <f>INDEX(N129:U138,MATCH(T139,T129:T138,0),8)</f>
        <v>#VALUE!</v>
      </c>
    </row>
    <row r="142" spans="5:39">
      <c r="E142" s="179"/>
      <c r="F142" s="180" t="s">
        <v>175</v>
      </c>
      <c r="G142" s="47" t="e">
        <f>INDEX(E129:L138,MATCH(I139,I129:I138,0),1)</f>
        <v>#VALUE!</v>
      </c>
      <c r="H142" s="6" t="s">
        <v>171</v>
      </c>
      <c r="I142" s="47" t="e">
        <f>INDEX(E129:L138,MATCH(I139,I129:I138,0),2)</f>
        <v>#VALUE!</v>
      </c>
      <c r="J142" s="47"/>
      <c r="K142" s="47"/>
      <c r="L142" s="47"/>
      <c r="N142" s="182"/>
      <c r="O142" s="191" t="s">
        <v>175</v>
      </c>
      <c r="P142" s="133" t="e">
        <f>INDEX(N129:U138,MATCH(R139,R129:R138,0),1)</f>
        <v>#VALUE!</v>
      </c>
      <c r="Q142" s="184" t="s">
        <v>171</v>
      </c>
      <c r="R142" s="133" t="e">
        <f>INDEX(N129:U138,MATCH(R139,R129:R138,0),2)</f>
        <v>#VALUE!</v>
      </c>
      <c r="S142" s="133"/>
      <c r="T142" s="133"/>
      <c r="U142" s="182"/>
    </row>
    <row r="143" spans="5:39">
      <c r="E143" s="179"/>
      <c r="F143" s="6" t="s">
        <v>172</v>
      </c>
      <c r="G143" s="47" t="e">
        <f>IF(L143&gt;0,G142,I142)</f>
        <v>#VALUE!</v>
      </c>
      <c r="H143" s="6" t="s">
        <v>173</v>
      </c>
      <c r="I143" s="47" t="e">
        <f>IF(L143&lt;=0,G142,I142)</f>
        <v>#VALUE!</v>
      </c>
      <c r="J143" s="6" t="s">
        <v>174</v>
      </c>
      <c r="K143" s="47" t="e">
        <f>INDEX(E129:L138,MATCH(I139,I129:I138,0),6)</f>
        <v>#VALUE!</v>
      </c>
      <c r="L143" s="47" t="e">
        <f>INDEX(E129:L138,MATCH(I139,I129:I138,0),8)</f>
        <v>#VALUE!</v>
      </c>
      <c r="N143" s="182"/>
      <c r="O143" s="184" t="s">
        <v>172</v>
      </c>
      <c r="P143" s="133" t="e">
        <f>IF(U143&gt;0,P142,R142)</f>
        <v>#VALUE!</v>
      </c>
      <c r="Q143" s="184" t="s">
        <v>173</v>
      </c>
      <c r="R143" s="133" t="e">
        <f>IF(U143&lt;=0,P142,R142)</f>
        <v>#VALUE!</v>
      </c>
      <c r="S143" s="184" t="s">
        <v>174</v>
      </c>
      <c r="T143" s="133" t="e">
        <f>INDEX(N129:U138,MATCH(R139,R129:R138,0),6)</f>
        <v>#VALUE!</v>
      </c>
      <c r="U143" s="182" t="e">
        <f>INDEX(N129:U138,MATCH(R139,R129:R138,0),8)</f>
        <v>#VALUE!</v>
      </c>
    </row>
    <row r="144" spans="5:39">
      <c r="E144" s="181" t="s">
        <v>178</v>
      </c>
      <c r="F144" s="180" t="s">
        <v>172</v>
      </c>
      <c r="G144" s="47" t="e">
        <f>IF(SUM(K129:K138)=0,G141,G143)</f>
        <v>#VALUE!</v>
      </c>
      <c r="H144" s="6" t="s">
        <v>173</v>
      </c>
      <c r="I144" s="47" t="e">
        <f>IF(SUM(K129:K138)=0,I141,I143)</f>
        <v>#VALUE!</v>
      </c>
      <c r="J144" s="6" t="s">
        <v>174</v>
      </c>
      <c r="K144" s="47" t="e">
        <f>IF(SUM(K129:K138)=0,K141,K143)</f>
        <v>#VALUE!</v>
      </c>
      <c r="L144" s="47"/>
      <c r="N144" s="192" t="s">
        <v>178</v>
      </c>
      <c r="O144" s="191" t="s">
        <v>172</v>
      </c>
      <c r="P144" s="133" t="e">
        <f>IF(SUM(T129:T138)=0,P141,P143)</f>
        <v>#VALUE!</v>
      </c>
      <c r="Q144" s="184" t="s">
        <v>173</v>
      </c>
      <c r="R144" s="133" t="e">
        <f>IF(SUM(T129:T138)=0,R141,R143)</f>
        <v>#VALUE!</v>
      </c>
      <c r="S144" s="184" t="s">
        <v>174</v>
      </c>
      <c r="T144" s="133" t="e">
        <f>IF(SUM(T129:T138)=0,T141,T143)</f>
        <v>#VALUE!</v>
      </c>
      <c r="U144" s="182"/>
    </row>
    <row r="145" spans="4:39">
      <c r="E145" s="314" t="s">
        <v>201</v>
      </c>
      <c r="F145" s="314"/>
      <c r="G145" s="314"/>
      <c r="H145" s="314"/>
      <c r="I145" s="314"/>
      <c r="J145" s="314"/>
      <c r="K145" s="314"/>
      <c r="L145" s="314"/>
      <c r="M145" s="156"/>
      <c r="N145" s="315" t="s">
        <v>202</v>
      </c>
      <c r="O145" s="315"/>
      <c r="P145" s="315"/>
      <c r="Q145" s="315"/>
      <c r="R145" s="315"/>
      <c r="S145" s="315"/>
      <c r="T145" s="315"/>
      <c r="U145" s="315"/>
      <c r="X145"/>
      <c r="Y145"/>
      <c r="Z145"/>
      <c r="AA145"/>
      <c r="AB145"/>
      <c r="AC145"/>
      <c r="AD145"/>
      <c r="AE145"/>
      <c r="AF145"/>
      <c r="AG145"/>
      <c r="AH145"/>
      <c r="AI145"/>
      <c r="AK145"/>
      <c r="AL145"/>
      <c r="AM145"/>
    </row>
    <row r="146" spans="4:39">
      <c r="E146" s="169" t="s">
        <v>147</v>
      </c>
      <c r="F146" s="169" t="s">
        <v>148</v>
      </c>
      <c r="G146" s="169" t="s">
        <v>35</v>
      </c>
      <c r="H146" s="169" t="s">
        <v>36</v>
      </c>
      <c r="I146" s="169" t="s">
        <v>149</v>
      </c>
      <c r="J146" s="169" t="s">
        <v>150</v>
      </c>
      <c r="K146" s="169" t="s">
        <v>151</v>
      </c>
      <c r="L146" s="169" t="s">
        <v>152</v>
      </c>
      <c r="M146" s="157"/>
      <c r="N146" s="187" t="s">
        <v>147</v>
      </c>
      <c r="O146" s="187" t="s">
        <v>148</v>
      </c>
      <c r="P146" s="187" t="s">
        <v>35</v>
      </c>
      <c r="Q146" s="187" t="s">
        <v>36</v>
      </c>
      <c r="R146" s="187" t="s">
        <v>149</v>
      </c>
      <c r="S146" s="187" t="s">
        <v>150</v>
      </c>
      <c r="T146" s="187" t="s">
        <v>151</v>
      </c>
      <c r="U146" s="187" t="s">
        <v>152</v>
      </c>
      <c r="V146" s="157"/>
      <c r="W146" s="157"/>
      <c r="X146"/>
      <c r="Y146"/>
      <c r="Z146"/>
      <c r="AA146"/>
      <c r="AB146"/>
      <c r="AC146"/>
      <c r="AD146"/>
      <c r="AE146"/>
      <c r="AF146"/>
      <c r="AG146"/>
      <c r="AH146"/>
      <c r="AI146"/>
      <c r="AK146"/>
      <c r="AL146"/>
      <c r="AM146"/>
    </row>
    <row r="147" spans="4:39">
      <c r="E147" s="11" t="s">
        <v>155</v>
      </c>
      <c r="F147" s="11" t="s">
        <v>157</v>
      </c>
      <c r="G147" s="69" t="str">
        <f>'Score Summary'!$E$10</f>
        <v/>
      </c>
      <c r="H147" s="69" t="str">
        <f>'Score Summary'!$E$12</f>
        <v/>
      </c>
      <c r="I147" s="69" t="e">
        <f t="shared" ref="I147:I152" si="47">ABS(G147-H147)</f>
        <v>#VALUE!</v>
      </c>
      <c r="J147" s="168">
        <v>2.2000000000000002</v>
      </c>
      <c r="K147" s="168" t="e">
        <f t="shared" ref="K147:K152" si="48">IF(I147&lt;J147,0,I147-J147)</f>
        <v>#VALUE!</v>
      </c>
      <c r="L147" s="69" t="e">
        <f t="shared" ref="L147:L152" si="49">G147-H147</f>
        <v>#VALUE!</v>
      </c>
      <c r="M147" s="156"/>
      <c r="N147" s="188" t="s">
        <v>155</v>
      </c>
      <c r="O147" s="188" t="s">
        <v>157</v>
      </c>
      <c r="P147" s="78" t="str">
        <f>'Score Summary'!$E$10</f>
        <v/>
      </c>
      <c r="Q147" s="78" t="str">
        <f>'Score Summary'!$E$12</f>
        <v/>
      </c>
      <c r="R147" s="78" t="e">
        <f t="shared" ref="R147:R152" si="50">ABS(P147-Q147)</f>
        <v>#VALUE!</v>
      </c>
      <c r="S147" s="189">
        <v>2.04</v>
      </c>
      <c r="T147" s="189" t="e">
        <f t="shared" ref="T147:T152" si="51">IF(R147&lt;S147,0,R147-S147)</f>
        <v>#VALUE!</v>
      </c>
      <c r="U147" s="196" t="e">
        <f t="shared" ref="U147:U152" si="52">P147-Q147</f>
        <v>#VALUE!</v>
      </c>
      <c r="V147" s="156"/>
      <c r="W147" s="156"/>
      <c r="X147"/>
      <c r="Y147"/>
      <c r="Z147"/>
      <c r="AA147"/>
      <c r="AB147"/>
      <c r="AC147"/>
      <c r="AD147"/>
      <c r="AE147"/>
      <c r="AF147"/>
      <c r="AG147"/>
      <c r="AH147"/>
      <c r="AI147"/>
      <c r="AK147"/>
      <c r="AL147"/>
      <c r="AM147"/>
    </row>
    <row r="148" spans="4:39">
      <c r="E148" s="11" t="s">
        <v>155</v>
      </c>
      <c r="F148" s="11" t="s">
        <v>158</v>
      </c>
      <c r="G148" s="69" t="str">
        <f>'Score Summary'!$E$10</f>
        <v/>
      </c>
      <c r="H148" s="69" t="str">
        <f>'Score Summary'!$E$13</f>
        <v/>
      </c>
      <c r="I148" s="69" t="e">
        <f t="shared" si="47"/>
        <v>#VALUE!</v>
      </c>
      <c r="J148" s="168">
        <v>2.2000000000000002</v>
      </c>
      <c r="K148" s="168" t="e">
        <f t="shared" si="48"/>
        <v>#VALUE!</v>
      </c>
      <c r="L148" s="69" t="e">
        <f t="shared" si="49"/>
        <v>#VALUE!</v>
      </c>
      <c r="M148" s="156"/>
      <c r="N148" s="188" t="s">
        <v>155</v>
      </c>
      <c r="O148" s="188" t="s">
        <v>158</v>
      </c>
      <c r="P148" s="78" t="str">
        <f>'Score Summary'!$E$10</f>
        <v/>
      </c>
      <c r="Q148" s="78" t="str">
        <f>'Score Summary'!$E$13</f>
        <v/>
      </c>
      <c r="R148" s="78" t="e">
        <f t="shared" si="50"/>
        <v>#VALUE!</v>
      </c>
      <c r="S148" s="189">
        <v>2.2000000000000002</v>
      </c>
      <c r="T148" s="189" t="e">
        <f t="shared" si="51"/>
        <v>#VALUE!</v>
      </c>
      <c r="U148" s="196" t="e">
        <f t="shared" si="52"/>
        <v>#VALUE!</v>
      </c>
      <c r="V148" s="156"/>
      <c r="W148" s="156"/>
      <c r="X148"/>
      <c r="Y148"/>
      <c r="Z148"/>
      <c r="AA148"/>
      <c r="AB148"/>
      <c r="AC148"/>
      <c r="AD148"/>
      <c r="AE148"/>
      <c r="AF148"/>
      <c r="AG148"/>
      <c r="AH148"/>
      <c r="AI148"/>
      <c r="AK148"/>
      <c r="AL148"/>
      <c r="AM148"/>
    </row>
    <row r="149" spans="4:39">
      <c r="E149" s="11" t="s">
        <v>155</v>
      </c>
      <c r="F149" s="11" t="s">
        <v>17</v>
      </c>
      <c r="G149" s="69" t="str">
        <f>'Score Summary'!$E$10</f>
        <v/>
      </c>
      <c r="H149" s="69" t="str">
        <f>'Score Summary'!$E$15</f>
        <v/>
      </c>
      <c r="I149" s="69" t="e">
        <f t="shared" si="47"/>
        <v>#VALUE!</v>
      </c>
      <c r="J149" s="168">
        <v>2.2000000000000002</v>
      </c>
      <c r="K149" s="168" t="e">
        <f t="shared" si="48"/>
        <v>#VALUE!</v>
      </c>
      <c r="L149" s="69" t="e">
        <f t="shared" si="49"/>
        <v>#VALUE!</v>
      </c>
      <c r="M149" s="156"/>
      <c r="N149" s="188" t="s">
        <v>155</v>
      </c>
      <c r="O149" s="188" t="s">
        <v>17</v>
      </c>
      <c r="P149" s="78" t="str">
        <f>'Score Summary'!$E$10</f>
        <v/>
      </c>
      <c r="Q149" s="78" t="str">
        <f>'Score Summary'!$E$15</f>
        <v/>
      </c>
      <c r="R149" s="78" t="e">
        <f t="shared" si="50"/>
        <v>#VALUE!</v>
      </c>
      <c r="S149" s="189">
        <v>2.2000000000000002</v>
      </c>
      <c r="T149" s="189" t="e">
        <f t="shared" si="51"/>
        <v>#VALUE!</v>
      </c>
      <c r="U149" s="196" t="e">
        <f t="shared" si="52"/>
        <v>#VALUE!</v>
      </c>
      <c r="V149" s="156"/>
      <c r="W149" s="156"/>
      <c r="X149"/>
      <c r="Y149"/>
      <c r="Z149"/>
      <c r="AA149"/>
      <c r="AB149"/>
      <c r="AC149"/>
      <c r="AD149"/>
      <c r="AE149"/>
      <c r="AF149"/>
      <c r="AG149"/>
      <c r="AH149"/>
      <c r="AI149"/>
      <c r="AK149"/>
      <c r="AL149"/>
      <c r="AM149"/>
    </row>
    <row r="150" spans="4:39">
      <c r="E150" s="11" t="s">
        <v>157</v>
      </c>
      <c r="F150" s="11" t="s">
        <v>158</v>
      </c>
      <c r="G150" s="69" t="str">
        <f>'Score Summary'!$E$12</f>
        <v/>
      </c>
      <c r="H150" s="69" t="str">
        <f>'Score Summary'!$E$13</f>
        <v/>
      </c>
      <c r="I150" s="69" t="e">
        <f t="shared" si="47"/>
        <v>#VALUE!</v>
      </c>
      <c r="J150" s="168">
        <v>2.2000000000000002</v>
      </c>
      <c r="K150" s="168" t="e">
        <f t="shared" si="48"/>
        <v>#VALUE!</v>
      </c>
      <c r="L150" s="69" t="e">
        <f t="shared" si="49"/>
        <v>#VALUE!</v>
      </c>
      <c r="M150" s="156"/>
      <c r="N150" s="188" t="s">
        <v>157</v>
      </c>
      <c r="O150" s="188" t="s">
        <v>158</v>
      </c>
      <c r="P150" s="78" t="str">
        <f>'Score Summary'!$E$12</f>
        <v/>
      </c>
      <c r="Q150" s="78" t="str">
        <f>'Score Summary'!$E$13</f>
        <v/>
      </c>
      <c r="R150" s="78" t="e">
        <f t="shared" si="50"/>
        <v>#VALUE!</v>
      </c>
      <c r="S150" s="189">
        <v>2.2000000000000002</v>
      </c>
      <c r="T150" s="189" t="e">
        <f t="shared" si="51"/>
        <v>#VALUE!</v>
      </c>
      <c r="U150" s="196" t="e">
        <f t="shared" si="52"/>
        <v>#VALUE!</v>
      </c>
      <c r="V150" s="156"/>
      <c r="W150" s="156"/>
      <c r="X150"/>
      <c r="Y150"/>
      <c r="Z150"/>
      <c r="AA150"/>
      <c r="AB150"/>
      <c r="AC150"/>
      <c r="AD150"/>
      <c r="AE150"/>
      <c r="AF150"/>
      <c r="AG150"/>
      <c r="AH150"/>
      <c r="AI150"/>
      <c r="AK150"/>
      <c r="AL150"/>
      <c r="AM150"/>
    </row>
    <row r="151" spans="4:39">
      <c r="E151" s="11" t="s">
        <v>157</v>
      </c>
      <c r="F151" s="11" t="s">
        <v>17</v>
      </c>
      <c r="G151" s="69" t="str">
        <f>'Score Summary'!$E$12</f>
        <v/>
      </c>
      <c r="H151" s="69" t="str">
        <f>'Score Summary'!$E$15</f>
        <v/>
      </c>
      <c r="I151" s="69" t="e">
        <f t="shared" si="47"/>
        <v>#VALUE!</v>
      </c>
      <c r="J151" s="168">
        <v>2.2000000000000002</v>
      </c>
      <c r="K151" s="168" t="e">
        <f t="shared" si="48"/>
        <v>#VALUE!</v>
      </c>
      <c r="L151" s="69" t="e">
        <f t="shared" si="49"/>
        <v>#VALUE!</v>
      </c>
      <c r="M151" s="156"/>
      <c r="N151" s="188" t="s">
        <v>157</v>
      </c>
      <c r="O151" s="188" t="s">
        <v>17</v>
      </c>
      <c r="P151" s="78" t="str">
        <f>'Score Summary'!$E$12</f>
        <v/>
      </c>
      <c r="Q151" s="78" t="str">
        <f>'Score Summary'!$E$15</f>
        <v/>
      </c>
      <c r="R151" s="78" t="e">
        <f t="shared" si="50"/>
        <v>#VALUE!</v>
      </c>
      <c r="S151" s="189">
        <v>2.2000000000000002</v>
      </c>
      <c r="T151" s="189" t="e">
        <f t="shared" si="51"/>
        <v>#VALUE!</v>
      </c>
      <c r="U151" s="196" t="e">
        <f t="shared" si="52"/>
        <v>#VALUE!</v>
      </c>
      <c r="V151" s="156"/>
      <c r="W151" s="156"/>
      <c r="X151"/>
      <c r="Y151"/>
      <c r="Z151"/>
      <c r="AA151"/>
      <c r="AB151"/>
      <c r="AC151"/>
      <c r="AD151"/>
      <c r="AE151"/>
      <c r="AF151"/>
      <c r="AG151"/>
      <c r="AH151"/>
      <c r="AI151"/>
      <c r="AK151"/>
      <c r="AL151"/>
      <c r="AM151"/>
    </row>
    <row r="152" spans="4:39">
      <c r="E152" s="11" t="s">
        <v>158</v>
      </c>
      <c r="F152" s="11" t="s">
        <v>17</v>
      </c>
      <c r="G152" s="69" t="str">
        <f>'Score Summary'!$E$13</f>
        <v/>
      </c>
      <c r="H152" s="69" t="str">
        <f>'Score Summary'!$E$15</f>
        <v/>
      </c>
      <c r="I152" s="69" t="e">
        <f t="shared" si="47"/>
        <v>#VALUE!</v>
      </c>
      <c r="J152" s="168">
        <v>2.2000000000000002</v>
      </c>
      <c r="K152" s="168" t="e">
        <f t="shared" si="48"/>
        <v>#VALUE!</v>
      </c>
      <c r="L152" s="69" t="e">
        <f t="shared" si="49"/>
        <v>#VALUE!</v>
      </c>
      <c r="M152" s="156"/>
      <c r="N152" s="188" t="s">
        <v>158</v>
      </c>
      <c r="O152" s="188" t="s">
        <v>17</v>
      </c>
      <c r="P152" s="78" t="str">
        <f>'Score Summary'!$E$13</f>
        <v/>
      </c>
      <c r="Q152" s="78" t="str">
        <f>'Score Summary'!$E$15</f>
        <v/>
      </c>
      <c r="R152" s="78" t="e">
        <f t="shared" si="50"/>
        <v>#VALUE!</v>
      </c>
      <c r="S152" s="189">
        <v>2.35</v>
      </c>
      <c r="T152" s="189" t="e">
        <f t="shared" si="51"/>
        <v>#VALUE!</v>
      </c>
      <c r="U152" s="196" t="e">
        <f t="shared" si="52"/>
        <v>#VALUE!</v>
      </c>
      <c r="V152" s="156"/>
      <c r="W152" s="156"/>
      <c r="X152"/>
      <c r="Y152"/>
      <c r="Z152"/>
      <c r="AA152"/>
      <c r="AB152"/>
      <c r="AC152"/>
      <c r="AD152"/>
      <c r="AE152"/>
      <c r="AF152"/>
      <c r="AG152"/>
      <c r="AH152"/>
      <c r="AI152"/>
      <c r="AK152"/>
      <c r="AL152"/>
      <c r="AM152"/>
    </row>
    <row r="153" spans="4:39">
      <c r="E153" s="11"/>
      <c r="F153" s="11"/>
      <c r="G153" s="69"/>
      <c r="H153" s="69" t="s">
        <v>169</v>
      </c>
      <c r="I153" s="69" t="e">
        <f>MAX(I147:I152)</f>
        <v>#VALUE!</v>
      </c>
      <c r="J153" s="168" t="s">
        <v>169</v>
      </c>
      <c r="K153" s="168" t="e">
        <f>MAX(K147:K152)</f>
        <v>#VALUE!</v>
      </c>
      <c r="L153" s="168"/>
      <c r="M153" s="156"/>
      <c r="N153" s="188"/>
      <c r="O153" s="188"/>
      <c r="P153" s="78"/>
      <c r="Q153" s="78" t="s">
        <v>169</v>
      </c>
      <c r="R153" s="78" t="e">
        <f>MAX(R147:R152)</f>
        <v>#VALUE!</v>
      </c>
      <c r="S153" s="189" t="s">
        <v>169</v>
      </c>
      <c r="T153" s="189" t="e">
        <f>MAX(T147:T152)</f>
        <v>#VALUE!</v>
      </c>
      <c r="U153" s="190"/>
      <c r="V153" s="166"/>
      <c r="W153" s="166"/>
      <c r="X153"/>
      <c r="Y153"/>
      <c r="Z153"/>
      <c r="AA153"/>
      <c r="AB153"/>
      <c r="AC153"/>
      <c r="AD153"/>
      <c r="AE153"/>
      <c r="AF153"/>
      <c r="AG153"/>
      <c r="AH153"/>
      <c r="AI153"/>
      <c r="AK153"/>
      <c r="AL153"/>
      <c r="AM153"/>
    </row>
    <row r="154" spans="4:39">
      <c r="E154" s="170"/>
      <c r="F154" s="171" t="s">
        <v>170</v>
      </c>
      <c r="G154" s="69" t="e">
        <f>INDEX(E147:L152,MATCH(K153,K147:K152,0),1)</f>
        <v>#VALUE!</v>
      </c>
      <c r="H154" s="11" t="s">
        <v>171</v>
      </c>
      <c r="I154" s="69" t="e">
        <f>INDEX(E147:L152,MATCH(K153,K147:K152,0),2)</f>
        <v>#VALUE!</v>
      </c>
      <c r="J154" s="170"/>
      <c r="K154" s="170"/>
      <c r="L154" s="170"/>
      <c r="N154" s="186"/>
      <c r="O154" s="193" t="s">
        <v>170</v>
      </c>
      <c r="P154" s="186" t="e">
        <f>INDEX(N147:U152,MATCH(T153,T147:T152,0),1)</f>
        <v>#VALUE!</v>
      </c>
      <c r="Q154" s="188" t="s">
        <v>171</v>
      </c>
      <c r="R154" s="186" t="e">
        <f>INDEX(N147:U152,MATCH(T153,T147:T152,0),2)</f>
        <v>#VALUE!</v>
      </c>
      <c r="S154" s="186"/>
      <c r="T154" s="186"/>
      <c r="U154" s="186"/>
      <c r="X154"/>
      <c r="Y154"/>
      <c r="Z154"/>
      <c r="AA154"/>
      <c r="AB154"/>
      <c r="AC154"/>
      <c r="AD154"/>
      <c r="AE154"/>
      <c r="AF154"/>
      <c r="AG154"/>
      <c r="AH154"/>
      <c r="AI154"/>
      <c r="AK154"/>
      <c r="AL154"/>
      <c r="AM154"/>
    </row>
    <row r="155" spans="4:39">
      <c r="D155" s="1"/>
      <c r="E155" s="170"/>
      <c r="F155" s="11" t="s">
        <v>172</v>
      </c>
      <c r="G155" s="69" t="e">
        <f>IF(L155&gt;0,G154,I154)</f>
        <v>#VALUE!</v>
      </c>
      <c r="H155" s="11" t="s">
        <v>173</v>
      </c>
      <c r="I155" s="69" t="e">
        <f>IF(L155&lt;=0,G154,I154)</f>
        <v>#VALUE!</v>
      </c>
      <c r="J155" s="172" t="s">
        <v>174</v>
      </c>
      <c r="K155" s="173" t="e">
        <f>INDEX(E147:L152,MATCH(K153,K147:K152,0),6)</f>
        <v>#VALUE!</v>
      </c>
      <c r="L155" s="174" t="e">
        <f>INDEX(E147:L152,MATCH(K153,K147:K152,0),8)</f>
        <v>#VALUE!</v>
      </c>
      <c r="M155" s="166"/>
      <c r="N155" s="186"/>
      <c r="O155" s="188" t="s">
        <v>172</v>
      </c>
      <c r="P155" s="186" t="e">
        <f>IF(U155&gt;0,P154,R154)</f>
        <v>#VALUE!</v>
      </c>
      <c r="Q155" s="188" t="s">
        <v>173</v>
      </c>
      <c r="R155" s="186" t="e">
        <f>IF(U155&lt;=0,P154,R154)</f>
        <v>#VALUE!</v>
      </c>
      <c r="S155" s="188" t="s">
        <v>174</v>
      </c>
      <c r="T155" s="186" t="e">
        <f>INDEX(N147:U152,MATCH(T153,T147:T152,0),6)</f>
        <v>#VALUE!</v>
      </c>
      <c r="U155" s="186" t="e">
        <f>INDEX(N147:U152,MATCH(T153,T147:T152,0),8)</f>
        <v>#VALUE!</v>
      </c>
      <c r="X155"/>
      <c r="Y155"/>
      <c r="Z155"/>
      <c r="AA155"/>
      <c r="AB155"/>
      <c r="AC155"/>
      <c r="AD155"/>
      <c r="AE155"/>
      <c r="AF155"/>
      <c r="AG155"/>
      <c r="AH155"/>
      <c r="AI155"/>
      <c r="AK155"/>
      <c r="AL155"/>
      <c r="AM155"/>
    </row>
    <row r="156" spans="4:39">
      <c r="E156" s="170"/>
      <c r="F156" s="171" t="s">
        <v>175</v>
      </c>
      <c r="G156" s="69" t="e">
        <f>INDEX(E147:L152,MATCH(I153,I147:I152,0),1)</f>
        <v>#VALUE!</v>
      </c>
      <c r="H156" s="11" t="s">
        <v>171</v>
      </c>
      <c r="I156" s="69" t="e">
        <f>INDEX(E147:L152,MATCH(I153,I147:I152,0),2)</f>
        <v>#VALUE!</v>
      </c>
      <c r="J156" s="170"/>
      <c r="K156" s="170"/>
      <c r="L156" s="170"/>
      <c r="N156" s="186"/>
      <c r="O156" s="193" t="s">
        <v>175</v>
      </c>
      <c r="P156" s="186" t="e">
        <f>INDEX(N147:U152,MATCH(R153,R147:R152,0),1)</f>
        <v>#VALUE!</v>
      </c>
      <c r="Q156" s="188" t="s">
        <v>171</v>
      </c>
      <c r="R156" s="186" t="e">
        <f>INDEX(N147:U152,MATCH(R153,R147:R152,0),2)</f>
        <v>#VALUE!</v>
      </c>
      <c r="S156" s="78"/>
      <c r="T156" s="186"/>
      <c r="U156" s="186"/>
      <c r="X156"/>
      <c r="Y156"/>
      <c r="Z156"/>
      <c r="AA156"/>
      <c r="AB156"/>
      <c r="AC156"/>
      <c r="AD156"/>
      <c r="AE156"/>
      <c r="AF156"/>
      <c r="AG156"/>
      <c r="AH156"/>
      <c r="AI156"/>
      <c r="AK156"/>
      <c r="AL156"/>
      <c r="AM156"/>
    </row>
    <row r="157" spans="4:39">
      <c r="D157" s="1"/>
      <c r="E157" s="170"/>
      <c r="F157" s="11" t="s">
        <v>172</v>
      </c>
      <c r="G157" s="69" t="e">
        <f>IF(L157&gt;0,G156,I156)</f>
        <v>#VALUE!</v>
      </c>
      <c r="H157" s="11" t="s">
        <v>173</v>
      </c>
      <c r="I157" s="69" t="e">
        <f>IF(L157&lt;=0,G156,I156)</f>
        <v>#VALUE!</v>
      </c>
      <c r="J157" s="172" t="s">
        <v>174</v>
      </c>
      <c r="K157" s="173" t="e">
        <f>INDEX(E147:L152,MATCH(I153,I147:I152,0),6)</f>
        <v>#VALUE!</v>
      </c>
      <c r="L157" s="170" t="e">
        <f>INDEX(E147:L152,MATCH(I153,I147:I152,0),8)</f>
        <v>#VALUE!</v>
      </c>
      <c r="N157" s="186"/>
      <c r="O157" s="188" t="s">
        <v>172</v>
      </c>
      <c r="P157" s="186" t="e">
        <f>IF(U157&gt;0,P156,R156)</f>
        <v>#VALUE!</v>
      </c>
      <c r="Q157" s="188" t="s">
        <v>173</v>
      </c>
      <c r="R157" s="186" t="e">
        <f>IF(U157&lt;=0,P156,R156)</f>
        <v>#VALUE!</v>
      </c>
      <c r="S157" s="188" t="s">
        <v>174</v>
      </c>
      <c r="T157" s="186" t="e">
        <f>INDEX(N147:U152,MATCH(R153,R147:R152,0),6)</f>
        <v>#VALUE!</v>
      </c>
      <c r="U157" s="186" t="e">
        <f>INDEX(N147:U152,MATCH(R153,R147:R152,0),8)</f>
        <v>#VALUE!</v>
      </c>
      <c r="X157"/>
      <c r="Y157"/>
      <c r="Z157"/>
      <c r="AA157"/>
      <c r="AB157"/>
      <c r="AC157"/>
      <c r="AD157"/>
      <c r="AE157"/>
      <c r="AF157"/>
      <c r="AG157"/>
      <c r="AH157"/>
      <c r="AI157"/>
      <c r="AK157"/>
      <c r="AL157"/>
      <c r="AM157"/>
    </row>
    <row r="158" spans="4:39">
      <c r="E158" s="175" t="s">
        <v>178</v>
      </c>
      <c r="F158" s="171" t="s">
        <v>172</v>
      </c>
      <c r="G158" s="69" t="e">
        <f>IF(SUM(K147:K152)=0,G155,G157)</f>
        <v>#VALUE!</v>
      </c>
      <c r="H158" s="11" t="s">
        <v>173</v>
      </c>
      <c r="I158" s="69" t="e">
        <f>IF(SUM(K147:K152)=0,I155,I157)</f>
        <v>#VALUE!</v>
      </c>
      <c r="J158" s="172" t="s">
        <v>174</v>
      </c>
      <c r="K158" s="173" t="e">
        <f>IF(SUM(K147:K152)=0,K155,K157)</f>
        <v>#VALUE!</v>
      </c>
      <c r="L158" s="170"/>
      <c r="N158" s="194" t="s">
        <v>178</v>
      </c>
      <c r="O158" s="193" t="s">
        <v>172</v>
      </c>
      <c r="P158" s="78" t="e">
        <f>IF(SUM(T147:T152)=0,P155,P157)</f>
        <v>#VALUE!</v>
      </c>
      <c r="Q158" s="188" t="s">
        <v>173</v>
      </c>
      <c r="R158" s="78" t="e">
        <f>IF(SUM(T147:T152)=0,R155,R157)</f>
        <v>#VALUE!</v>
      </c>
      <c r="S158" s="188" t="s">
        <v>174</v>
      </c>
      <c r="T158" s="190" t="e">
        <f>IF(SUM(T147:T152)=0,T155,T157)</f>
        <v>#VALUE!</v>
      </c>
      <c r="U158" s="186"/>
    </row>
    <row r="166" s="1" customFormat="1"/>
    <row r="167" s="1" customFormat="1"/>
  </sheetData>
  <sheetProtection algorithmName="SHA-512" hashValue="U6kPZx8zqFT9fTaOV7346kFqonOidSzw1kLINg2+uNXyMtjehzRXW3Y6bp+6lrCqQeV9y4t17UZuyaxcYweZwA==" saltValue="pVB1UlS5zsEkFiT0O5iDsQ==" spinCount="100000" sheet="1" objects="1" scenarios="1" selectLockedCells="1"/>
  <mergeCells count="39">
    <mergeCell ref="N12:U12"/>
    <mergeCell ref="A13:B13"/>
    <mergeCell ref="G5:I5"/>
    <mergeCell ref="A32:B32"/>
    <mergeCell ref="A15:B15"/>
    <mergeCell ref="A27:B27"/>
    <mergeCell ref="A28:B28"/>
    <mergeCell ref="A29:B29"/>
    <mergeCell ref="A30:B30"/>
    <mergeCell ref="A31:B31"/>
    <mergeCell ref="A14:B14"/>
    <mergeCell ref="A3:B3"/>
    <mergeCell ref="A10:B10"/>
    <mergeCell ref="A11:B11"/>
    <mergeCell ref="A12:B12"/>
    <mergeCell ref="J5:M5"/>
    <mergeCell ref="E12:L12"/>
    <mergeCell ref="X47:AC47"/>
    <mergeCell ref="AD47:AI47"/>
    <mergeCell ref="AK11:AM11"/>
    <mergeCell ref="AK24:AM24"/>
    <mergeCell ref="AK37:AM37"/>
    <mergeCell ref="AK43:AM43"/>
    <mergeCell ref="X12:AC12"/>
    <mergeCell ref="AD12:AI12"/>
    <mergeCell ref="X20:AC20"/>
    <mergeCell ref="AD20:AI20"/>
    <mergeCell ref="X27:AC27"/>
    <mergeCell ref="AD27:AI27"/>
    <mergeCell ref="AD35:AI35"/>
    <mergeCell ref="X35:AC35"/>
    <mergeCell ref="E127:L127"/>
    <mergeCell ref="N127:U127"/>
    <mergeCell ref="E145:L145"/>
    <mergeCell ref="N145:U145"/>
    <mergeCell ref="E65:L65"/>
    <mergeCell ref="N65:U65"/>
    <mergeCell ref="E110:L110"/>
    <mergeCell ref="N110:U110"/>
  </mergeCells>
  <pageMargins left="0.7" right="0.7" top="0.75" bottom="0.75" header="0.3" footer="0.3"/>
  <pageSetup orientation="portrait" r:id="rId1"/>
  <legacyDrawing r:id="rId2"/>
</worksheet>
</file>

<file path=docMetadata/LabelInfo.xml><?xml version="1.0" encoding="utf-8"?>
<clbl:labelList xmlns:clbl="http://schemas.microsoft.com/office/2020/mipLabelMetadata">
  <clbl:label id="{290b294c-5736-49fe-b90e-53d6be5e8a40}" enabled="1" method="Privileged" siteId="{c57d1a73-0e5c-464b-afb7-086dc67f3d4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AHN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Page</dc:creator>
  <cp:keywords/>
  <dc:description/>
  <cp:lastModifiedBy>Higgins, Andrew (AHN)</cp:lastModifiedBy>
  <cp:revision/>
  <dcterms:created xsi:type="dcterms:W3CDTF">2022-04-29T15:50:38Z</dcterms:created>
  <dcterms:modified xsi:type="dcterms:W3CDTF">2026-09-02T15:51:10Z</dcterms:modified>
  <cp:category/>
  <cp:contentStatus/>
</cp:coreProperties>
</file>