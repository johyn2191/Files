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R:\Neuropsychology\Unterberger, Jeffrey\"/>
    </mc:Choice>
  </mc:AlternateContent>
  <xr:revisionPtr revIDLastSave="0" documentId="8_{0DBD5F28-B68B-4B56-802A-3180CCEC47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res Summary" sheetId="2" r:id="rId1"/>
    <sheet name="Scores Summary 2" sheetId="9" r:id="rId2"/>
    <sheet name="Scores Summary 3" sheetId="12" r:id="rId3"/>
    <sheet name="CVLT Standard" sheetId="15" r:id="rId4"/>
    <sheet name="CVLT Alt" sheetId="16" r:id="rId5"/>
    <sheet name="CVLT-3 (Contrast)" sheetId="14" r:id="rId6"/>
    <sheet name="Heaton Appx C" sheetId="11" r:id="rId7"/>
    <sheet name="Beery VMI" sheetId="8" r:id="rId8"/>
    <sheet name="JOLO" sheetId="7" r:id="rId9"/>
    <sheet name="Stroop Word Predicted" sheetId="1" r:id="rId10"/>
    <sheet name="Stroop Color Predicted" sheetId="3" r:id="rId11"/>
    <sheet name="Stroop Inhibition Predicted" sheetId="4" r:id="rId12"/>
    <sheet name="Stroop T-Score Calc" sheetId="5" r:id="rId13"/>
    <sheet name="Stroop Inter. Pred.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5" l="1"/>
  <c r="H7" i="12" l="1"/>
  <c r="C8" i="12"/>
  <c r="G23" i="2" l="1"/>
  <c r="F23" i="2"/>
  <c r="E23" i="2"/>
  <c r="F169" i="16" l="1"/>
  <c r="F170" i="16" s="1"/>
  <c r="C22" i="16"/>
  <c r="C21" i="16"/>
  <c r="C20" i="16"/>
  <c r="C18" i="16"/>
  <c r="C17" i="16"/>
  <c r="C16" i="16"/>
  <c r="C15" i="16"/>
  <c r="C14" i="16"/>
  <c r="C13" i="16"/>
  <c r="C12" i="16"/>
  <c r="C11" i="16"/>
  <c r="C10" i="16"/>
  <c r="AB9" i="16"/>
  <c r="AB10" i="16" s="1"/>
  <c r="AB11" i="16" s="1"/>
  <c r="AB12" i="16" s="1"/>
  <c r="AB13" i="16" s="1"/>
  <c r="AB14" i="16" s="1"/>
  <c r="AB15" i="16" s="1"/>
  <c r="AB16" i="16" s="1"/>
  <c r="AB17" i="16" s="1"/>
  <c r="AB18" i="16" s="1"/>
  <c r="AB19" i="16" s="1"/>
  <c r="AB20" i="16" s="1"/>
  <c r="AB21" i="16" s="1"/>
  <c r="AB22" i="16" s="1"/>
  <c r="AB23" i="16" s="1"/>
  <c r="AB24" i="16" s="1"/>
  <c r="AB25" i="16" s="1"/>
  <c r="AB26" i="16" s="1"/>
  <c r="AB27" i="16" s="1"/>
  <c r="AB28" i="16" s="1"/>
  <c r="AB29" i="16" s="1"/>
  <c r="AB30" i="16" s="1"/>
  <c r="AB31" i="16" s="1"/>
  <c r="AB32" i="16" s="1"/>
  <c r="AB33" i="16" s="1"/>
  <c r="AB34" i="16" s="1"/>
  <c r="AB35" i="16" s="1"/>
  <c r="AB36" i="16" s="1"/>
  <c r="AB37" i="16" s="1"/>
  <c r="AB38" i="16" s="1"/>
  <c r="AB39" i="16" s="1"/>
  <c r="AB40" i="16" s="1"/>
  <c r="AB41" i="16" s="1"/>
  <c r="AB42" i="16" s="1"/>
  <c r="AB43" i="16" s="1"/>
  <c r="AB44" i="16" s="1"/>
  <c r="AB45" i="16" s="1"/>
  <c r="AB46" i="16" s="1"/>
  <c r="AB47" i="16" s="1"/>
  <c r="AB48" i="16" s="1"/>
  <c r="AB49" i="16" s="1"/>
  <c r="AB50" i="16" s="1"/>
  <c r="AB51" i="16" s="1"/>
  <c r="AB52" i="16" s="1"/>
  <c r="AB53" i="16" s="1"/>
  <c r="AB54" i="16" s="1"/>
  <c r="AB55" i="16" s="1"/>
  <c r="AB56" i="16" s="1"/>
  <c r="AB57" i="16" s="1"/>
  <c r="AB58" i="16" s="1"/>
  <c r="AB59" i="16" s="1"/>
  <c r="AB60" i="16" s="1"/>
  <c r="AB61" i="16" s="1"/>
  <c r="AB62" i="16" s="1"/>
  <c r="AB63" i="16" s="1"/>
  <c r="AB64" i="16" s="1"/>
  <c r="AB65" i="16" s="1"/>
  <c r="AB66" i="16" s="1"/>
  <c r="AB67" i="16" s="1"/>
  <c r="AB68" i="16" s="1"/>
  <c r="AB69" i="16" s="1"/>
  <c r="AB70" i="16" s="1"/>
  <c r="AB71" i="16" s="1"/>
  <c r="AB72" i="16" s="1"/>
  <c r="AB73" i="16" s="1"/>
  <c r="AB74" i="16" s="1"/>
  <c r="AB75" i="16" s="1"/>
  <c r="AB76" i="16" s="1"/>
  <c r="AB77" i="16" s="1"/>
  <c r="AB78" i="16" s="1"/>
  <c r="AB79" i="16" s="1"/>
  <c r="AB80" i="16" s="1"/>
  <c r="AB81" i="16" s="1"/>
  <c r="AB82" i="16" s="1"/>
  <c r="AB83" i="16" s="1"/>
  <c r="AB84" i="16" s="1"/>
  <c r="AB85" i="16" s="1"/>
  <c r="AB86" i="16" s="1"/>
  <c r="AB87" i="16" s="1"/>
  <c r="AB88" i="16" s="1"/>
  <c r="AB89" i="16" s="1"/>
  <c r="AB90" i="16" s="1"/>
  <c r="AB91" i="16" s="1"/>
  <c r="AB92" i="16" s="1"/>
  <c r="AB93" i="16" s="1"/>
  <c r="AB94" i="16" s="1"/>
  <c r="AB95" i="16" s="1"/>
  <c r="AB96" i="16" s="1"/>
  <c r="AB97" i="16" s="1"/>
  <c r="AB98" i="16" s="1"/>
  <c r="AB99" i="16" s="1"/>
  <c r="AB100" i="16" s="1"/>
  <c r="AB101" i="16" s="1"/>
  <c r="AB102" i="16" s="1"/>
  <c r="AB103" i="16" s="1"/>
  <c r="AB104" i="16" s="1"/>
  <c r="AB105" i="16" s="1"/>
  <c r="AB106" i="16" s="1"/>
  <c r="AB107" i="16" s="1"/>
  <c r="AB108" i="16" s="1"/>
  <c r="AB109" i="16" s="1"/>
  <c r="AB110" i="16" s="1"/>
  <c r="AB111" i="16" s="1"/>
  <c r="AB112" i="16" s="1"/>
  <c r="AB113" i="16" s="1"/>
  <c r="AB114" i="16" s="1"/>
  <c r="AB115" i="16" s="1"/>
  <c r="AB116" i="16" s="1"/>
  <c r="AB117" i="16" s="1"/>
  <c r="AB118" i="16" s="1"/>
  <c r="AB119" i="16" s="1"/>
  <c r="AB120" i="16" s="1"/>
  <c r="AB121" i="16" s="1"/>
  <c r="AB122" i="16" s="1"/>
  <c r="AB123" i="16" s="1"/>
  <c r="AB124" i="16" s="1"/>
  <c r="AB125" i="16" s="1"/>
  <c r="AB126" i="16" s="1"/>
  <c r="AB127" i="16" s="1"/>
  <c r="AB128" i="16" s="1"/>
  <c r="AB129" i="16" s="1"/>
  <c r="AB130" i="16" s="1"/>
  <c r="AB131" i="16" s="1"/>
  <c r="AB132" i="16" s="1"/>
  <c r="AB133" i="16" s="1"/>
  <c r="AB134" i="16" s="1"/>
  <c r="AB135" i="16" s="1"/>
  <c r="AB136" i="16" s="1"/>
  <c r="AB137" i="16" s="1"/>
  <c r="AB138" i="16" s="1"/>
  <c r="AB139" i="16" s="1"/>
  <c r="AB140" i="16" s="1"/>
  <c r="AB141" i="16" s="1"/>
  <c r="AB142" i="16" s="1"/>
  <c r="AB143" i="16" s="1"/>
  <c r="AB144" i="16" s="1"/>
  <c r="AB145" i="16" s="1"/>
  <c r="AB146" i="16" s="1"/>
  <c r="AB147" i="16" s="1"/>
  <c r="AB148" i="16" s="1"/>
  <c r="AB149" i="16" s="1"/>
  <c r="AB150" i="16" s="1"/>
  <c r="AB151" i="16" s="1"/>
  <c r="AB152" i="16" s="1"/>
  <c r="AB153" i="16" s="1"/>
  <c r="AB154" i="16" s="1"/>
  <c r="AB155" i="16" s="1"/>
  <c r="AB156" i="16" s="1"/>
  <c r="AB157" i="16" s="1"/>
  <c r="AB158" i="16" s="1"/>
  <c r="AB159" i="16" s="1"/>
  <c r="AB160" i="16" s="1"/>
  <c r="AB161" i="16" s="1"/>
  <c r="AB162" i="16" s="1"/>
  <c r="AB163" i="16" s="1"/>
  <c r="AB164" i="16" s="1"/>
  <c r="AB165" i="16" s="1"/>
  <c r="AB166" i="16" s="1"/>
  <c r="AB167" i="16" s="1"/>
  <c r="AB168" i="16" s="1"/>
  <c r="AB169" i="16" s="1"/>
  <c r="AB170" i="16" s="1"/>
  <c r="AB171" i="16" s="1"/>
  <c r="AB172" i="16" s="1"/>
  <c r="AB173" i="16" s="1"/>
  <c r="AB174" i="16" s="1"/>
  <c r="AB175" i="16" s="1"/>
  <c r="AB176" i="16" s="1"/>
  <c r="AB177" i="16" s="1"/>
  <c r="AB178" i="16" s="1"/>
  <c r="AB179" i="16" s="1"/>
  <c r="AB180" i="16" s="1"/>
  <c r="AB181" i="16" s="1"/>
  <c r="AB182" i="16" s="1"/>
  <c r="AB183" i="16" s="1"/>
  <c r="AB184" i="16" s="1"/>
  <c r="AB185" i="16" s="1"/>
  <c r="AB186" i="16" s="1"/>
  <c r="AB187" i="16" s="1"/>
  <c r="AB188" i="16" s="1"/>
  <c r="AB189" i="16" s="1"/>
  <c r="AB190" i="16" s="1"/>
  <c r="AB191" i="16" s="1"/>
  <c r="AB192" i="16" s="1"/>
  <c r="AB193" i="16" s="1"/>
  <c r="C9" i="16"/>
  <c r="AB8" i="16"/>
  <c r="C8" i="16"/>
  <c r="C7" i="16"/>
  <c r="C6" i="16"/>
  <c r="D29" i="12"/>
  <c r="C19" i="16" s="1"/>
  <c r="AB8" i="15"/>
  <c r="AB9" i="15" s="1"/>
  <c r="AB10" i="15" s="1"/>
  <c r="AB11" i="15" s="1"/>
  <c r="AB12" i="15" s="1"/>
  <c r="AB13" i="15" s="1"/>
  <c r="AB14" i="15" s="1"/>
  <c r="AB15" i="15" s="1"/>
  <c r="AB16" i="15" s="1"/>
  <c r="AB17" i="15" s="1"/>
  <c r="AB18" i="15" s="1"/>
  <c r="AB19" i="15" s="1"/>
  <c r="AB20" i="15" s="1"/>
  <c r="AB21" i="15" s="1"/>
  <c r="AB22" i="15" s="1"/>
  <c r="AB23" i="15" s="1"/>
  <c r="AB24" i="15" s="1"/>
  <c r="AB25" i="15" s="1"/>
  <c r="AB26" i="15" s="1"/>
  <c r="AB27" i="15" s="1"/>
  <c r="AB28" i="15" s="1"/>
  <c r="AB29" i="15" s="1"/>
  <c r="AB30" i="15" s="1"/>
  <c r="AB31" i="15" s="1"/>
  <c r="AB32" i="15" s="1"/>
  <c r="AB33" i="15" s="1"/>
  <c r="AB34" i="15" s="1"/>
  <c r="AB35" i="15" s="1"/>
  <c r="AB36" i="15" s="1"/>
  <c r="AB37" i="15" s="1"/>
  <c r="AB38" i="15" s="1"/>
  <c r="AB39" i="15" s="1"/>
  <c r="AB40" i="15" s="1"/>
  <c r="AB41" i="15" s="1"/>
  <c r="AB42" i="15" s="1"/>
  <c r="AB43" i="15" s="1"/>
  <c r="AB44" i="15" s="1"/>
  <c r="AB45" i="15" s="1"/>
  <c r="AB46" i="15" s="1"/>
  <c r="AB47" i="15" s="1"/>
  <c r="AB48" i="15" s="1"/>
  <c r="AB49" i="15" s="1"/>
  <c r="AB50" i="15" s="1"/>
  <c r="AB51" i="15" s="1"/>
  <c r="AB52" i="15" s="1"/>
  <c r="AB53" i="15" s="1"/>
  <c r="AB54" i="15" s="1"/>
  <c r="AB55" i="15" s="1"/>
  <c r="AB56" i="15" s="1"/>
  <c r="AB57" i="15" s="1"/>
  <c r="AB58" i="15" s="1"/>
  <c r="AB59" i="15" s="1"/>
  <c r="AB60" i="15" s="1"/>
  <c r="AB61" i="15" s="1"/>
  <c r="AB62" i="15" s="1"/>
  <c r="AB63" i="15" s="1"/>
  <c r="AB64" i="15" s="1"/>
  <c r="AB65" i="15" s="1"/>
  <c r="AB66" i="15" s="1"/>
  <c r="AB67" i="15" s="1"/>
  <c r="AB68" i="15" s="1"/>
  <c r="AB69" i="15" s="1"/>
  <c r="AB70" i="15" s="1"/>
  <c r="AB71" i="15" s="1"/>
  <c r="AB72" i="15" s="1"/>
  <c r="AB73" i="15" s="1"/>
  <c r="AB74" i="15" s="1"/>
  <c r="AB75" i="15" s="1"/>
  <c r="AB76" i="15" s="1"/>
  <c r="AB77" i="15" s="1"/>
  <c r="AB78" i="15" s="1"/>
  <c r="AB79" i="15" s="1"/>
  <c r="AB80" i="15" s="1"/>
  <c r="AB81" i="15" s="1"/>
  <c r="AB82" i="15" s="1"/>
  <c r="AB83" i="15" s="1"/>
  <c r="AB84" i="15" s="1"/>
  <c r="AB85" i="15" s="1"/>
  <c r="AB86" i="15" s="1"/>
  <c r="AB87" i="15" s="1"/>
  <c r="AB88" i="15" s="1"/>
  <c r="AB89" i="15" s="1"/>
  <c r="AB90" i="15" s="1"/>
  <c r="AB91" i="15" s="1"/>
  <c r="AB92" i="15" s="1"/>
  <c r="AB93" i="15" s="1"/>
  <c r="AB94" i="15" s="1"/>
  <c r="AB95" i="15" s="1"/>
  <c r="AB96" i="15" s="1"/>
  <c r="AB97" i="15" s="1"/>
  <c r="AB98" i="15" s="1"/>
  <c r="AB99" i="15" s="1"/>
  <c r="AB100" i="15" s="1"/>
  <c r="AB101" i="15" s="1"/>
  <c r="AB102" i="15" s="1"/>
  <c r="AB103" i="15" s="1"/>
  <c r="AB104" i="15" s="1"/>
  <c r="AB105" i="15" s="1"/>
  <c r="AB106" i="15" s="1"/>
  <c r="AB107" i="15" s="1"/>
  <c r="AB108" i="15" s="1"/>
  <c r="AB109" i="15" s="1"/>
  <c r="AB110" i="15" s="1"/>
  <c r="AB111" i="15" s="1"/>
  <c r="AB112" i="15" s="1"/>
  <c r="AB113" i="15" s="1"/>
  <c r="AB114" i="15" s="1"/>
  <c r="AB115" i="15" s="1"/>
  <c r="AB116" i="15" s="1"/>
  <c r="AB117" i="15" s="1"/>
  <c r="AB118" i="15" s="1"/>
  <c r="AB119" i="15" s="1"/>
  <c r="AB120" i="15" s="1"/>
  <c r="AB121" i="15" s="1"/>
  <c r="AB122" i="15" s="1"/>
  <c r="AB123" i="15" s="1"/>
  <c r="AB124" i="15" s="1"/>
  <c r="AB125" i="15" s="1"/>
  <c r="AB126" i="15" s="1"/>
  <c r="AB127" i="15" s="1"/>
  <c r="AB128" i="15" s="1"/>
  <c r="AB129" i="15" s="1"/>
  <c r="AB130" i="15" s="1"/>
  <c r="AB131" i="15" s="1"/>
  <c r="AB132" i="15" s="1"/>
  <c r="AB133" i="15" s="1"/>
  <c r="AB134" i="15" s="1"/>
  <c r="AB135" i="15" s="1"/>
  <c r="AB136" i="15" s="1"/>
  <c r="AB137" i="15" s="1"/>
  <c r="AB138" i="15" s="1"/>
  <c r="AB139" i="15" s="1"/>
  <c r="AB140" i="15" s="1"/>
  <c r="AB141" i="15" s="1"/>
  <c r="AB142" i="15" s="1"/>
  <c r="AB143" i="15" s="1"/>
  <c r="AB144" i="15" s="1"/>
  <c r="AB145" i="15" s="1"/>
  <c r="AB146" i="15" s="1"/>
  <c r="AB147" i="15" s="1"/>
  <c r="AB148" i="15" s="1"/>
  <c r="AB149" i="15" s="1"/>
  <c r="AB150" i="15" s="1"/>
  <c r="AB151" i="15" s="1"/>
  <c r="AB152" i="15" s="1"/>
  <c r="AB153" i="15" s="1"/>
  <c r="AB154" i="15" s="1"/>
  <c r="AB155" i="15" s="1"/>
  <c r="AB156" i="15" s="1"/>
  <c r="AB157" i="15" s="1"/>
  <c r="AB158" i="15" s="1"/>
  <c r="AB159" i="15" s="1"/>
  <c r="AB160" i="15" s="1"/>
  <c r="AB161" i="15" s="1"/>
  <c r="AB162" i="15" s="1"/>
  <c r="AB163" i="15" s="1"/>
  <c r="AB164" i="15" s="1"/>
  <c r="AB165" i="15" s="1"/>
  <c r="AB166" i="15" s="1"/>
  <c r="AB167" i="15" s="1"/>
  <c r="AB168" i="15" s="1"/>
  <c r="AB169" i="15" s="1"/>
  <c r="AB170" i="15" s="1"/>
  <c r="AB171" i="15" s="1"/>
  <c r="AB172" i="15" s="1"/>
  <c r="AB173" i="15" s="1"/>
  <c r="AB174" i="15" s="1"/>
  <c r="AB175" i="15" s="1"/>
  <c r="AB176" i="15" s="1"/>
  <c r="AB177" i="15" s="1"/>
  <c r="AB178" i="15" s="1"/>
  <c r="AB179" i="15" s="1"/>
  <c r="AB180" i="15" s="1"/>
  <c r="AB181" i="15" s="1"/>
  <c r="AB182" i="15" s="1"/>
  <c r="AB183" i="15" s="1"/>
  <c r="AB184" i="15" s="1"/>
  <c r="AB185" i="15" s="1"/>
  <c r="AB186" i="15" s="1"/>
  <c r="AB187" i="15" s="1"/>
  <c r="AB188" i="15" s="1"/>
  <c r="AB189" i="15" s="1"/>
  <c r="AB190" i="15" s="1"/>
  <c r="AB191" i="15" s="1"/>
  <c r="AB192" i="15" s="1"/>
  <c r="AB193" i="15" s="1"/>
  <c r="F171" i="16" l="1"/>
  <c r="F172" i="16" s="1"/>
  <c r="F173" i="16" s="1"/>
  <c r="F174" i="16" s="1"/>
  <c r="F175" i="16" s="1"/>
  <c r="F176" i="16" s="1"/>
  <c r="F177" i="16" s="1"/>
  <c r="F178" i="16" s="1"/>
  <c r="F179" i="16" s="1"/>
  <c r="F180" i="16" s="1"/>
  <c r="F181" i="16" s="1"/>
  <c r="F182" i="16" s="1"/>
  <c r="F183" i="16" s="1"/>
  <c r="F184" i="16" s="1"/>
  <c r="F185" i="16" s="1"/>
  <c r="F186" i="16" s="1"/>
  <c r="F187" i="16" s="1"/>
  <c r="F188" i="16" s="1"/>
  <c r="F189" i="16" s="1"/>
  <c r="F190" i="16" s="1"/>
  <c r="F191" i="16" s="1"/>
  <c r="F192" i="16" s="1"/>
  <c r="F193" i="16" s="1"/>
  <c r="F194" i="16" s="1"/>
  <c r="F195" i="16" s="1"/>
  <c r="F196" i="16" s="1"/>
  <c r="F197" i="16" s="1"/>
  <c r="F198" i="16" s="1"/>
  <c r="F199" i="16" s="1"/>
  <c r="F200" i="16" s="1"/>
  <c r="F201" i="16" s="1"/>
  <c r="F202" i="16" s="1"/>
  <c r="F203" i="16" s="1"/>
  <c r="F204" i="16" s="1"/>
  <c r="F205" i="16" s="1"/>
  <c r="F206" i="16" s="1"/>
  <c r="F207" i="16" s="1"/>
  <c r="F208" i="16" s="1"/>
  <c r="F209" i="16" s="1"/>
  <c r="F210" i="16" s="1"/>
  <c r="F211" i="16" s="1"/>
  <c r="F212" i="16" s="1"/>
  <c r="F213" i="16" s="1"/>
  <c r="F214" i="16" s="1"/>
  <c r="F215" i="16" s="1"/>
  <c r="F216" i="16" s="1"/>
  <c r="F217" i="16" s="1"/>
  <c r="F218" i="16" s="1"/>
  <c r="F219" i="16" s="1"/>
  <c r="F220" i="16" s="1"/>
  <c r="F221" i="16" s="1"/>
  <c r="F222" i="16" s="1"/>
  <c r="F223" i="16" s="1"/>
  <c r="F169" i="15" l="1"/>
  <c r="F170" i="15" s="1"/>
  <c r="F171" i="15" s="1"/>
  <c r="F172" i="15" s="1"/>
  <c r="F173" i="15" s="1"/>
  <c r="F174" i="15" s="1"/>
  <c r="F175" i="15" s="1"/>
  <c r="F176" i="15" s="1"/>
  <c r="F177" i="15" s="1"/>
  <c r="F178" i="15" s="1"/>
  <c r="F179" i="15" s="1"/>
  <c r="F180" i="15" s="1"/>
  <c r="F181" i="15" s="1"/>
  <c r="F182" i="15" s="1"/>
  <c r="F183" i="15" s="1"/>
  <c r="F184" i="15" s="1"/>
  <c r="F185" i="15" s="1"/>
  <c r="F186" i="15" s="1"/>
  <c r="F187" i="15" s="1"/>
  <c r="F188" i="15" s="1"/>
  <c r="F189" i="15" s="1"/>
  <c r="F190" i="15" s="1"/>
  <c r="F191" i="15" s="1"/>
  <c r="F192" i="15" s="1"/>
  <c r="F193" i="15" s="1"/>
  <c r="F194" i="15" s="1"/>
  <c r="F195" i="15" s="1"/>
  <c r="F196" i="15" s="1"/>
  <c r="F197" i="15" s="1"/>
  <c r="F198" i="15" s="1"/>
  <c r="F199" i="15" s="1"/>
  <c r="F200" i="15" s="1"/>
  <c r="F201" i="15" s="1"/>
  <c r="F202" i="15" s="1"/>
  <c r="F203" i="15" s="1"/>
  <c r="F204" i="15" s="1"/>
  <c r="F205" i="15" s="1"/>
  <c r="F206" i="15" s="1"/>
  <c r="F207" i="15" s="1"/>
  <c r="F208" i="15" s="1"/>
  <c r="F209" i="15" s="1"/>
  <c r="F210" i="15" s="1"/>
  <c r="F211" i="15" s="1"/>
  <c r="F212" i="15" s="1"/>
  <c r="F213" i="15" s="1"/>
  <c r="F214" i="15" s="1"/>
  <c r="F215" i="15" s="1"/>
  <c r="F216" i="15" s="1"/>
  <c r="F217" i="15" s="1"/>
  <c r="F218" i="15" s="1"/>
  <c r="F219" i="15" s="1"/>
  <c r="F220" i="15" s="1"/>
  <c r="F221" i="15" s="1"/>
  <c r="F222" i="15" s="1"/>
  <c r="F223" i="15" s="1"/>
  <c r="C10" i="2"/>
  <c r="C2" i="15" l="1"/>
  <c r="C3" i="15" s="1"/>
  <c r="C2" i="16"/>
  <c r="C3" i="16" s="1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D33" i="12"/>
  <c r="D6" i="15" l="1"/>
  <c r="D27" i="15"/>
  <c r="E34" i="12" s="1"/>
  <c r="C23" i="15"/>
  <c r="D23" i="15" s="1"/>
  <c r="E33" i="12" s="1"/>
  <c r="C23" i="16"/>
  <c r="D23" i="16" s="1"/>
  <c r="D22" i="16"/>
  <c r="D15" i="16"/>
  <c r="D17" i="16"/>
  <c r="D9" i="16"/>
  <c r="D20" i="16"/>
  <c r="D21" i="16"/>
  <c r="D6" i="16"/>
  <c r="D16" i="16"/>
  <c r="D11" i="16"/>
  <c r="D10" i="16"/>
  <c r="D19" i="16"/>
  <c r="D7" i="16"/>
  <c r="D14" i="16"/>
  <c r="D8" i="16"/>
  <c r="D12" i="16"/>
  <c r="D13" i="16"/>
  <c r="D18" i="16"/>
  <c r="D18" i="15"/>
  <c r="D16" i="15"/>
  <c r="D9" i="15"/>
  <c r="D8" i="15"/>
  <c r="D21" i="15"/>
  <c r="D22" i="15"/>
  <c r="D7" i="15"/>
  <c r="D20" i="15"/>
  <c r="D14" i="15"/>
  <c r="D19" i="15"/>
  <c r="D12" i="15"/>
  <c r="D13" i="15"/>
  <c r="D17" i="15"/>
  <c r="D11" i="15"/>
  <c r="D10" i="15"/>
  <c r="D15" i="15"/>
  <c r="E21" i="12" l="1"/>
  <c r="G21" i="12" s="1"/>
  <c r="E24" i="12"/>
  <c r="D45" i="12" s="1"/>
  <c r="E25" i="12"/>
  <c r="G25" i="12" s="1"/>
  <c r="E22" i="12"/>
  <c r="G22" i="12" s="1"/>
  <c r="E32" i="12"/>
  <c r="G32" i="12" s="1"/>
  <c r="E20" i="12"/>
  <c r="E44" i="12" s="1"/>
  <c r="E29" i="12"/>
  <c r="G29" i="12" s="1"/>
  <c r="E31" i="12"/>
  <c r="G31" i="12" s="1"/>
  <c r="G33" i="12"/>
  <c r="E18" i="12"/>
  <c r="G18" i="12" s="1"/>
  <c r="E27" i="12"/>
  <c r="G27" i="12" s="1"/>
  <c r="E19" i="12"/>
  <c r="G19" i="12" s="1"/>
  <c r="E23" i="12"/>
  <c r="G23" i="12" s="1"/>
  <c r="E30" i="12"/>
  <c r="G30" i="12" s="1"/>
  <c r="E26" i="12"/>
  <c r="G26" i="12" s="1"/>
  <c r="E16" i="12"/>
  <c r="G16" i="12" s="1"/>
  <c r="E17" i="12"/>
  <c r="G17" i="12" s="1"/>
  <c r="E28" i="12"/>
  <c r="G28" i="12" s="1"/>
  <c r="C4" i="14"/>
  <c r="C6" i="14" l="1"/>
  <c r="C5" i="14"/>
  <c r="C12" i="14" s="1"/>
  <c r="F45" i="12" s="1"/>
  <c r="G45" i="12" s="1"/>
  <c r="E45" i="12"/>
  <c r="D42" i="12"/>
  <c r="E42" i="12"/>
  <c r="C2" i="14"/>
  <c r="C9" i="14" s="1"/>
  <c r="F42" i="12" s="1"/>
  <c r="G42" i="12" s="1"/>
  <c r="D44" i="12"/>
  <c r="D39" i="12"/>
  <c r="C26" i="15" s="1"/>
  <c r="D26" i="15" s="1"/>
  <c r="C7" i="14"/>
  <c r="C13" i="14" s="1"/>
  <c r="F46" i="12" s="1"/>
  <c r="G46" i="12" s="1"/>
  <c r="E43" i="12"/>
  <c r="E46" i="12"/>
  <c r="G20" i="12"/>
  <c r="D38" i="12"/>
  <c r="C25" i="15" s="1"/>
  <c r="D25" i="15" s="1"/>
  <c r="D46" i="12"/>
  <c r="G24" i="12"/>
  <c r="C3" i="14"/>
  <c r="C11" i="14" s="1"/>
  <c r="F44" i="12" s="1"/>
  <c r="G44" i="12" s="1"/>
  <c r="D37" i="12"/>
  <c r="C24" i="15" s="1"/>
  <c r="D24" i="15" s="1"/>
  <c r="D43" i="12"/>
  <c r="H10" i="12"/>
  <c r="C10" i="12"/>
  <c r="H9" i="12"/>
  <c r="C9" i="12"/>
  <c r="H8" i="12"/>
  <c r="B7" i="12"/>
  <c r="C24" i="16" l="1"/>
  <c r="D24" i="16" s="1"/>
  <c r="C26" i="16"/>
  <c r="D26" i="16" s="1"/>
  <c r="C10" i="14"/>
  <c r="F43" i="12" s="1"/>
  <c r="G43" i="12" s="1"/>
  <c r="E38" i="12"/>
  <c r="G38" i="12" s="1"/>
  <c r="E37" i="12"/>
  <c r="G37" i="12" s="1"/>
  <c r="C25" i="16"/>
  <c r="D25" i="16" s="1"/>
  <c r="E39" i="12"/>
  <c r="G39" i="12" s="1"/>
  <c r="E24" i="9"/>
  <c r="E23" i="9"/>
  <c r="W2" i="11"/>
  <c r="W3" i="11" s="1"/>
  <c r="Z2" i="11"/>
  <c r="Z3" i="11" s="1"/>
  <c r="T2" i="11"/>
  <c r="E22" i="9" s="1"/>
  <c r="Q2" i="11"/>
  <c r="N2" i="11"/>
  <c r="E19" i="9" s="1"/>
  <c r="S6" i="11"/>
  <c r="S7" i="11" s="1"/>
  <c r="S8" i="11" s="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S84" i="11" s="1"/>
  <c r="S85" i="11" s="1"/>
  <c r="S86" i="11" s="1"/>
  <c r="S87" i="11" s="1"/>
  <c r="S88" i="11" s="1"/>
  <c r="S89" i="11" s="1"/>
  <c r="S90" i="11" s="1"/>
  <c r="S91" i="11" s="1"/>
  <c r="S92" i="11" s="1"/>
  <c r="S93" i="11" s="1"/>
  <c r="S94" i="11" s="1"/>
  <c r="S95" i="11" s="1"/>
  <c r="S96" i="11" s="1"/>
  <c r="S97" i="11" s="1"/>
  <c r="S98" i="11" s="1"/>
  <c r="S99" i="11" s="1"/>
  <c r="S100" i="11" s="1"/>
  <c r="S101" i="11" s="1"/>
  <c r="S102" i="11" s="1"/>
  <c r="S103" i="11" s="1"/>
  <c r="S104" i="11" s="1"/>
  <c r="S105" i="11" s="1"/>
  <c r="S106" i="11" s="1"/>
  <c r="S107" i="11" s="1"/>
  <c r="S108" i="11" s="1"/>
  <c r="S109" i="11" s="1"/>
  <c r="S110" i="11" s="1"/>
  <c r="S111" i="11" s="1"/>
  <c r="S112" i="11" s="1"/>
  <c r="S113" i="11" s="1"/>
  <c r="S114" i="11" s="1"/>
  <c r="S115" i="11" s="1"/>
  <c r="S116" i="11" s="1"/>
  <c r="S117" i="11" s="1"/>
  <c r="S118" i="11" s="1"/>
  <c r="S119" i="11" s="1"/>
  <c r="S120" i="11" s="1"/>
  <c r="S121" i="11" s="1"/>
  <c r="S122" i="11" s="1"/>
  <c r="S123" i="11" s="1"/>
  <c r="S124" i="11" s="1"/>
  <c r="S125" i="11" s="1"/>
  <c r="S126" i="11" s="1"/>
  <c r="S127" i="11" s="1"/>
  <c r="S128" i="11" s="1"/>
  <c r="S129" i="11" s="1"/>
  <c r="S130" i="11" s="1"/>
  <c r="S131" i="11" s="1"/>
  <c r="S132" i="11" s="1"/>
  <c r="S133" i="11" s="1"/>
  <c r="S134" i="11" s="1"/>
  <c r="S135" i="11" s="1"/>
  <c r="S136" i="11" s="1"/>
  <c r="S137" i="11" s="1"/>
  <c r="S138" i="11" s="1"/>
  <c r="S139" i="11" s="1"/>
  <c r="S140" i="11" s="1"/>
  <c r="S141" i="11" s="1"/>
  <c r="S142" i="11" s="1"/>
  <c r="S143" i="11" s="1"/>
  <c r="S144" i="11" s="1"/>
  <c r="S145" i="11" s="1"/>
  <c r="S146" i="11" s="1"/>
  <c r="S147" i="11" s="1"/>
  <c r="S148" i="11" s="1"/>
  <c r="S149" i="11" s="1"/>
  <c r="S150" i="11" s="1"/>
  <c r="S151" i="11" s="1"/>
  <c r="S152" i="11" s="1"/>
  <c r="S153" i="11" s="1"/>
  <c r="S154" i="11" s="1"/>
  <c r="S155" i="11" s="1"/>
  <c r="S156" i="11" s="1"/>
  <c r="S157" i="11" s="1"/>
  <c r="S158" i="11" s="1"/>
  <c r="S159" i="11" s="1"/>
  <c r="S160" i="11" s="1"/>
  <c r="S161" i="11" s="1"/>
  <c r="P6" i="1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P86" i="11" s="1"/>
  <c r="P87" i="11" s="1"/>
  <c r="P88" i="11" s="1"/>
  <c r="P89" i="11" s="1"/>
  <c r="P90" i="11" s="1"/>
  <c r="P91" i="11" s="1"/>
  <c r="P92" i="11" s="1"/>
  <c r="P93" i="11" s="1"/>
  <c r="P94" i="11" s="1"/>
  <c r="P95" i="11" s="1"/>
  <c r="P96" i="11" s="1"/>
  <c r="P97" i="11" s="1"/>
  <c r="P98" i="11" s="1"/>
  <c r="P99" i="11" s="1"/>
  <c r="P100" i="11" s="1"/>
  <c r="P101" i="11" s="1"/>
  <c r="P102" i="11" s="1"/>
  <c r="P103" i="11" s="1"/>
  <c r="P104" i="11" s="1"/>
  <c r="P105" i="11" s="1"/>
  <c r="P106" i="11" s="1"/>
  <c r="P107" i="11" s="1"/>
  <c r="P108" i="11" s="1"/>
  <c r="P109" i="11" s="1"/>
  <c r="P110" i="11" s="1"/>
  <c r="P111" i="11" s="1"/>
  <c r="P112" i="11" s="1"/>
  <c r="P113" i="11" s="1"/>
  <c r="P114" i="11" s="1"/>
  <c r="P115" i="11" s="1"/>
  <c r="P116" i="11" s="1"/>
  <c r="P117" i="11" s="1"/>
  <c r="P118" i="11" s="1"/>
  <c r="P119" i="11" s="1"/>
  <c r="P120" i="11" s="1"/>
  <c r="P121" i="11" s="1"/>
  <c r="P122" i="11" s="1"/>
  <c r="P123" i="11" s="1"/>
  <c r="P124" i="11" s="1"/>
  <c r="E21" i="9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M103" i="11" s="1"/>
  <c r="M104" i="11" s="1"/>
  <c r="M105" i="11" s="1"/>
  <c r="M106" i="11" s="1"/>
  <c r="M107" i="11" s="1"/>
  <c r="M108" i="11" s="1"/>
  <c r="M109" i="11" s="1"/>
  <c r="M110" i="11" s="1"/>
  <c r="M111" i="11" s="1"/>
  <c r="M112" i="11" s="1"/>
  <c r="M113" i="11" s="1"/>
  <c r="M114" i="11" s="1"/>
  <c r="M115" i="11" s="1"/>
  <c r="M116" i="11" s="1"/>
  <c r="M117" i="11" s="1"/>
  <c r="M118" i="11" s="1"/>
  <c r="M119" i="11" s="1"/>
  <c r="M120" i="11" s="1"/>
  <c r="M121" i="11" s="1"/>
  <c r="M122" i="11" s="1"/>
  <c r="M123" i="11" s="1"/>
  <c r="M124" i="11" s="1"/>
  <c r="M125" i="11" s="1"/>
  <c r="M126" i="11" s="1"/>
  <c r="M127" i="11" s="1"/>
  <c r="M128" i="11" s="1"/>
  <c r="M129" i="11" s="1"/>
  <c r="M130" i="11" s="1"/>
  <c r="M131" i="11" s="1"/>
  <c r="M132" i="11" s="1"/>
  <c r="M133" i="11" s="1"/>
  <c r="M134" i="11" s="1"/>
  <c r="M135" i="11" s="1"/>
  <c r="M136" i="11" s="1"/>
  <c r="M137" i="11" s="1"/>
  <c r="M138" i="11" s="1"/>
  <c r="M139" i="11" s="1"/>
  <c r="M140" i="11" s="1"/>
  <c r="M141" i="11" s="1"/>
  <c r="M142" i="11" s="1"/>
  <c r="M143" i="11" s="1"/>
  <c r="M144" i="11" s="1"/>
  <c r="M145" i="11" s="1"/>
  <c r="M146" i="11" s="1"/>
  <c r="M147" i="11" s="1"/>
  <c r="M148" i="11" s="1"/>
  <c r="M149" i="11" s="1"/>
  <c r="M150" i="11" s="1"/>
  <c r="M151" i="11" s="1"/>
  <c r="M152" i="11" s="1"/>
  <c r="M153" i="11" s="1"/>
  <c r="M154" i="11" s="1"/>
  <c r="M155" i="11" s="1"/>
  <c r="M156" i="11" s="1"/>
  <c r="M157" i="11" s="1"/>
  <c r="M158" i="11" s="1"/>
  <c r="M159" i="11" s="1"/>
  <c r="M160" i="11" s="1"/>
  <c r="M161" i="11" s="1"/>
  <c r="M162" i="11" s="1"/>
  <c r="M163" i="11" s="1"/>
  <c r="M164" i="11" s="1"/>
  <c r="M165" i="11" s="1"/>
  <c r="M166" i="11" s="1"/>
  <c r="M167" i="11" s="1"/>
  <c r="M168" i="11" s="1"/>
  <c r="M169" i="11" s="1"/>
  <c r="M170" i="11" s="1"/>
  <c r="M171" i="11" s="1"/>
  <c r="M172" i="11" s="1"/>
  <c r="M173" i="11" s="1"/>
  <c r="M174" i="11" s="1"/>
  <c r="M175" i="11" s="1"/>
  <c r="M176" i="11" s="1"/>
  <c r="M177" i="11" s="1"/>
  <c r="M178" i="11" s="1"/>
  <c r="M179" i="11" s="1"/>
  <c r="M180" i="11" s="1"/>
  <c r="M181" i="11" s="1"/>
  <c r="M182" i="11" s="1"/>
  <c r="M183" i="11" s="1"/>
  <c r="M184" i="11" s="1"/>
  <c r="M185" i="11" s="1"/>
  <c r="M186" i="11" s="1"/>
  <c r="M187" i="11" s="1"/>
  <c r="M188" i="11" s="1"/>
  <c r="M189" i="11" s="1"/>
  <c r="M190" i="11" s="1"/>
  <c r="M191" i="11" s="1"/>
  <c r="M192" i="11" s="1"/>
  <c r="M193" i="11" s="1"/>
  <c r="M194" i="11" s="1"/>
  <c r="M195" i="11" s="1"/>
  <c r="M196" i="11" s="1"/>
  <c r="M197" i="11" s="1"/>
  <c r="M198" i="11" s="1"/>
  <c r="M199" i="11" s="1"/>
  <c r="M200" i="11" s="1"/>
  <c r="M201" i="11" s="1"/>
  <c r="M202" i="11" s="1"/>
  <c r="M203" i="11" s="1"/>
  <c r="M204" i="11" s="1"/>
  <c r="M205" i="11" s="1"/>
  <c r="M206" i="11" s="1"/>
  <c r="M207" i="11" s="1"/>
  <c r="M208" i="11" s="1"/>
  <c r="M209" i="11" s="1"/>
  <c r="M210" i="11" s="1"/>
  <c r="M211" i="11" s="1"/>
  <c r="M212" i="11" s="1"/>
  <c r="M213" i="11" s="1"/>
  <c r="M214" i="11" s="1"/>
  <c r="M215" i="11" s="1"/>
  <c r="M216" i="11" s="1"/>
  <c r="M217" i="11" s="1"/>
  <c r="M218" i="11" s="1"/>
  <c r="M219" i="11" s="1"/>
  <c r="M220" i="11" s="1"/>
  <c r="M221" i="11" s="1"/>
  <c r="M222" i="11" s="1"/>
  <c r="M223" i="11" s="1"/>
  <c r="M224" i="11" s="1"/>
  <c r="M225" i="11" s="1"/>
  <c r="M226" i="11" s="1"/>
  <c r="M227" i="11" s="1"/>
  <c r="M228" i="11" s="1"/>
  <c r="M229" i="11" s="1"/>
  <c r="M230" i="11" s="1"/>
  <c r="M231" i="11" s="1"/>
  <c r="M232" i="11" s="1"/>
  <c r="M233" i="11" s="1"/>
  <c r="M234" i="11" s="1"/>
  <c r="M235" i="11" s="1"/>
  <c r="M236" i="11" s="1"/>
  <c r="M237" i="11" s="1"/>
  <c r="M238" i="11" s="1"/>
  <c r="M239" i="11" s="1"/>
  <c r="M240" i="11" s="1"/>
  <c r="M241" i="11" s="1"/>
  <c r="M242" i="11" s="1"/>
  <c r="M243" i="11" s="1"/>
  <c r="M244" i="11" s="1"/>
  <c r="M245" i="11" s="1"/>
  <c r="M246" i="11" s="1"/>
  <c r="M247" i="11" s="1"/>
  <c r="M248" i="11" s="1"/>
  <c r="M249" i="11" s="1"/>
  <c r="M250" i="11" s="1"/>
  <c r="M251" i="11" s="1"/>
  <c r="M252" i="11" s="1"/>
  <c r="M253" i="11" s="1"/>
  <c r="M254" i="11" s="1"/>
  <c r="M255" i="11" s="1"/>
  <c r="M256" i="11" s="1"/>
  <c r="M257" i="11" s="1"/>
  <c r="M258" i="11" s="1"/>
  <c r="M259" i="11" s="1"/>
  <c r="M260" i="11" s="1"/>
  <c r="M261" i="11" s="1"/>
  <c r="M262" i="11" s="1"/>
  <c r="M263" i="11" s="1"/>
  <c r="M264" i="11" s="1"/>
  <c r="M265" i="11" s="1"/>
  <c r="M266" i="11" s="1"/>
  <c r="M267" i="11" s="1"/>
  <c r="M268" i="11" s="1"/>
  <c r="M269" i="11" s="1"/>
  <c r="M270" i="11" s="1"/>
  <c r="M271" i="11" s="1"/>
  <c r="M272" i="11" s="1"/>
  <c r="M273" i="11" s="1"/>
  <c r="M274" i="11" s="1"/>
  <c r="M275" i="11" s="1"/>
  <c r="M276" i="11" s="1"/>
  <c r="M277" i="11" s="1"/>
  <c r="M278" i="11" s="1"/>
  <c r="M279" i="11" s="1"/>
  <c r="M6" i="11"/>
  <c r="E18" i="9"/>
  <c r="J7" i="1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6" i="11"/>
  <c r="K2" i="11"/>
  <c r="H2" i="11"/>
  <c r="E2" i="11"/>
  <c r="B2" i="11"/>
  <c r="E17" i="9"/>
  <c r="E16" i="9"/>
  <c r="E20" i="9"/>
  <c r="G6" i="1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D6" i="1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G26" i="9"/>
  <c r="G25" i="9"/>
  <c r="G24" i="9"/>
  <c r="G23" i="9"/>
  <c r="G22" i="9"/>
  <c r="G21" i="9"/>
  <c r="G20" i="9"/>
  <c r="G19" i="9"/>
  <c r="G18" i="9"/>
  <c r="G17" i="9"/>
  <c r="G16" i="9"/>
  <c r="H10" i="9" l="1"/>
  <c r="C9" i="9" l="1"/>
  <c r="H9" i="9"/>
  <c r="H8" i="9"/>
  <c r="H7" i="9"/>
  <c r="C8" i="9"/>
  <c r="B7" i="9"/>
  <c r="K3" i="8" l="1"/>
  <c r="K5" i="8" s="1"/>
  <c r="H33" i="2" s="1"/>
  <c r="H3" i="8"/>
  <c r="H5" i="8" s="1"/>
  <c r="H32" i="2" s="1"/>
  <c r="E3" i="8"/>
  <c r="E5" i="8" s="1"/>
  <c r="H31" i="2" s="1"/>
  <c r="E27" i="2" l="1"/>
  <c r="B21" i="7"/>
  <c r="B19" i="7"/>
  <c r="C23" i="7" s="1"/>
  <c r="F38" i="6" l="1"/>
  <c r="N38" i="6" s="1"/>
  <c r="F37" i="6"/>
  <c r="N37" i="6" s="1"/>
  <c r="B25" i="1"/>
  <c r="B25" i="3" s="1"/>
  <c r="C22" i="1"/>
  <c r="C22" i="4" s="1"/>
  <c r="C21" i="1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B2" i="8" l="1"/>
  <c r="E2" i="8" s="1"/>
  <c r="P20" i="8" s="1"/>
  <c r="Q20" i="8" s="1"/>
  <c r="E4" i="8" s="1"/>
  <c r="C10" i="9"/>
  <c r="C11" i="2"/>
  <c r="B18" i="7"/>
  <c r="C22" i="7" s="1"/>
  <c r="B25" i="4"/>
  <c r="C23" i="1"/>
  <c r="C23" i="4" s="1"/>
  <c r="C22" i="3"/>
  <c r="C21" i="3"/>
  <c r="C21" i="4"/>
  <c r="V37" i="6"/>
  <c r="D19" i="2" s="1"/>
  <c r="E31" i="2" l="1"/>
  <c r="F31" i="2" s="1"/>
  <c r="H2" i="8"/>
  <c r="K2" i="8" s="1"/>
  <c r="C11" i="9"/>
  <c r="C11" i="12"/>
  <c r="B24" i="7"/>
  <c r="B25" i="7" s="1"/>
  <c r="C23" i="3"/>
  <c r="C24" i="1"/>
  <c r="I24" i="1" s="1"/>
  <c r="G31" i="2" l="1"/>
  <c r="P44" i="8"/>
  <c r="Q44" i="8" s="1"/>
  <c r="H4" i="8" s="1"/>
  <c r="E32" i="2" s="1"/>
  <c r="F32" i="2" s="1"/>
  <c r="B26" i="7"/>
  <c r="C24" i="4"/>
  <c r="I24" i="4" s="1"/>
  <c r="C24" i="3"/>
  <c r="I24" i="3" s="1"/>
  <c r="K4" i="8" l="1"/>
  <c r="G32" i="2"/>
  <c r="A3" i="5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E33" i="2"/>
  <c r="F33" i="2" s="1"/>
  <c r="E18" i="2"/>
  <c r="F18" i="2" s="1"/>
  <c r="E16" i="2"/>
  <c r="F16" i="2" s="1"/>
  <c r="G19" i="2" l="1"/>
  <c r="H19" i="2" s="1"/>
  <c r="G33" i="2"/>
  <c r="G16" i="2"/>
  <c r="H16" i="2" s="1"/>
  <c r="G18" i="2"/>
  <c r="H18" i="2" s="1"/>
  <c r="E17" i="2"/>
  <c r="F17" i="2" s="1"/>
  <c r="G17" i="2" l="1"/>
  <c r="H17" i="2" s="1"/>
</calcChain>
</file>

<file path=xl/sharedStrings.xml><?xml version="1.0" encoding="utf-8"?>
<sst xmlns="http://schemas.openxmlformats.org/spreadsheetml/2006/main" count="1195" uniqueCount="267">
  <si>
    <t>Age:</t>
  </si>
  <si>
    <t>Ed:</t>
  </si>
  <si>
    <t>Date of Birth:</t>
  </si>
  <si>
    <t>Rounded Age:</t>
  </si>
  <si>
    <t>Date of Testing:</t>
  </si>
  <si>
    <t>Predicted Score:</t>
  </si>
  <si>
    <t xml:space="preserve">Name: </t>
  </si>
  <si>
    <t>DOB:</t>
  </si>
  <si>
    <t>Score Summaries</t>
  </si>
  <si>
    <t>Years of Ed:</t>
  </si>
  <si>
    <t>Race/Ethnic.:</t>
  </si>
  <si>
    <t>years</t>
  </si>
  <si>
    <t>months</t>
  </si>
  <si>
    <t>Stroop:</t>
  </si>
  <si>
    <t xml:space="preserve">Raw </t>
  </si>
  <si>
    <t>Predicted</t>
  </si>
  <si>
    <t>Residual</t>
  </si>
  <si>
    <t>T-Score</t>
  </si>
  <si>
    <t>Percentile</t>
  </si>
  <si>
    <t>Word Score (W)</t>
  </si>
  <si>
    <t xml:space="preserve">Color Score (C) </t>
  </si>
  <si>
    <t>Color-Word  (CW)</t>
  </si>
  <si>
    <t>Interference</t>
  </si>
  <si>
    <t>Deviation Score</t>
  </si>
  <si>
    <t>Word</t>
  </si>
  <si>
    <t>Color</t>
  </si>
  <si>
    <t>Color-Word</t>
  </si>
  <si>
    <t>Interferece</t>
  </si>
  <si>
    <r>
      <t>↑Word</t>
    </r>
    <r>
      <rPr>
        <sz val="11"/>
        <color theme="1"/>
        <rFont val="Calibri"/>
        <family val="2"/>
      </rPr>
      <t>↑</t>
    </r>
  </si>
  <si>
    <t>←Color</t>
  </si>
  <si>
    <t>Raw Word Score:</t>
  </si>
  <si>
    <t>Raw Color Score:</t>
  </si>
  <si>
    <t>Rounded Word Score:</t>
  </si>
  <si>
    <t>Rounded Color Score:</t>
  </si>
  <si>
    <t xml:space="preserve">Predicted CW Score: </t>
  </si>
  <si>
    <t>Judgment of Line Orientation (Benton)</t>
  </si>
  <si>
    <t>Raw</t>
  </si>
  <si>
    <t>Corrected</t>
  </si>
  <si>
    <t>Range</t>
  </si>
  <si>
    <t>Total</t>
  </si>
  <si>
    <t>Score (Corrected)</t>
  </si>
  <si>
    <t>Frequency</t>
  </si>
  <si>
    <t>Classification</t>
  </si>
  <si>
    <t>&lt;17</t>
  </si>
  <si>
    <t>86+</t>
  </si>
  <si>
    <t>Superior</t>
  </si>
  <si>
    <t>High Average</t>
  </si>
  <si>
    <t>Average</t>
  </si>
  <si>
    <t>Low Average</t>
  </si>
  <si>
    <t>Borderline</t>
  </si>
  <si>
    <t>Moderately Defective</t>
  </si>
  <si>
    <t>Severely Defective</t>
  </si>
  <si>
    <t>Raw Score</t>
  </si>
  <si>
    <t>Age Correction</t>
  </si>
  <si>
    <t>Gender Correction</t>
  </si>
  <si>
    <t>Total Corrected</t>
  </si>
  <si>
    <t>Age</t>
  </si>
  <si>
    <t>Gender</t>
  </si>
  <si>
    <t>+</t>
  </si>
  <si>
    <t>Gender Norms:</t>
  </si>
  <si>
    <t>Visual Form Discrimination (Benton)</t>
  </si>
  <si>
    <t>Beery VMI (18+)</t>
  </si>
  <si>
    <t>VMI Score</t>
  </si>
  <si>
    <t>19-39</t>
  </si>
  <si>
    <t>40-49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</si>
  <si>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</si>
  <si>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</si>
  <si>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</si>
  <si>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</si>
  <si>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</si>
  <si>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</si>
  <si>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</si>
  <si>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</si>
  <si>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</si>
  <si>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</si>
  <si>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&lt;45</t>
  </si>
  <si>
    <t>Standard</t>
  </si>
  <si>
    <t>A-E</t>
  </si>
  <si>
    <t>Beery VMI</t>
  </si>
  <si>
    <t>Visual Perception</t>
  </si>
  <si>
    <t>Motor Coordination</t>
  </si>
  <si>
    <t>VMI Age:</t>
  </si>
  <si>
    <t>VP Age:</t>
  </si>
  <si>
    <t>MC Age:</t>
  </si>
  <si>
    <t>Score:</t>
  </si>
  <si>
    <t>SS:</t>
  </si>
  <si>
    <t>&gt;18.5</t>
  </si>
  <si>
    <t>18:5</t>
  </si>
  <si>
    <t>16:0</t>
  </si>
  <si>
    <t>13:5</t>
  </si>
  <si>
    <t>12:3</t>
  </si>
  <si>
    <t>11:1</t>
  </si>
  <si>
    <t>10:3</t>
  </si>
  <si>
    <t>9:7</t>
  </si>
  <si>
    <t>8:7</t>
  </si>
  <si>
    <t>7:6</t>
  </si>
  <si>
    <t>4:4</t>
  </si>
  <si>
    <t>8:1</t>
  </si>
  <si>
    <t>7:1</t>
  </si>
  <si>
    <t>6:7</t>
  </si>
  <si>
    <t>6:3</t>
  </si>
  <si>
    <t>5:11</t>
  </si>
  <si>
    <t>5:6</t>
  </si>
  <si>
    <t>5:2</t>
  </si>
  <si>
    <t>4:10</t>
  </si>
  <si>
    <t>4:6</t>
  </si>
  <si>
    <t>4:3</t>
  </si>
  <si>
    <t>4:0</t>
  </si>
  <si>
    <t>3:8</t>
  </si>
  <si>
    <t>3:5</t>
  </si>
  <si>
    <t>3:1</t>
  </si>
  <si>
    <t>2:10</t>
  </si>
  <si>
    <t>2:5</t>
  </si>
  <si>
    <t>&lt;2:4</t>
  </si>
  <si>
    <t>VP Score</t>
  </si>
  <si>
    <t>19-49</t>
  </si>
  <si>
    <t>50-59</t>
  </si>
  <si>
    <t>60-69</t>
  </si>
  <si>
    <t xml:space="preserve">A-E </t>
  </si>
  <si>
    <t>MC Score</t>
  </si>
  <si>
    <t>&gt;16:0</t>
  </si>
  <si>
    <t>15:0</t>
  </si>
  <si>
    <t>12:8</t>
  </si>
  <si>
    <t>11:8</t>
  </si>
  <si>
    <t>10:8</t>
  </si>
  <si>
    <t>9:8</t>
  </si>
  <si>
    <t>8:8</t>
  </si>
  <si>
    <t>8:4</t>
  </si>
  <si>
    <t>7:8</t>
  </si>
  <si>
    <t>7:4</t>
  </si>
  <si>
    <t>6:8</t>
  </si>
  <si>
    <t>6:4</t>
  </si>
  <si>
    <t>5:8</t>
  </si>
  <si>
    <t>5:1</t>
  </si>
  <si>
    <t>4:8</t>
  </si>
  <si>
    <t>3:9</t>
  </si>
  <si>
    <t>3:7</t>
  </si>
  <si>
    <t>3:3</t>
  </si>
  <si>
    <t>2:11</t>
  </si>
  <si>
    <t>&lt;2:11</t>
  </si>
  <si>
    <t>16:1</t>
  </si>
  <si>
    <t>12:5</t>
  </si>
  <si>
    <t>9:4</t>
  </si>
  <si>
    <t>5:4</t>
  </si>
  <si>
    <t>4:11</t>
  </si>
  <si>
    <t>4:7</t>
  </si>
  <si>
    <t>A-E:</t>
  </si>
  <si>
    <t>Heaton Scores:</t>
  </si>
  <si>
    <t>Test</t>
  </si>
  <si>
    <t>Scaled</t>
  </si>
  <si>
    <t>FAS Naming</t>
  </si>
  <si>
    <t>Animal Naming</t>
  </si>
  <si>
    <t>Trails A</t>
  </si>
  <si>
    <t>Trails B</t>
  </si>
  <si>
    <t>Boston Naming</t>
  </si>
  <si>
    <t>Handedness Norms:</t>
  </si>
  <si>
    <t>Grooved PB - DH</t>
  </si>
  <si>
    <t>Grooed PB - NDH</t>
  </si>
  <si>
    <t>Finger Tapping - DH</t>
  </si>
  <si>
    <t>Finger Tapping - NDH</t>
  </si>
  <si>
    <t>Grip Strength - DH</t>
  </si>
  <si>
    <t>Grip Strengh - NDH</t>
  </si>
  <si>
    <t>FAS</t>
  </si>
  <si>
    <t>Animals</t>
  </si>
  <si>
    <t>Grooved DH</t>
  </si>
  <si>
    <t>Grooved NDH</t>
  </si>
  <si>
    <t>FTT DH</t>
  </si>
  <si>
    <t>FTT NDH</t>
  </si>
  <si>
    <t>Grip DH</t>
  </si>
  <si>
    <t>Grip NDH</t>
  </si>
  <si>
    <t>SS</t>
  </si>
  <si>
    <t xml:space="preserve">FAS </t>
  </si>
  <si>
    <t xml:space="preserve">Rounded </t>
  </si>
  <si>
    <t>Rounded</t>
  </si>
  <si>
    <t>300+</t>
  </si>
  <si>
    <t>GPB DH</t>
  </si>
  <si>
    <t>166+</t>
  </si>
  <si>
    <t>GBP NDH</t>
  </si>
  <si>
    <t>202+</t>
  </si>
  <si>
    <t>CVLT-3 Standard Form</t>
  </si>
  <si>
    <t>Trial 1 Correct</t>
  </si>
  <si>
    <t>Trial 2 Correct</t>
  </si>
  <si>
    <t>Trial 3 Correct</t>
  </si>
  <si>
    <t>Trial 4 Correct</t>
  </si>
  <si>
    <t>Trial 5 Correct</t>
  </si>
  <si>
    <t>List B Correct</t>
  </si>
  <si>
    <t>SD Free Recall</t>
  </si>
  <si>
    <t>SD Cued Recall</t>
  </si>
  <si>
    <t>LD Free Recall</t>
  </si>
  <si>
    <t>LD Cued Recall</t>
  </si>
  <si>
    <t>Trials 1-5 Intrusions</t>
  </si>
  <si>
    <t>Free Recall Intrus.</t>
  </si>
  <si>
    <t>Cued Recall Intrus.</t>
  </si>
  <si>
    <t>Total Intrusions</t>
  </si>
  <si>
    <t>Total Repetitions</t>
  </si>
  <si>
    <t>Y/N Recog. Hits</t>
  </si>
  <si>
    <t>Y/N Recog. FPs</t>
  </si>
  <si>
    <t>Y/N Recog. Discrim NP</t>
  </si>
  <si>
    <t>Score</t>
  </si>
  <si>
    <t>Index Score</t>
  </si>
  <si>
    <t>Standard Score</t>
  </si>
  <si>
    <t>Scaled Score</t>
  </si>
  <si>
    <t>Trials 1-5 Correct</t>
  </si>
  <si>
    <t>Delayed Recall Correct</t>
  </si>
  <si>
    <t>Total Recall Correct</t>
  </si>
  <si>
    <t>Y/N Recog Discrim NP</t>
  </si>
  <si>
    <t>Contrast Scores</t>
  </si>
  <si>
    <t>SDFR vs. T5</t>
  </si>
  <si>
    <t>List B vs. T1</t>
  </si>
  <si>
    <t>LDFR vs. T5</t>
  </si>
  <si>
    <t>LDFR vs. SDFR</t>
  </si>
  <si>
    <t>LDFR vs. Recog.</t>
  </si>
  <si>
    <t>Score 1</t>
  </si>
  <si>
    <t>Score 2</t>
  </si>
  <si>
    <t>Contrast</t>
  </si>
  <si>
    <t>Scale</t>
  </si>
  <si>
    <t>List B</t>
  </si>
  <si>
    <t>1-3</t>
  </si>
  <si>
    <t>4-5</t>
  </si>
  <si>
    <t>6-7</t>
  </si>
  <si>
    <t>8-9</t>
  </si>
  <si>
    <t>10-11</t>
  </si>
  <si>
    <t>12-13</t>
  </si>
  <si>
    <t>14-15</t>
  </si>
  <si>
    <t>16-19</t>
  </si>
  <si>
    <t>LIST B VS. T1 CONTRAST SCORES</t>
  </si>
  <si>
    <t>Column</t>
  </si>
  <si>
    <t>SDFR</t>
  </si>
  <si>
    <t>SDFR VS. T5 CONTRAST SCORES</t>
  </si>
  <si>
    <t>LDFR</t>
  </si>
  <si>
    <t>LDFR VS. T5 CONTRAST SCORES</t>
  </si>
  <si>
    <t>LDFR VS. SDFR CONTRAST SCORES</t>
  </si>
  <si>
    <t>LDFR VS. RECOG CONTRAST SCORES</t>
  </si>
  <si>
    <t>T1-5 Int</t>
  </si>
  <si>
    <t>Total Int</t>
  </si>
  <si>
    <t>Total Rep</t>
  </si>
  <si>
    <t>Hits</t>
  </si>
  <si>
    <t>FP</t>
  </si>
  <si>
    <t>STANDARD FORM</t>
  </si>
  <si>
    <t>20-29</t>
  </si>
  <si>
    <t>30-44</t>
  </si>
  <si>
    <t>45-59</t>
  </si>
  <si>
    <t>70-79</t>
  </si>
  <si>
    <t>80-90</t>
  </si>
  <si>
    <t>Truncated Age</t>
  </si>
  <si>
    <t>Age Range for CVLT</t>
  </si>
  <si>
    <t>Free Recall Int</t>
  </si>
  <si>
    <t>Cued Recall Int</t>
  </si>
  <si>
    <t>T1 Correct</t>
  </si>
  <si>
    <t>T2 Correct</t>
  </si>
  <si>
    <t>T3 Correct</t>
  </si>
  <si>
    <t>T4 Correct</t>
  </si>
  <si>
    <t>T5 Correct</t>
  </si>
  <si>
    <t>SDFR Correct</t>
  </si>
  <si>
    <t>SDCR Correct</t>
  </si>
  <si>
    <t>LDFR Correct</t>
  </si>
  <si>
    <t>LDCR Correct</t>
  </si>
  <si>
    <t>ss/SS</t>
  </si>
  <si>
    <t>Recog Discrim NP</t>
  </si>
  <si>
    <t>Trials 1-5</t>
  </si>
  <si>
    <t>Delayed</t>
  </si>
  <si>
    <t>Total Rec</t>
  </si>
  <si>
    <t>ALTERNATE FORM</t>
  </si>
  <si>
    <r>
      <t xml:space="preserve">Instructions: Enter in values in the </t>
    </r>
    <r>
      <rPr>
        <b/>
        <i/>
        <sz val="12"/>
        <color theme="8" tint="0.59999389629810485"/>
        <rFont val="Calibri"/>
        <family val="2"/>
        <scheme val="minor"/>
      </rPr>
      <t>light blue</t>
    </r>
    <r>
      <rPr>
        <b/>
        <i/>
        <sz val="12"/>
        <color theme="1"/>
        <rFont val="Calibri"/>
        <family val="2"/>
        <scheme val="minor"/>
      </rPr>
      <t xml:space="preserve"> boxes. </t>
    </r>
  </si>
  <si>
    <t>Forced Choice Recognition</t>
  </si>
  <si>
    <t>Forced Choice Raw</t>
  </si>
  <si>
    <t>(base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</si>
</sst>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454545"/>
      <name val="Calibri"/>
      <family val="2"/>
      <scheme val="minor"/>
    </font>
    <font>
      <b/>
      <u val="doubleAccounting"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8"/>
      <name val="Calibri"/>
      <family val="2"/>
      <scheme val="minor"/>
    </font>
    <font>
      <u/>
      <sz val="11"/>
      <name val="Calibri"/>
      <family val="2"/>
      <scheme val="minor"/>
    </font>
    <font>
      <sz val="12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8" tint="0.59999389629810485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0" xfId="0" applyFont="1" applyFill="1"/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  <xf numFmtId="0" fontId="6" fillId="4" borderId="0" xfId="0" applyFont="1" applyFill="1"/>
    <xf numFmtId="0" fontId="3" fillId="4" borderId="0" xfId="0" applyFont="1" applyFill="1"/>
    <xf numFmtId="0" fontId="0" fillId="0" borderId="4" xfId="0" applyBorder="1"/>
    <xf numFmtId="0" fontId="8" fillId="0" borderId="0" xfId="0" applyFont="1"/>
    <xf numFmtId="0" fontId="0" fillId="6" borderId="7" xfId="0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left"/>
    </xf>
    <xf numFmtId="0" fontId="1" fillId="2" borderId="7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1" fontId="1" fillId="7" borderId="7" xfId="0" applyNumberFormat="1" applyFont="1" applyFill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1" fontId="1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  <xf numFmtId="0" fontId="1" fillId="0" borderId="0" xfId="0" applyFont="1"/>
    <xf numFmtId="0" fontId="1" fillId="0" borderId="0" xfId="0" applyFont="1" applyProtection="1">
      <protection locked="0"/>
    </xf>
    <xf numFmtId="0" fontId="11" fillId="0" borderId="0" xfId="0" applyFont="1" applyAlignment="1">
      <alignment horizontal="right"/>
    </xf>
    <xf numFmtId="0" fontId="1" fillId="4" borderId="0" xfId="0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0" fontId="0" fillId="0" borderId="12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2" fillId="0" borderId="0" xfId="0" applyFont="1" applyAlignment="1" applyProtection="1">
      <alignment horizontal="center"/>
      <protection hidden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164" fontId="17" fillId="0" borderId="20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164" fontId="17" fillId="0" borderId="21" xfId="0" applyNumberFormat="1" applyFont="1" applyBorder="1" applyAlignment="1">
      <alignment horizontal="center"/>
    </xf>
    <xf numFmtId="164" fontId="17" fillId="0" borderId="22" xfId="0" applyNumberFormat="1" applyFont="1" applyBorder="1" applyAlignment="1">
      <alignment horizontal="center"/>
    </xf>
    <xf numFmtId="164" fontId="17" fillId="0" borderId="23" xfId="0" applyNumberFormat="1" applyFont="1" applyBorder="1" applyAlignment="1">
      <alignment horizontal="center"/>
    </xf>
    <xf numFmtId="164" fontId="17" fillId="0" borderId="24" xfId="0" applyNumberFormat="1" applyFont="1" applyBorder="1" applyAlignment="1">
      <alignment horizontal="center"/>
    </xf>
    <xf numFmtId="0" fontId="25" fillId="7" borderId="0" xfId="0" applyFont="1" applyFill="1"/>
    <xf numFmtId="164" fontId="1" fillId="7" borderId="0" xfId="0" applyNumberFormat="1" applyFont="1" applyFill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2" borderId="0" xfId="0" applyFont="1" applyFill="1" applyAlignment="1" applyProtection="1">
      <alignment horizontal="center"/>
      <protection locked="0"/>
    </xf>
    <xf numFmtId="0" fontId="1" fillId="7" borderId="7" xfId="0" applyFont="1" applyFill="1" applyBorder="1" applyAlignment="1">
      <alignment horizontal="center"/>
    </xf>
    <xf numFmtId="0" fontId="1" fillId="2" borderId="7" xfId="0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14" fontId="3" fillId="2" borderId="0" xfId="0" applyNumberFormat="1" applyFont="1" applyFill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14" fontId="3" fillId="4" borderId="0" xfId="0" applyNumberFormat="1" applyFont="1" applyFill="1" applyAlignment="1" applyProtection="1">
      <alignment horizontal="center"/>
      <protection locked="0"/>
    </xf>
    <xf numFmtId="0" fontId="1" fillId="7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view="pageLayout" zoomScale="85" zoomScaleNormal="100" zoomScalePageLayoutView="85" workbookViewId="0">
      <selection activeCell="C10" sqref="C10"/>
    </sheetView>
  </sheetViews>
  <sheetFormatPr defaultRowHeight="15" x14ac:dyDescent="0.25"/>
  <sheetData>
    <row r="2" spans="1:9" ht="15" customHeight="1" x14ac:dyDescent="0.25">
      <c r="A2" s="104" t="s">
        <v>8</v>
      </c>
      <c r="B2" s="104"/>
      <c r="C2" s="104"/>
      <c r="D2" s="104"/>
      <c r="E2" s="104"/>
      <c r="F2" s="104"/>
      <c r="G2" s="104"/>
      <c r="H2" s="104"/>
      <c r="I2" s="104"/>
    </row>
    <row r="3" spans="1:9" ht="1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</row>
    <row r="4" spans="1:9" ht="15" customHeight="1" x14ac:dyDescent="0.3">
      <c r="A4" s="7"/>
      <c r="B4" s="7"/>
      <c r="C4" s="7"/>
      <c r="D4" s="7"/>
      <c r="E4" s="7"/>
      <c r="F4" s="7"/>
      <c r="G4" s="7"/>
      <c r="H4" s="7"/>
      <c r="I4" s="7"/>
    </row>
    <row r="5" spans="1:9" ht="15" customHeight="1" x14ac:dyDescent="0.25">
      <c r="A5" s="106" t="s">
        <v>263</v>
      </c>
      <c r="B5" s="106"/>
      <c r="C5" s="106"/>
      <c r="D5" s="106"/>
      <c r="E5" s="106"/>
      <c r="F5" s="106"/>
      <c r="G5" s="106"/>
      <c r="H5" s="106"/>
      <c r="I5" s="106"/>
    </row>
    <row r="7" spans="1:9" ht="15.75" x14ac:dyDescent="0.25">
      <c r="A7" s="9" t="s">
        <v>6</v>
      </c>
      <c r="B7" s="96"/>
      <c r="C7" s="96"/>
      <c r="D7" s="96"/>
      <c r="E7" s="96"/>
      <c r="F7" s="10"/>
      <c r="G7" s="9" t="s">
        <v>7</v>
      </c>
      <c r="H7" s="107">
        <v>29722</v>
      </c>
      <c r="I7" s="96"/>
    </row>
    <row r="8" spans="1:9" ht="15.75" x14ac:dyDescent="0.25">
      <c r="A8" s="105" t="s">
        <v>4</v>
      </c>
      <c r="B8" s="105"/>
      <c r="C8" s="107">
        <v>44704</v>
      </c>
      <c r="D8" s="107"/>
      <c r="E8" s="107"/>
      <c r="F8" s="8"/>
      <c r="G8" s="9" t="s">
        <v>9</v>
      </c>
      <c r="H8" s="96">
        <v>18</v>
      </c>
      <c r="I8" s="96"/>
    </row>
    <row r="9" spans="1:9" ht="15.75" x14ac:dyDescent="0.25">
      <c r="A9" s="8"/>
      <c r="B9" s="9" t="s">
        <v>10</v>
      </c>
      <c r="C9" s="96"/>
      <c r="D9" s="96"/>
      <c r="E9" s="96"/>
      <c r="G9" s="9" t="s">
        <v>59</v>
      </c>
      <c r="H9" s="96"/>
      <c r="I9" s="96"/>
    </row>
    <row r="10" spans="1:9" ht="15.75" x14ac:dyDescent="0.25">
      <c r="A10" s="8"/>
      <c r="B10" s="101" t="s">
        <v>0</v>
      </c>
      <c r="C10" s="11">
        <f>IF(H7="","",IF(C8="","",DATEDIF(H7,C8,"y")))</f>
        <v>41</v>
      </c>
      <c r="D10" s="12" t="s">
        <v>11</v>
      </c>
      <c r="E10" s="8"/>
      <c r="F10" s="108" t="s">
        <v>155</v>
      </c>
      <c r="G10" s="108"/>
      <c r="H10" s="109"/>
      <c r="I10" s="109"/>
    </row>
    <row r="11" spans="1:9" ht="15.75" x14ac:dyDescent="0.25">
      <c r="A11" s="8"/>
      <c r="B11" s="101"/>
      <c r="C11" s="12">
        <f>IF(H7="","",IF(C8="","",DATEDIF(H7,C8,"m")-(C10*12)))</f>
        <v>0</v>
      </c>
      <c r="D11" s="12" t="s">
        <v>12</v>
      </c>
      <c r="E11" s="8"/>
      <c r="F11" s="8"/>
      <c r="G11" s="8"/>
      <c r="H11" s="8"/>
      <c r="I11" s="8"/>
    </row>
    <row r="12" spans="1:9" ht="15.75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ht="15.75" thickBot="1" x14ac:dyDescent="0.3"/>
    <row r="14" spans="1:9" ht="21" x14ac:dyDescent="0.35">
      <c r="B14" s="89" t="s">
        <v>13</v>
      </c>
      <c r="C14" s="102"/>
      <c r="D14" s="102"/>
      <c r="E14" s="102"/>
      <c r="F14" s="102"/>
      <c r="G14" s="102"/>
      <c r="H14" s="103"/>
    </row>
    <row r="15" spans="1:9" x14ac:dyDescent="0.25">
      <c r="B15" s="13"/>
      <c r="D15" s="20" t="s">
        <v>14</v>
      </c>
      <c r="E15" s="20" t="s">
        <v>15</v>
      </c>
      <c r="F15" s="20" t="s">
        <v>16</v>
      </c>
      <c r="G15" s="20" t="s">
        <v>17</v>
      </c>
      <c r="H15" s="21" t="s">
        <v>18</v>
      </c>
    </row>
    <row r="16" spans="1:9" x14ac:dyDescent="0.25">
      <c r="B16" s="92" t="s">
        <v>19</v>
      </c>
      <c r="C16" s="93"/>
      <c r="D16" s="22">
        <v>88</v>
      </c>
      <c r="E16" s="26">
        <f>'Stroop Word Predicted'!I24</f>
        <v>112</v>
      </c>
      <c r="F16" s="26">
        <f>IF(D16="","",IF(E16="","",D16-E16))</f>
        <v>-24</v>
      </c>
      <c r="G16" s="16">
        <f>IF(F16="","",IF(F16&gt;50,"&gt;85",IF(F16&lt;-50,"&lt;15",VLOOKUP(F16,'Stroop T-Score Calc'!A1:G102,2,FALSE))))</f>
        <v>33</v>
      </c>
      <c r="H16" s="17">
        <f>IF(G16="&lt;15","&lt;1",IF(G16="","",IF(G16&gt;76,"&gt;99",IF(G16&lt;25,"&lt;1",ROUND(NORMDIST(G16,50,10,TRUE)*100,0)))))</f>
        <v>4</v>
      </c>
    </row>
    <row r="17" spans="2:8" x14ac:dyDescent="0.25">
      <c r="B17" s="92" t="s">
        <v>20</v>
      </c>
      <c r="C17" s="93"/>
      <c r="D17" s="22">
        <v>80</v>
      </c>
      <c r="E17" s="26">
        <f>'Stroop Color Predicted'!I24</f>
        <v>82</v>
      </c>
      <c r="F17" s="26">
        <f>IF(D17="","",IF(E17="","",D17-E17))</f>
        <v>-2</v>
      </c>
      <c r="G17" s="16">
        <f>IF(F17="","",IF(F17&gt;50,"&gt;92",IF(F17&lt;-50,"&lt;8",VLOOKUP(F17,'Stroop T-Score Calc'!A1:E102,3,FALSE))))</f>
        <v>48</v>
      </c>
      <c r="H17" s="17">
        <f>IF(G17="&lt;8","&lt;1",IF(G17="","",IF(G17&gt;76,"&gt;99",IF(G17&lt;25,"&lt;1",ROUND(NORMDIST(G17,50,10,TRUE)*100,0)))))</f>
        <v>42</v>
      </c>
    </row>
    <row r="18" spans="2:8" x14ac:dyDescent="0.25">
      <c r="B18" s="92" t="s">
        <v>21</v>
      </c>
      <c r="C18" s="93"/>
      <c r="D18" s="22">
        <v>41</v>
      </c>
      <c r="E18" s="26">
        <f>'Stroop Inhibition Predicted'!I24</f>
        <v>47</v>
      </c>
      <c r="F18" s="26">
        <f>IF(D18="","",IF(E18="","",D18-E18))</f>
        <v>-6</v>
      </c>
      <c r="G18" s="16">
        <f>IF(F18="","",IF(F18&gt;50,"&gt;98",IF(F18&lt;-50,"&lt;3",VLOOKUP(F18,'Stroop T-Score Calc'!A1:E102,4,FALSE))))</f>
        <v>44</v>
      </c>
      <c r="H18" s="17">
        <f>IF(G18="&lt;3","&lt;1",IF(G18="","",IF(G18&gt;76,"&gt;99",IF(G18&lt;25,"&lt;1",ROUND(NORMDIST(G18,50,10,TRUE)*100,0)))))</f>
        <v>27</v>
      </c>
    </row>
    <row r="19" spans="2:8" ht="15.75" thickBot="1" x14ac:dyDescent="0.3">
      <c r="B19" s="94" t="s">
        <v>22</v>
      </c>
      <c r="C19" s="95"/>
      <c r="D19" s="18">
        <f>IF(D16="","",IF(D17="","",IF(D18="","",D18-('Stroop Inter. Pred.'!V37))))</f>
        <v>0</v>
      </c>
      <c r="E19" s="15"/>
      <c r="F19" s="15"/>
      <c r="G19" s="18">
        <f>IF(D19="","",IF(D19&lt;-29,"&lt;21",IF(D19&gt;30,"&gt;80",VLOOKUP(D19,'Stroop T-Score Calc'!A1:G103,5,FALSE))))</f>
        <v>50</v>
      </c>
      <c r="H19" s="19">
        <f>IF(G19="","",IF(G19="&lt;21","&lt;1",IF(G19&gt;76,"&gt;99",IF(G19&lt;25,"&lt;1",ROUND(NORMDIST(G19,50,10,TRUE)*100,0)))))</f>
        <v>50</v>
      </c>
    </row>
    <row r="20" spans="2:8" ht="15.75" thickBot="1" x14ac:dyDescent="0.3"/>
    <row r="21" spans="2:8" ht="21" x14ac:dyDescent="0.35">
      <c r="B21" s="89" t="s">
        <v>35</v>
      </c>
      <c r="C21" s="90"/>
      <c r="D21" s="90"/>
      <c r="E21" s="90"/>
      <c r="F21" s="90"/>
      <c r="G21" s="90"/>
      <c r="H21" s="91"/>
    </row>
    <row r="22" spans="2:8" x14ac:dyDescent="0.25">
      <c r="B22" s="13"/>
      <c r="D22" s="20" t="s">
        <v>36</v>
      </c>
      <c r="E22" s="20" t="s">
        <v>37</v>
      </c>
      <c r="F22" s="20" t="s">
        <v>18</v>
      </c>
      <c r="G22" s="93" t="s">
        <v>38</v>
      </c>
      <c r="H22" s="99"/>
    </row>
    <row r="23" spans="2:8" ht="15.75" thickBot="1" x14ac:dyDescent="0.3">
      <c r="B23" s="28"/>
      <c r="C23" s="23" t="s">
        <v>39</v>
      </c>
      <c r="D23" s="32"/>
      <c r="E23" s="18" t="str">
        <f>IF(D23="","",JOLO!B24)</f>
        <v/>
      </c>
      <c r="F23" s="18" t="str">
        <f>IF(D23="","",JOLO!B25)</f>
        <v/>
      </c>
      <c r="G23" s="97" t="str">
        <f>IF(D23="","",JOLO!B26)</f>
        <v/>
      </c>
      <c r="H23" s="100"/>
    </row>
    <row r="24" spans="2:8" ht="15.75" thickBot="1" x14ac:dyDescent="0.3"/>
    <row r="25" spans="2:8" ht="21" x14ac:dyDescent="0.35">
      <c r="B25" s="89" t="s">
        <v>60</v>
      </c>
      <c r="C25" s="90"/>
      <c r="D25" s="90"/>
      <c r="E25" s="90"/>
      <c r="F25" s="90"/>
      <c r="G25" s="90"/>
      <c r="H25" s="91"/>
    </row>
    <row r="26" spans="2:8" x14ac:dyDescent="0.25">
      <c r="B26" s="13"/>
      <c r="C26" s="93" t="s">
        <v>36</v>
      </c>
      <c r="D26" s="93"/>
      <c r="E26" s="93" t="s">
        <v>38</v>
      </c>
      <c r="F26" s="93"/>
      <c r="G26" s="93"/>
      <c r="H26" s="27"/>
    </row>
    <row r="27" spans="2:8" ht="15.75" thickBot="1" x14ac:dyDescent="0.3">
      <c r="B27" s="28"/>
      <c r="C27" s="98"/>
      <c r="D27" s="98"/>
      <c r="E27" s="97" t="str">
        <f>IF(C27&gt;=26,"Within Normal Limits",IF(C27&gt;=24,"Borderline (Mildly Defective)",IF(C27=23,"Moderately Defective",IF(C27="","","Severely Defective"))))</f>
        <v/>
      </c>
      <c r="F27" s="97"/>
      <c r="G27" s="97"/>
      <c r="H27" s="29"/>
    </row>
    <row r="28" spans="2:8" ht="15.75" thickBot="1" x14ac:dyDescent="0.3"/>
    <row r="29" spans="2:8" ht="21" x14ac:dyDescent="0.35">
      <c r="B29" s="89" t="s">
        <v>61</v>
      </c>
      <c r="C29" s="90"/>
      <c r="D29" s="90"/>
      <c r="E29" s="90"/>
      <c r="F29" s="90"/>
      <c r="G29" s="90"/>
      <c r="H29" s="91"/>
    </row>
    <row r="30" spans="2:8" x14ac:dyDescent="0.25">
      <c r="B30" s="24"/>
      <c r="C30" s="20"/>
      <c r="D30" s="20" t="s">
        <v>36</v>
      </c>
      <c r="E30" s="20" t="s">
        <v>76</v>
      </c>
      <c r="F30" s="20" t="s">
        <v>17</v>
      </c>
      <c r="G30" s="20" t="s">
        <v>18</v>
      </c>
      <c r="H30" s="21" t="s">
        <v>77</v>
      </c>
    </row>
    <row r="31" spans="2:8" x14ac:dyDescent="0.25">
      <c r="B31" s="92" t="s">
        <v>78</v>
      </c>
      <c r="C31" s="93"/>
      <c r="D31" s="22"/>
      <c r="E31" s="16" t="str">
        <f>IFERROR('Beery VMI'!E4,"")</f>
        <v/>
      </c>
      <c r="F31" s="38" t="str">
        <f>IF(E31="&lt;45","&lt;13",IF(E31="","",(((E31-100)/15)*10)+50))</f>
        <v/>
      </c>
      <c r="G31" s="38" t="str">
        <f>IF(E31="&lt;45","&lt;1",IF(E31="","",IF(E31&gt;138,"&gt;99",IF(E31&lt;62,"&lt;1",ROUND(NORMDIST(E31,100,15,TRUE)*100,0)))))</f>
        <v/>
      </c>
      <c r="H31" s="17" t="str">
        <f>'Beery VMI'!E5</f>
        <v/>
      </c>
    </row>
    <row r="32" spans="2:8" x14ac:dyDescent="0.25">
      <c r="B32" s="92" t="s">
        <v>79</v>
      </c>
      <c r="C32" s="93"/>
      <c r="D32" s="22"/>
      <c r="E32" s="16" t="str">
        <f>IFERROR('Beery VMI'!H4,"")</f>
        <v/>
      </c>
      <c r="F32" s="38" t="str">
        <f>IF(E32="&lt;45","&lt;13",IF(E32="","",(((E32-100)/15)*10)+50))</f>
        <v/>
      </c>
      <c r="G32" s="38" t="str">
        <f>IF(E32="&lt;45","&lt;1",IF(E32="","",IF(E32&gt;138,"&gt;99",IF(E32&lt;62,"&lt;1",ROUND(NORMDIST(E32,100,15,TRUE)*100,0)))))</f>
        <v/>
      </c>
      <c r="H32" s="17" t="str">
        <f>'Beery VMI'!H5</f>
        <v/>
      </c>
    </row>
    <row r="33" spans="2:8" ht="15.75" thickBot="1" x14ac:dyDescent="0.3">
      <c r="B33" s="94" t="s">
        <v>80</v>
      </c>
      <c r="C33" s="95"/>
      <c r="D33" s="32"/>
      <c r="E33" s="18" t="str">
        <f>IFERROR('Beery VMI'!K4,"")</f>
        <v/>
      </c>
      <c r="F33" s="39" t="str">
        <f>IF(E33="&lt;45","&lt;13",IF(E33="","",(((E33-100)/15)*10)+50))</f>
        <v/>
      </c>
      <c r="G33" s="39" t="str">
        <f>IF(E33="&lt;45","&lt;1",IF(E33="","",IF(E33&gt;138,"&gt;99",IF(E33&lt;62,"&lt;1",ROUND(NORMDIST(E33,100,15,TRUE)*100,0)))))</f>
        <v/>
      </c>
      <c r="H33" s="19" t="str">
        <f>'Beery VMI'!K5</f>
        <v/>
      </c>
    </row>
  </sheetData>
  <sheetProtection password="CEE5" sheet="1" objects="1" scenarios="1"/>
  <mergeCells count="29">
    <mergeCell ref="B14:H14"/>
    <mergeCell ref="B16:C16"/>
    <mergeCell ref="B17:C17"/>
    <mergeCell ref="B18:C18"/>
    <mergeCell ref="A2:I3"/>
    <mergeCell ref="B7:E7"/>
    <mergeCell ref="A8:B8"/>
    <mergeCell ref="A5:I5"/>
    <mergeCell ref="H7:I7"/>
    <mergeCell ref="F10:G10"/>
    <mergeCell ref="H10:I10"/>
    <mergeCell ref="H8:I8"/>
    <mergeCell ref="C8:E8"/>
    <mergeCell ref="B29:H29"/>
    <mergeCell ref="B31:C31"/>
    <mergeCell ref="B32:C32"/>
    <mergeCell ref="B33:C33"/>
    <mergeCell ref="H9:I9"/>
    <mergeCell ref="E27:G27"/>
    <mergeCell ref="E26:G26"/>
    <mergeCell ref="C26:D26"/>
    <mergeCell ref="C27:D27"/>
    <mergeCell ref="B21:H21"/>
    <mergeCell ref="G22:H22"/>
    <mergeCell ref="G23:H23"/>
    <mergeCell ref="B25:H25"/>
    <mergeCell ref="B19:C19"/>
    <mergeCell ref="C9:E9"/>
    <mergeCell ref="B10:B11"/>
  </mergeCells>
  <dataValidations count="9">
    <dataValidation type="list" allowBlank="1" showInputMessage="1" showErrorMessage="1" sqref="H9" xr:uid="{00000000-0002-0000-0000-000000000000}">
      <formula1>" Select:,Male,Female,(None Used)"</formula1>
    </dataValidation>
    <dataValidation type="list" allowBlank="1" showInputMessage="1" showErrorMessage="1" sqref="C9" xr:uid="{00000000-0002-0000-0000-000001000000}">
      <formula1>"Select:,Asian,Black,Hispanic,White (Non-Hispanic)"</formula1>
    </dataValidation>
    <dataValidation type="list" allowBlank="1" showInputMessage="1" showErrorMessage="1" sqref="H8" xr:uid="{00000000-0002-0000-0000-000002000000}">
      <formula1>"Select:,6,7,8,9,10,11,12,13,14,15,16,17,18,19,20"</formula1>
    </dataValidation>
    <dataValidation type="whole" allowBlank="1" showInputMessage="1" showErrorMessage="1" errorTitle="Round Your Score" error="Scores must be between 2 and 130." sqref="D16" xr:uid="{00000000-0002-0000-0000-000003000000}">
      <formula1>2</formula1>
      <formula2>130</formula2>
    </dataValidation>
    <dataValidation type="whole" allowBlank="1" showInputMessage="1" showErrorMessage="1" errorTitle="Round Your Score" error="Scores must be between 2 and 110." sqref="D17" xr:uid="{00000000-0002-0000-0000-000004000000}">
      <formula1>2</formula1>
      <formula2>110</formula2>
    </dataValidation>
    <dataValidation type="whole" operator="greaterThanOrEqual" allowBlank="1" showInputMessage="1" showErrorMessage="1" error="Do not enter negative values." sqref="D18" xr:uid="{00000000-0002-0000-0000-000005000000}">
      <formula1>0</formula1>
    </dataValidation>
    <dataValidation type="whole" allowBlank="1" showInputMessage="1" showErrorMessage="1" sqref="D23 D31:D33" xr:uid="{00000000-0002-0000-0000-000006000000}">
      <formula1>0</formula1>
      <formula2>30</formula2>
    </dataValidation>
    <dataValidation type="whole" allowBlank="1" showInputMessage="1" showErrorMessage="1" sqref="C27" xr:uid="{00000000-0002-0000-0000-000007000000}">
      <formula1>0</formula1>
      <formula2>32</formula2>
    </dataValidation>
    <dataValidation type="list" allowBlank="1" showInputMessage="1" showErrorMessage="1" sqref="H10:I10" xr:uid="{00000000-0002-0000-0000-000008000000}">
      <formula1>"Right Dominant, Left Dominant, (None Used)"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3"/>
  <sheetViews>
    <sheetView view="pageLayout" zoomScale="85" zoomScaleNormal="100" zoomScalePageLayoutView="85" workbookViewId="0">
      <selection activeCell="D16" sqref="D16"/>
    </sheetView>
  </sheetViews>
  <sheetFormatPr defaultRowHeight="15" x14ac:dyDescent="0.25"/>
  <sheetData>
    <row r="2" spans="1:9" ht="15" customHeight="1" x14ac:dyDescent="0.25">
      <c r="A2" s="104" t="s">
        <v>8</v>
      </c>
      <c r="B2" s="104"/>
      <c r="C2" s="104"/>
      <c r="D2" s="104"/>
      <c r="E2" s="104"/>
      <c r="F2" s="104"/>
      <c r="G2" s="104"/>
      <c r="H2" s="104"/>
      <c r="I2" s="104"/>
    </row>
    <row r="3" spans="1:9" ht="1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</row>
    <row r="4" spans="1:9" ht="15" customHeight="1" x14ac:dyDescent="0.3">
      <c r="A4" s="7"/>
      <c r="B4" s="7"/>
      <c r="C4" s="7"/>
      <c r="D4" s="7"/>
      <c r="E4" s="7"/>
      <c r="F4" s="7"/>
      <c r="G4" s="7"/>
      <c r="H4" s="7"/>
      <c r="I4" s="7"/>
    </row>
    <row r="5" spans="1:9" ht="15" customHeight="1" x14ac:dyDescent="0.25">
      <c r="A5" s="106" t="s">
        <v>263</v>
      </c>
      <c r="B5" s="106"/>
      <c r="C5" s="106"/>
      <c r="D5" s="106"/>
      <c r="E5" s="106"/>
      <c r="F5" s="106"/>
      <c r="G5" s="106"/>
      <c r="H5" s="106"/>
      <c r="I5" s="106"/>
    </row>
    <row r="7" spans="1:9" ht="15.75" x14ac:dyDescent="0.25">
      <c r="A7" s="9" t="s">
        <v>6</v>
      </c>
      <c r="B7" s="112" t="str">
        <f>IF('Scores Summary'!B7:E7="","",'Scores Summary'!B7:E7)</f>
        <v/>
      </c>
      <c r="C7" s="112"/>
      <c r="D7" s="112"/>
      <c r="E7" s="112"/>
      <c r="F7" s="10"/>
      <c r="G7" s="9" t="s">
        <v>7</v>
      </c>
      <c r="H7" s="114">
        <f>IF('Scores Summary'!H7:I7="","",'Scores Summary'!H7:I7)</f>
        <v>29722</v>
      </c>
      <c r="I7" s="112"/>
    </row>
    <row r="8" spans="1:9" ht="15.75" x14ac:dyDescent="0.25">
      <c r="A8" s="105" t="s">
        <v>4</v>
      </c>
      <c r="B8" s="105"/>
      <c r="C8" s="114">
        <f>IF('Scores Summary'!C8:D8="","",'Scores Summary'!C8:D8)</f>
        <v>44704</v>
      </c>
      <c r="D8" s="114"/>
      <c r="E8" s="114"/>
      <c r="F8" s="8"/>
      <c r="G8" s="9" t="s">
        <v>9</v>
      </c>
      <c r="H8" s="112">
        <f>IF('Scores Summary'!H8="","",'Scores Summary'!H8)</f>
        <v>18</v>
      </c>
      <c r="I8" s="112"/>
    </row>
    <row r="9" spans="1:9" ht="15.75" x14ac:dyDescent="0.25">
      <c r="A9" s="8"/>
      <c r="B9" s="9" t="s">
        <v>10</v>
      </c>
      <c r="C9" s="112" t="str">
        <f>IF('Scores Summary'!C9:E9="","",'Scores Summary'!C9:E9)</f>
        <v/>
      </c>
      <c r="D9" s="112"/>
      <c r="E9" s="112"/>
      <c r="G9" s="9" t="s">
        <v>59</v>
      </c>
      <c r="H9" s="112" t="str">
        <f>IF('Scores Summary'!H9:I9="","",'Scores Summary'!H9:I9)</f>
        <v/>
      </c>
      <c r="I9" s="112"/>
    </row>
    <row r="10" spans="1:9" ht="15.75" x14ac:dyDescent="0.25">
      <c r="A10" s="8"/>
      <c r="B10" s="101" t="s">
        <v>0</v>
      </c>
      <c r="C10" s="11">
        <f>IF('Scores Summary'!C10="","",'Scores Summary'!C10)</f>
        <v>41</v>
      </c>
      <c r="D10" s="12" t="s">
        <v>11</v>
      </c>
      <c r="E10" s="8"/>
      <c r="F10" s="108" t="s">
        <v>155</v>
      </c>
      <c r="G10" s="108"/>
      <c r="H10" s="111" t="str">
        <f>IF('Scores Summary'!H10:I10="","",'Scores Summary'!H10:I10)</f>
        <v/>
      </c>
      <c r="I10" s="111"/>
    </row>
    <row r="11" spans="1:9" ht="15.75" x14ac:dyDescent="0.25">
      <c r="A11" s="8"/>
      <c r="B11" s="101"/>
      <c r="C11" s="11">
        <f>IF('Scores Summary'!C11="","",'Scores Summary'!C11)</f>
        <v>0</v>
      </c>
      <c r="D11" s="12" t="s">
        <v>12</v>
      </c>
      <c r="E11" s="8"/>
      <c r="F11" s="8"/>
      <c r="G11" s="8"/>
      <c r="H11" s="8"/>
      <c r="I11" s="8"/>
    </row>
    <row r="12" spans="1:9" ht="15.75" x14ac:dyDescent="0.25">
      <c r="A12" s="8"/>
      <c r="B12" s="8"/>
      <c r="C12" s="8"/>
      <c r="D12" s="8"/>
      <c r="E12" s="8"/>
      <c r="F12" s="8"/>
      <c r="G12" s="8"/>
      <c r="H12" s="8"/>
      <c r="I12" s="8"/>
    </row>
    <row r="14" spans="1:9" ht="21" x14ac:dyDescent="0.35">
      <c r="B14" s="113" t="s">
        <v>147</v>
      </c>
      <c r="C14" s="113"/>
      <c r="D14" s="113"/>
      <c r="E14" s="113"/>
      <c r="F14" s="113"/>
      <c r="G14" s="113"/>
      <c r="H14" s="113"/>
    </row>
    <row r="15" spans="1:9" x14ac:dyDescent="0.25">
      <c r="B15" s="93" t="s">
        <v>148</v>
      </c>
      <c r="C15" s="93"/>
      <c r="D15" s="20" t="s">
        <v>14</v>
      </c>
      <c r="E15" s="20" t="s">
        <v>149</v>
      </c>
      <c r="F15" s="20" t="s">
        <v>17</v>
      </c>
      <c r="G15" s="20" t="s">
        <v>18</v>
      </c>
      <c r="H15" s="20"/>
    </row>
    <row r="16" spans="1:9" x14ac:dyDescent="0.25">
      <c r="B16" s="110" t="s">
        <v>150</v>
      </c>
      <c r="C16" s="110"/>
      <c r="D16" s="22"/>
      <c r="E16" s="16" t="str">
        <f>IF(D16="","",IF(D16&gt;=79,19,VLOOKUP(D16,'Heaton Appx C'!D4:E83,2,FALSE)))</f>
        <v/>
      </c>
      <c r="F16" s="16"/>
      <c r="G16" s="16" t="str">
        <f>IF(F16="","",ROUND(NORMDIST(F16,50,10,TRUE)*100,0))</f>
        <v/>
      </c>
      <c r="H16" s="26"/>
    </row>
    <row r="17" spans="2:8" x14ac:dyDescent="0.25">
      <c r="B17" s="110" t="s">
        <v>151</v>
      </c>
      <c r="C17" s="110"/>
      <c r="D17" s="22"/>
      <c r="E17" s="16" t="str">
        <f>IF(D17="","",IF(D17&gt;=39,19,VLOOKUP(D17,'Heaton Appx C'!G4:H43,2,FALSE)))</f>
        <v/>
      </c>
      <c r="F17" s="16"/>
      <c r="G17" s="16" t="str">
        <f t="shared" ref="G17:G26" si="0">IF(F17="","",ROUND(NORMDIST(F17,50,10,TRUE)*100,0))</f>
        <v/>
      </c>
      <c r="H17" s="26"/>
    </row>
    <row r="18" spans="2:8" x14ac:dyDescent="0.25">
      <c r="B18" s="110" t="s">
        <v>152</v>
      </c>
      <c r="C18" s="110"/>
      <c r="D18" s="22"/>
      <c r="E18" s="16" t="str">
        <f>IF(D18="","",IF(ROUND(D18,0)&gt;=92,1,VLOOKUP('Heaton Appx C'!K2,'Heaton Appx C'!J4:K96,2,FALSE)))</f>
        <v/>
      </c>
      <c r="F18" s="16"/>
      <c r="G18" s="16" t="str">
        <f t="shared" si="0"/>
        <v/>
      </c>
      <c r="H18" s="26"/>
    </row>
    <row r="19" spans="2:8" x14ac:dyDescent="0.25">
      <c r="B19" s="110" t="s">
        <v>153</v>
      </c>
      <c r="C19" s="110"/>
      <c r="D19" s="22"/>
      <c r="E19" s="16" t="str">
        <f>IF(D19="","",IF('Heaton Appx C'!N2&lt;=24,19,VLOOKUP('Heaton Appx C'!N2,'Heaton Appx C'!M4:N280,2,FALSE)))</f>
        <v/>
      </c>
      <c r="F19" s="16"/>
      <c r="G19" s="16" t="str">
        <f t="shared" si="0"/>
        <v/>
      </c>
      <c r="H19" s="26"/>
    </row>
    <row r="20" spans="2:8" x14ac:dyDescent="0.25">
      <c r="B20" s="110" t="s">
        <v>154</v>
      </c>
      <c r="C20" s="110"/>
      <c r="D20" s="22"/>
      <c r="E20" s="16" t="str">
        <f>IF(D20="","",VLOOKUP(D20,'Heaton Appx C'!A4:B65,2,FALSE))</f>
        <v/>
      </c>
      <c r="F20" s="16"/>
      <c r="G20" s="16" t="str">
        <f t="shared" si="0"/>
        <v/>
      </c>
    </row>
    <row r="21" spans="2:8" x14ac:dyDescent="0.25">
      <c r="B21" s="110" t="s">
        <v>156</v>
      </c>
      <c r="C21" s="110"/>
      <c r="D21" s="22"/>
      <c r="E21" s="16" t="str">
        <f>IF(D21="","",IF('Heaton Appx C'!Q2&lt;=45,19,VLOOKUP('Heaton Appx C'!Q2,'Heaton Appx C'!P4:Q125,2,FALSE)))</f>
        <v/>
      </c>
      <c r="F21" s="16"/>
      <c r="G21" s="16" t="str">
        <f t="shared" si="0"/>
        <v/>
      </c>
      <c r="H21" s="43"/>
    </row>
    <row r="22" spans="2:8" x14ac:dyDescent="0.25">
      <c r="B22" s="110" t="s">
        <v>157</v>
      </c>
      <c r="C22" s="110"/>
      <c r="D22" s="22"/>
      <c r="E22" s="16" t="str">
        <f>IF(D22="","",IF('Heaton Appx C'!T2&lt;=44,19,VLOOKUP('Heaton Appx C'!T2,'Heaton Appx C'!S4:T162,2,FALSE)))</f>
        <v/>
      </c>
      <c r="F22" s="16"/>
      <c r="G22" s="16" t="str">
        <f t="shared" si="0"/>
        <v/>
      </c>
      <c r="H22" s="42"/>
    </row>
    <row r="23" spans="2:8" x14ac:dyDescent="0.25">
      <c r="B23" s="110" t="s">
        <v>158</v>
      </c>
      <c r="C23" s="110"/>
      <c r="D23" s="22"/>
      <c r="E23" s="16" t="str">
        <f>IF(D23="","",'Heaton Appx C'!W3)</f>
        <v/>
      </c>
      <c r="F23" s="16"/>
      <c r="G23" s="16" t="str">
        <f t="shared" si="0"/>
        <v/>
      </c>
      <c r="H23" s="44"/>
    </row>
    <row r="24" spans="2:8" x14ac:dyDescent="0.25">
      <c r="B24" s="110" t="s">
        <v>159</v>
      </c>
      <c r="C24" s="110"/>
      <c r="D24" s="22"/>
      <c r="E24" s="16" t="str">
        <f>IF(D24="","",'Heaton Appx C'!Z3)</f>
        <v/>
      </c>
      <c r="F24" s="16"/>
      <c r="G24" s="16" t="str">
        <f t="shared" si="0"/>
        <v/>
      </c>
    </row>
    <row r="25" spans="2:8" x14ac:dyDescent="0.25">
      <c r="B25" s="110" t="s">
        <v>160</v>
      </c>
      <c r="C25" s="110"/>
      <c r="D25" s="22"/>
      <c r="E25" s="16"/>
      <c r="F25" s="16"/>
      <c r="G25" s="16" t="str">
        <f t="shared" si="0"/>
        <v/>
      </c>
      <c r="H25" s="43"/>
    </row>
    <row r="26" spans="2:8" x14ac:dyDescent="0.25">
      <c r="B26" s="110" t="s">
        <v>161</v>
      </c>
      <c r="C26" s="110"/>
      <c r="D26" s="22"/>
      <c r="E26" s="16"/>
      <c r="F26" s="16"/>
      <c r="G26" s="16" t="str">
        <f t="shared" si="0"/>
        <v/>
      </c>
    </row>
    <row r="27" spans="2:8" x14ac:dyDescent="0.25">
      <c r="C27" s="45"/>
      <c r="D27" s="45"/>
      <c r="E27" s="44"/>
      <c r="F27" s="44"/>
      <c r="G27" s="44"/>
    </row>
    <row r="29" spans="2:8" x14ac:dyDescent="0.25">
      <c r="B29" s="43"/>
      <c r="C29" s="43"/>
      <c r="D29" s="43"/>
      <c r="E29" s="43"/>
      <c r="F29" s="43"/>
      <c r="G29" s="43"/>
      <c r="H29" s="43"/>
    </row>
    <row r="30" spans="2:8" x14ac:dyDescent="0.25">
      <c r="B30" s="20"/>
      <c r="C30" s="20"/>
      <c r="D30" s="20"/>
      <c r="E30" s="20"/>
      <c r="F30" s="20"/>
      <c r="G30" s="20"/>
      <c r="H30" s="20"/>
    </row>
    <row r="31" spans="2:8" x14ac:dyDescent="0.25">
      <c r="B31" s="42"/>
      <c r="C31" s="42"/>
      <c r="D31" s="40"/>
      <c r="E31" s="26"/>
      <c r="F31" s="41"/>
      <c r="G31" s="41"/>
      <c r="H31" s="26"/>
    </row>
    <row r="32" spans="2:8" x14ac:dyDescent="0.25">
      <c r="B32" s="42"/>
      <c r="C32" s="42"/>
      <c r="D32" s="40"/>
      <c r="E32" s="26"/>
      <c r="F32" s="41"/>
      <c r="G32" s="41"/>
      <c r="H32" s="26"/>
    </row>
    <row r="33" spans="2:8" x14ac:dyDescent="0.25">
      <c r="B33" s="42"/>
      <c r="C33" s="42"/>
      <c r="D33" s="40"/>
      <c r="E33" s="26"/>
      <c r="F33" s="41"/>
      <c r="G33" s="41"/>
      <c r="H33" s="26"/>
    </row>
  </sheetData>
  <sheetProtection password="CEE5" sheet="1" objects="1" scenarios="1"/>
  <mergeCells count="25">
    <mergeCell ref="A2:I3"/>
    <mergeCell ref="A5:I5"/>
    <mergeCell ref="B7:E7"/>
    <mergeCell ref="H7:I7"/>
    <mergeCell ref="A8:B8"/>
    <mergeCell ref="C8:E8"/>
    <mergeCell ref="H8:I8"/>
    <mergeCell ref="H10:I10"/>
    <mergeCell ref="B22:C22"/>
    <mergeCell ref="B23:C23"/>
    <mergeCell ref="C9:E9"/>
    <mergeCell ref="H9:I9"/>
    <mergeCell ref="B10:B11"/>
    <mergeCell ref="B14:H14"/>
    <mergeCell ref="B15:C15"/>
    <mergeCell ref="B16:C16"/>
    <mergeCell ref="B17:C17"/>
    <mergeCell ref="B20:C20"/>
    <mergeCell ref="B18:C18"/>
    <mergeCell ref="B19:C19"/>
    <mergeCell ref="B24:C24"/>
    <mergeCell ref="B25:C25"/>
    <mergeCell ref="B26:C26"/>
    <mergeCell ref="B21:C21"/>
    <mergeCell ref="F10:G10"/>
  </mergeCells>
  <dataValidations count="4">
    <dataValidation type="whole" allowBlank="1" showInputMessage="1" showErrorMessage="1" sqref="C27" xr:uid="{00000000-0002-0000-0100-000000000000}">
      <formula1>0</formula1>
      <formula2>32</formula2>
    </dataValidation>
    <dataValidation type="whole" allowBlank="1" showInputMessage="1" showErrorMessage="1" sqref="D31:D33" xr:uid="{00000000-0002-0000-0100-000001000000}">
      <formula1>0</formula1>
      <formula2>30</formula2>
    </dataValidation>
    <dataValidation allowBlank="1" showInputMessage="1" showErrorMessage="1" errorTitle="Round Your Score" error="Scores must be between 2 and 130." sqref="D16" xr:uid="{00000000-0002-0000-0100-000002000000}"/>
    <dataValidation type="whole" allowBlank="1" showInputMessage="1" showErrorMessage="1" sqref="D20" xr:uid="{00000000-0002-0000-0100-000003000000}">
      <formula1>0</formula1>
      <formula2>60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6"/>
  <sheetViews>
    <sheetView view="pageLayout" zoomScale="85" zoomScaleNormal="100" zoomScalePageLayoutView="85" workbookViewId="0">
      <selection activeCell="D33" sqref="D33"/>
    </sheetView>
  </sheetViews>
  <sheetFormatPr defaultRowHeight="15" x14ac:dyDescent="0.25"/>
  <cols>
    <col min="6" max="6" width="10.28515625" customWidth="1"/>
  </cols>
  <sheetData>
    <row r="2" spans="1:9" ht="15" customHeight="1" x14ac:dyDescent="0.25">
      <c r="A2" s="104" t="s">
        <v>8</v>
      </c>
      <c r="B2" s="104"/>
      <c r="C2" s="104"/>
      <c r="D2" s="104"/>
      <c r="E2" s="104"/>
      <c r="F2" s="104"/>
      <c r="G2" s="104"/>
      <c r="H2" s="104"/>
      <c r="I2" s="104"/>
    </row>
    <row r="3" spans="1:9" ht="1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</row>
    <row r="4" spans="1:9" ht="15" customHeight="1" x14ac:dyDescent="0.3">
      <c r="A4" s="7"/>
      <c r="B4" s="7"/>
      <c r="C4" s="7"/>
      <c r="D4" s="7"/>
      <c r="E4" s="7"/>
      <c r="F4" s="7"/>
      <c r="G4" s="7"/>
      <c r="H4" s="7"/>
      <c r="I4" s="7"/>
    </row>
    <row r="5" spans="1:9" ht="15" customHeight="1" x14ac:dyDescent="0.25">
      <c r="A5" s="106" t="s">
        <v>263</v>
      </c>
      <c r="B5" s="106"/>
      <c r="C5" s="106"/>
      <c r="D5" s="106"/>
      <c r="E5" s="106"/>
      <c r="F5" s="106"/>
      <c r="G5" s="106"/>
      <c r="H5" s="106"/>
      <c r="I5" s="106"/>
    </row>
    <row r="7" spans="1:9" ht="15.75" x14ac:dyDescent="0.25">
      <c r="A7" s="9" t="s">
        <v>6</v>
      </c>
      <c r="B7" s="112" t="str">
        <f>IF('Scores Summary'!B7:E7="","",'Scores Summary'!B7:E7)</f>
        <v/>
      </c>
      <c r="C7" s="112"/>
      <c r="D7" s="112"/>
      <c r="E7" s="112"/>
      <c r="F7" s="10"/>
      <c r="G7" s="9" t="s">
        <v>7</v>
      </c>
      <c r="H7" s="114">
        <f>IF('Scores Summary'!H7:I7="","",'Scores Summary'!H7:I7)</f>
        <v>29722</v>
      </c>
      <c r="I7" s="112"/>
    </row>
    <row r="8" spans="1:9" ht="15.75" x14ac:dyDescent="0.25">
      <c r="A8" s="105" t="s">
        <v>4</v>
      </c>
      <c r="B8" s="105"/>
      <c r="C8" s="114">
        <f>IF('Scores Summary'!C8:D8="","",'Scores Summary'!C8:D8)</f>
        <v>44704</v>
      </c>
      <c r="D8" s="114"/>
      <c r="E8" s="114"/>
      <c r="F8" s="8"/>
      <c r="G8" s="9" t="s">
        <v>9</v>
      </c>
      <c r="H8" s="112">
        <f>IF('Scores Summary'!H8="","",'Scores Summary'!H8)</f>
        <v>18</v>
      </c>
      <c r="I8" s="112"/>
    </row>
    <row r="9" spans="1:9" ht="15.75" x14ac:dyDescent="0.25">
      <c r="A9" s="8"/>
      <c r="B9" s="9" t="s">
        <v>10</v>
      </c>
      <c r="C9" s="112" t="str">
        <f>IF('Scores Summary'!C9:E9="","",'Scores Summary'!C9:E9)</f>
        <v/>
      </c>
      <c r="D9" s="112"/>
      <c r="E9" s="112"/>
      <c r="G9" s="9" t="s">
        <v>59</v>
      </c>
      <c r="H9" s="112" t="str">
        <f>IF('Scores Summary'!H9:I9="","",'Scores Summary'!H9:I9)</f>
        <v/>
      </c>
      <c r="I9" s="112"/>
    </row>
    <row r="10" spans="1:9" ht="15.75" x14ac:dyDescent="0.25">
      <c r="A10" s="8"/>
      <c r="B10" s="101" t="s">
        <v>0</v>
      </c>
      <c r="C10" s="11">
        <f>IF('Scores Summary'!C10="","",'Scores Summary'!C10)</f>
        <v>41</v>
      </c>
      <c r="D10" s="12" t="s">
        <v>11</v>
      </c>
      <c r="E10" s="8"/>
      <c r="F10" s="108" t="s">
        <v>155</v>
      </c>
      <c r="G10" s="108"/>
      <c r="H10" s="111" t="str">
        <f>IF('Scores Summary'!H10:I10="","",'Scores Summary'!H10:I10)</f>
        <v/>
      </c>
      <c r="I10" s="111"/>
    </row>
    <row r="11" spans="1:9" ht="15.75" x14ac:dyDescent="0.25">
      <c r="A11" s="8"/>
      <c r="B11" s="101"/>
      <c r="C11" s="11">
        <f>IF('Scores Summary'!C11="","",'Scores Summary'!C11)</f>
        <v>0</v>
      </c>
      <c r="D11" s="12" t="s">
        <v>12</v>
      </c>
      <c r="E11" s="8"/>
      <c r="F11" s="8"/>
      <c r="G11" s="8"/>
      <c r="H11" s="8"/>
      <c r="I11" s="8"/>
    </row>
    <row r="12" spans="1:9" ht="15.75" x14ac:dyDescent="0.25">
      <c r="A12" s="8"/>
      <c r="B12" s="8"/>
      <c r="C12" s="8"/>
      <c r="D12" s="8"/>
      <c r="E12" s="8"/>
      <c r="F12" s="8"/>
      <c r="G12" s="8"/>
      <c r="H12" s="8"/>
      <c r="I12" s="8"/>
    </row>
    <row r="14" spans="1:9" ht="21" x14ac:dyDescent="0.35">
      <c r="B14" s="113" t="s">
        <v>179</v>
      </c>
      <c r="C14" s="113"/>
      <c r="D14" s="113"/>
      <c r="E14" s="113"/>
      <c r="F14" s="113"/>
      <c r="G14" s="113"/>
      <c r="H14" s="113"/>
    </row>
    <row r="15" spans="1:9" x14ac:dyDescent="0.25">
      <c r="B15" s="93" t="s">
        <v>198</v>
      </c>
      <c r="C15" s="93"/>
      <c r="D15" s="20" t="s">
        <v>14</v>
      </c>
      <c r="E15" s="93" t="s">
        <v>201</v>
      </c>
      <c r="F15" s="93"/>
      <c r="G15" s="20" t="s">
        <v>18</v>
      </c>
      <c r="H15" s="20"/>
    </row>
    <row r="16" spans="1:9" x14ac:dyDescent="0.25">
      <c r="B16" s="110" t="s">
        <v>180</v>
      </c>
      <c r="C16" s="110"/>
      <c r="D16" s="22">
        <v>6</v>
      </c>
      <c r="E16" s="115">
        <f>IFERROR('CVLT Standard'!D6,"")</f>
        <v>10</v>
      </c>
      <c r="F16" s="115"/>
      <c r="G16" s="16">
        <f>IF(E16&lt;3,"&lt;1",IF(E16="","",IF(E16&gt;17,"&gt;99",ROUND(NORMDIST(E16,10,3,TRUE)*100,0))))</f>
        <v>50</v>
      </c>
      <c r="H16" s="26"/>
    </row>
    <row r="17" spans="2:8" x14ac:dyDescent="0.25">
      <c r="B17" s="110" t="s">
        <v>181</v>
      </c>
      <c r="C17" s="110"/>
      <c r="D17" s="22">
        <v>8</v>
      </c>
      <c r="E17" s="115">
        <f>IFERROR('CVLT Standard'!D7,"")</f>
        <v>9</v>
      </c>
      <c r="F17" s="115"/>
      <c r="G17" s="16">
        <f t="shared" ref="G17:G33" si="0">IF(E17&lt;3,"&lt;1",IF(E17="","",IF(E17&gt;17,"&gt;99",ROUND(NORMDIST(E17,10,3,TRUE)*100,0))))</f>
        <v>37</v>
      </c>
      <c r="H17" s="26"/>
    </row>
    <row r="18" spans="2:8" x14ac:dyDescent="0.25">
      <c r="B18" s="110" t="s">
        <v>182</v>
      </c>
      <c r="C18" s="110"/>
      <c r="D18" s="22">
        <v>12</v>
      </c>
      <c r="E18" s="115">
        <f>IFERROR('CVLT Standard'!D8,"")</f>
        <v>11</v>
      </c>
      <c r="F18" s="115"/>
      <c r="G18" s="16">
        <f t="shared" si="0"/>
        <v>63</v>
      </c>
      <c r="H18" s="26"/>
    </row>
    <row r="19" spans="2:8" x14ac:dyDescent="0.25">
      <c r="B19" s="110" t="s">
        <v>183</v>
      </c>
      <c r="C19" s="110"/>
      <c r="D19" s="22">
        <v>11</v>
      </c>
      <c r="E19" s="115">
        <f>IFERROR('CVLT Standard'!D9,"")</f>
        <v>9</v>
      </c>
      <c r="F19" s="115"/>
      <c r="G19" s="16">
        <f t="shared" si="0"/>
        <v>37</v>
      </c>
      <c r="H19" s="26"/>
    </row>
    <row r="20" spans="2:8" x14ac:dyDescent="0.25">
      <c r="B20" s="110" t="s">
        <v>184</v>
      </c>
      <c r="C20" s="110"/>
      <c r="D20" s="22">
        <v>12</v>
      </c>
      <c r="E20" s="115">
        <f>IFERROR('CVLT Standard'!D10,"")</f>
        <v>9</v>
      </c>
      <c r="F20" s="115"/>
      <c r="G20" s="16">
        <f t="shared" si="0"/>
        <v>37</v>
      </c>
    </row>
    <row r="21" spans="2:8" x14ac:dyDescent="0.25">
      <c r="B21" s="110" t="s">
        <v>185</v>
      </c>
      <c r="C21" s="110"/>
      <c r="D21" s="22">
        <v>7</v>
      </c>
      <c r="E21" s="115">
        <f>IFERROR('CVLT Standard'!D11,"")</f>
        <v>13</v>
      </c>
      <c r="F21" s="115"/>
      <c r="G21" s="16">
        <f t="shared" si="0"/>
        <v>84</v>
      </c>
      <c r="H21" s="43"/>
    </row>
    <row r="22" spans="2:8" x14ac:dyDescent="0.25">
      <c r="B22" s="110" t="s">
        <v>186</v>
      </c>
      <c r="C22" s="110"/>
      <c r="D22" s="22">
        <v>7</v>
      </c>
      <c r="E22" s="115">
        <f>IFERROR('CVLT Standard'!D12,"")</f>
        <v>7</v>
      </c>
      <c r="F22" s="115"/>
      <c r="G22" s="16">
        <f t="shared" si="0"/>
        <v>16</v>
      </c>
      <c r="H22" s="42"/>
    </row>
    <row r="23" spans="2:8" x14ac:dyDescent="0.25">
      <c r="B23" s="110" t="s">
        <v>187</v>
      </c>
      <c r="C23" s="110"/>
      <c r="D23" s="22">
        <v>7</v>
      </c>
      <c r="E23" s="115">
        <f>IFERROR('CVLT Standard'!D13,"")</f>
        <v>6</v>
      </c>
      <c r="F23" s="115"/>
      <c r="G23" s="16">
        <f t="shared" si="0"/>
        <v>9</v>
      </c>
      <c r="H23" s="44"/>
    </row>
    <row r="24" spans="2:8" x14ac:dyDescent="0.25">
      <c r="B24" s="110" t="s">
        <v>188</v>
      </c>
      <c r="C24" s="110"/>
      <c r="D24" s="22">
        <v>9</v>
      </c>
      <c r="E24" s="115">
        <f>IFERROR('CVLT Standard'!D14,"")</f>
        <v>8</v>
      </c>
      <c r="F24" s="115"/>
      <c r="G24" s="16">
        <f t="shared" si="0"/>
        <v>25</v>
      </c>
    </row>
    <row r="25" spans="2:8" x14ac:dyDescent="0.25">
      <c r="B25" s="110" t="s">
        <v>189</v>
      </c>
      <c r="C25" s="110"/>
      <c r="D25" s="22">
        <v>9</v>
      </c>
      <c r="E25" s="115">
        <f>IFERROR('CVLT Standard'!D15,"")</f>
        <v>7</v>
      </c>
      <c r="F25" s="115"/>
      <c r="G25" s="16">
        <f t="shared" si="0"/>
        <v>16</v>
      </c>
      <c r="H25" s="43"/>
    </row>
    <row r="26" spans="2:8" x14ac:dyDescent="0.25">
      <c r="B26" s="110" t="s">
        <v>190</v>
      </c>
      <c r="C26" s="110"/>
      <c r="D26" s="22">
        <v>4</v>
      </c>
      <c r="E26" s="115">
        <f>IFERROR('CVLT Standard'!D16,"")</f>
        <v>6</v>
      </c>
      <c r="F26" s="115"/>
      <c r="G26" s="16">
        <f t="shared" si="0"/>
        <v>9</v>
      </c>
    </row>
    <row r="27" spans="2:8" x14ac:dyDescent="0.25">
      <c r="B27" s="110" t="s">
        <v>191</v>
      </c>
      <c r="C27" s="110"/>
      <c r="D27" s="22">
        <v>3</v>
      </c>
      <c r="E27" s="115">
        <f>IFERROR('CVLT Standard'!D17,"")</f>
        <v>9</v>
      </c>
      <c r="F27" s="115"/>
      <c r="G27" s="16">
        <f t="shared" si="0"/>
        <v>37</v>
      </c>
    </row>
    <row r="28" spans="2:8" x14ac:dyDescent="0.25">
      <c r="B28" s="110" t="s">
        <v>192</v>
      </c>
      <c r="C28" s="110"/>
      <c r="D28" s="22">
        <v>5</v>
      </c>
      <c r="E28" s="115">
        <f>IFERROR('CVLT Standard'!D18,"")</f>
        <v>6</v>
      </c>
      <c r="F28" s="115"/>
      <c r="G28" s="16">
        <f t="shared" si="0"/>
        <v>9</v>
      </c>
    </row>
    <row r="29" spans="2:8" x14ac:dyDescent="0.25">
      <c r="B29" s="110" t="s">
        <v>193</v>
      </c>
      <c r="C29" s="110"/>
      <c r="D29" s="47">
        <f>SUM(D27:D28)</f>
        <v>8</v>
      </c>
      <c r="E29" s="115">
        <f>IFERROR('CVLT Standard'!D19,"")</f>
        <v>7</v>
      </c>
      <c r="F29" s="115"/>
      <c r="G29" s="16">
        <f t="shared" si="0"/>
        <v>16</v>
      </c>
      <c r="H29" s="43"/>
    </row>
    <row r="30" spans="2:8" x14ac:dyDescent="0.25">
      <c r="B30" s="110" t="s">
        <v>194</v>
      </c>
      <c r="C30" s="110"/>
      <c r="D30" s="22">
        <v>9</v>
      </c>
      <c r="E30" s="115">
        <f>IFERROR('CVLT Standard'!D20,"")</f>
        <v>8</v>
      </c>
      <c r="F30" s="115"/>
      <c r="G30" s="16">
        <f t="shared" si="0"/>
        <v>25</v>
      </c>
      <c r="H30" s="20"/>
    </row>
    <row r="31" spans="2:8" x14ac:dyDescent="0.25">
      <c r="B31" s="110" t="s">
        <v>195</v>
      </c>
      <c r="C31" s="110"/>
      <c r="D31" s="22">
        <v>12</v>
      </c>
      <c r="E31" s="115">
        <f>IFERROR('CVLT Standard'!D21,"")</f>
        <v>5</v>
      </c>
      <c r="F31" s="115"/>
      <c r="G31" s="16">
        <f t="shared" si="0"/>
        <v>5</v>
      </c>
      <c r="H31" s="26"/>
    </row>
    <row r="32" spans="2:8" x14ac:dyDescent="0.25">
      <c r="B32" s="110" t="s">
        <v>196</v>
      </c>
      <c r="C32" s="110"/>
      <c r="D32" s="22">
        <v>2</v>
      </c>
      <c r="E32" s="115">
        <f>IFERROR('CVLT Standard'!D22,"")</f>
        <v>9</v>
      </c>
      <c r="F32" s="115"/>
      <c r="G32" s="16">
        <f t="shared" si="0"/>
        <v>37</v>
      </c>
      <c r="H32" s="26"/>
    </row>
    <row r="33" spans="1:8" x14ac:dyDescent="0.25">
      <c r="A33" s="110" t="s">
        <v>197</v>
      </c>
      <c r="B33" s="110"/>
      <c r="C33" s="110"/>
      <c r="D33" s="47">
        <f>ROUND((1-((D32+(16-D31))/48))*100,0)</f>
        <v>88</v>
      </c>
      <c r="E33" s="115">
        <f>IFERROR('CVLT Standard'!D23,"")</f>
        <v>8</v>
      </c>
      <c r="F33" s="115"/>
      <c r="G33" s="16">
        <f t="shared" si="0"/>
        <v>25</v>
      </c>
      <c r="H33" s="26"/>
    </row>
    <row r="34" spans="1:8" x14ac:dyDescent="0.25">
      <c r="A34" s="46"/>
      <c r="B34" s="46"/>
      <c r="C34" s="46" t="s">
        <v>265</v>
      </c>
      <c r="D34" s="22">
        <v>15</v>
      </c>
      <c r="E34" s="88">
        <f>IF(D34="","",IFERROR('CVLT Standard'!D27,""))</f>
        <v>3</v>
      </c>
      <c r="F34" s="87" t="s">
        <v>266</v>
      </c>
      <c r="G34" s="26"/>
      <c r="H34" s="26"/>
    </row>
    <row r="36" spans="1:8" x14ac:dyDescent="0.25">
      <c r="B36" s="93" t="s">
        <v>199</v>
      </c>
      <c r="C36" s="93"/>
      <c r="D36" s="20" t="s">
        <v>36</v>
      </c>
      <c r="E36" s="93" t="s">
        <v>200</v>
      </c>
      <c r="F36" s="93"/>
      <c r="G36" s="20" t="s">
        <v>18</v>
      </c>
    </row>
    <row r="37" spans="1:8" x14ac:dyDescent="0.25">
      <c r="B37" s="110" t="s">
        <v>202</v>
      </c>
      <c r="C37" s="110"/>
      <c r="D37" s="47">
        <f>SUM(E16:F20)</f>
        <v>48</v>
      </c>
      <c r="E37" s="115">
        <f>IFERROR('CVLT Standard'!D24,"")</f>
        <v>98</v>
      </c>
      <c r="F37" s="115"/>
      <c r="G37" s="16">
        <f>IF(E37&lt;62,"&lt;1",IF(E37="","",IF(E37&gt;138,"&gt;99",ROUND(NORMDIST(E37,100,15,TRUE)*100,0))))</f>
        <v>45</v>
      </c>
    </row>
    <row r="38" spans="1:8" x14ac:dyDescent="0.25">
      <c r="A38" s="110" t="s">
        <v>203</v>
      </c>
      <c r="B38" s="110"/>
      <c r="C38" s="110"/>
      <c r="D38" s="47">
        <f>SUM(E22:F25)</f>
        <v>28</v>
      </c>
      <c r="E38" s="115">
        <f>IFERROR('CVLT Standard'!D25,"")</f>
        <v>84</v>
      </c>
      <c r="F38" s="115"/>
      <c r="G38" s="16">
        <f>IF(E38&lt;62,"&lt;1",IF(E38="","",IF(E38&gt;138,"&gt;99",ROUND(NORMDIST(E38,100,15,TRUE)*100,0))))</f>
        <v>14</v>
      </c>
    </row>
    <row r="39" spans="1:8" x14ac:dyDescent="0.25">
      <c r="B39" s="110" t="s">
        <v>204</v>
      </c>
      <c r="C39" s="110"/>
      <c r="D39" s="47">
        <f>SUM(E16:F25)</f>
        <v>89</v>
      </c>
      <c r="E39" s="115">
        <f>IFERROR('CVLT Standard'!D26,"")</f>
        <v>94</v>
      </c>
      <c r="F39" s="115"/>
      <c r="G39" s="16">
        <f>IF(E39&lt;62,"&lt;1",IF(E39="","",IF(E39&gt;138,"&gt;99",ROUND(NORMDIST(E39,100,15,TRUE)*100,0))))</f>
        <v>34</v>
      </c>
    </row>
    <row r="41" spans="1:8" x14ac:dyDescent="0.25">
      <c r="B41" s="93" t="s">
        <v>206</v>
      </c>
      <c r="C41" s="93"/>
      <c r="D41" s="20" t="s">
        <v>212</v>
      </c>
      <c r="E41" s="20" t="s">
        <v>213</v>
      </c>
      <c r="F41" s="20" t="s">
        <v>214</v>
      </c>
      <c r="G41" s="20" t="s">
        <v>18</v>
      </c>
    </row>
    <row r="42" spans="1:8" x14ac:dyDescent="0.25">
      <c r="B42" s="110" t="s">
        <v>208</v>
      </c>
      <c r="C42" s="110"/>
      <c r="D42" s="47">
        <f>E21</f>
        <v>13</v>
      </c>
      <c r="E42" s="47">
        <f>E16</f>
        <v>10</v>
      </c>
      <c r="F42" s="16">
        <f>'CVLT-3 (Contrast)'!C9</f>
        <v>13</v>
      </c>
      <c r="G42" s="16">
        <f>IF(F42="","",ROUND(NORMDIST(F42,10,3,TRUE)*100,0))</f>
        <v>84</v>
      </c>
    </row>
    <row r="43" spans="1:8" x14ac:dyDescent="0.25">
      <c r="B43" s="110" t="s">
        <v>207</v>
      </c>
      <c r="C43" s="110"/>
      <c r="D43" s="47">
        <f>E22</f>
        <v>7</v>
      </c>
      <c r="E43" s="47">
        <f>E20</f>
        <v>9</v>
      </c>
      <c r="F43" s="16">
        <f>'CVLT-3 (Contrast)'!C10</f>
        <v>7</v>
      </c>
      <c r="G43" s="16">
        <f>IF(F43="","",ROUND(NORMDIST(F43,10,3,TRUE)*100,0))</f>
        <v>16</v>
      </c>
    </row>
    <row r="44" spans="1:8" x14ac:dyDescent="0.25">
      <c r="B44" s="110" t="s">
        <v>209</v>
      </c>
      <c r="C44" s="110"/>
      <c r="D44" s="47">
        <f>E24</f>
        <v>8</v>
      </c>
      <c r="E44" s="47">
        <f>E20</f>
        <v>9</v>
      </c>
      <c r="F44" s="16">
        <f>'CVLT-3 (Contrast)'!C11</f>
        <v>9</v>
      </c>
      <c r="G44" s="16">
        <f>IF(F44="","",ROUND(NORMDIST(F44,10,3,TRUE)*100,0))</f>
        <v>37</v>
      </c>
    </row>
    <row r="45" spans="1:8" x14ac:dyDescent="0.25">
      <c r="B45" s="110" t="s">
        <v>210</v>
      </c>
      <c r="C45" s="110"/>
      <c r="D45" s="47">
        <f>E24</f>
        <v>8</v>
      </c>
      <c r="E45" s="47">
        <f>E22</f>
        <v>7</v>
      </c>
      <c r="F45" s="16">
        <f>'CVLT-3 (Contrast)'!C12</f>
        <v>12</v>
      </c>
      <c r="G45" s="16">
        <f>IF(F45="","",ROUND(NORMDIST(F45,10,3,TRUE)*100,0))</f>
        <v>75</v>
      </c>
    </row>
    <row r="46" spans="1:8" x14ac:dyDescent="0.25">
      <c r="B46" s="110" t="s">
        <v>211</v>
      </c>
      <c r="C46" s="110"/>
      <c r="D46" s="47">
        <f>E24</f>
        <v>8</v>
      </c>
      <c r="E46" s="47">
        <f>E33</f>
        <v>8</v>
      </c>
      <c r="F46" s="16">
        <f>'CVLT-3 (Contrast)'!C13</f>
        <v>9</v>
      </c>
      <c r="G46" s="16">
        <f>IF(F46="","",ROUND(NORMDIST(F46,10,3,TRUE)*100,0))</f>
        <v>37</v>
      </c>
    </row>
  </sheetData>
  <sheetProtection password="CEE5" sheet="1" objects="1" scenarios="1"/>
  <mergeCells count="65">
    <mergeCell ref="E32:F32"/>
    <mergeCell ref="E33:F33"/>
    <mergeCell ref="B46:C46"/>
    <mergeCell ref="B37:C37"/>
    <mergeCell ref="B39:C39"/>
    <mergeCell ref="E37:F37"/>
    <mergeCell ref="E38:F38"/>
    <mergeCell ref="E39:F39"/>
    <mergeCell ref="A38:C38"/>
    <mergeCell ref="B41:C41"/>
    <mergeCell ref="B42:C42"/>
    <mergeCell ref="B43:C43"/>
    <mergeCell ref="B44:C44"/>
    <mergeCell ref="B45:C45"/>
    <mergeCell ref="B36:C36"/>
    <mergeCell ref="E36:F36"/>
    <mergeCell ref="E29:F29"/>
    <mergeCell ref="E30:F30"/>
    <mergeCell ref="E31:F31"/>
    <mergeCell ref="E23:F23"/>
    <mergeCell ref="E24:F24"/>
    <mergeCell ref="E25:F25"/>
    <mergeCell ref="E26:F26"/>
    <mergeCell ref="E27:F27"/>
    <mergeCell ref="A33:C33"/>
    <mergeCell ref="B29:C29"/>
    <mergeCell ref="B30:C30"/>
    <mergeCell ref="B31:C31"/>
    <mergeCell ref="B32:C32"/>
    <mergeCell ref="E16:F16"/>
    <mergeCell ref="E15:F15"/>
    <mergeCell ref="E17:F17"/>
    <mergeCell ref="E18:F18"/>
    <mergeCell ref="E19:F19"/>
    <mergeCell ref="E20:F20"/>
    <mergeCell ref="E21:F21"/>
    <mergeCell ref="E22:F22"/>
    <mergeCell ref="B27:C27"/>
    <mergeCell ref="B28:C28"/>
    <mergeCell ref="B21:C21"/>
    <mergeCell ref="B22:C22"/>
    <mergeCell ref="B23:C23"/>
    <mergeCell ref="B24:C24"/>
    <mergeCell ref="B25:C25"/>
    <mergeCell ref="B26:C26"/>
    <mergeCell ref="B20:C20"/>
    <mergeCell ref="E28:F28"/>
    <mergeCell ref="B15:C15"/>
    <mergeCell ref="B16:C16"/>
    <mergeCell ref="B17:C17"/>
    <mergeCell ref="B18:C18"/>
    <mergeCell ref="B19:C19"/>
    <mergeCell ref="B14:H14"/>
    <mergeCell ref="A2:I3"/>
    <mergeCell ref="A5:I5"/>
    <mergeCell ref="B7:E7"/>
    <mergeCell ref="H7:I7"/>
    <mergeCell ref="A8:B8"/>
    <mergeCell ref="H8:I8"/>
    <mergeCell ref="C8:E8"/>
    <mergeCell ref="C9:E9"/>
    <mergeCell ref="H9:I9"/>
    <mergeCell ref="B10:B11"/>
    <mergeCell ref="F10:G10"/>
    <mergeCell ref="H10:I10"/>
  </mergeCells>
  <dataValidations count="3">
    <dataValidation type="whole" allowBlank="1" showInputMessage="1" showErrorMessage="1" sqref="D20" xr:uid="{00000000-0002-0000-0200-000000000000}">
      <formula1>0</formula1>
      <formula2>60</formula2>
    </dataValidation>
    <dataValidation allowBlank="1" showInputMessage="1" showErrorMessage="1" errorTitle="Round Your Score" error="Scores must be between 2 and 130." sqref="D16" xr:uid="{00000000-0002-0000-0200-000001000000}"/>
    <dataValidation type="whole" allowBlank="1" showInputMessage="1" showErrorMessage="1" sqref="D31:D32" xr:uid="{00000000-0002-0000-0200-000002000000}">
      <formula1>0</formula1>
      <formula2>30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92"/>
  <sheetViews>
    <sheetView workbookViewId="0">
      <selection activeCell="C2" sqref="C2"/>
    </sheetView>
  </sheetViews>
  <sheetFormatPr defaultRowHeight="15" x14ac:dyDescent="0.25"/>
  <cols>
    <col min="2" max="2" width="10" customWidth="1"/>
    <col min="6" max="23" width="9.140625" style="59"/>
  </cols>
  <sheetData>
    <row r="1" spans="1:31" ht="15" customHeight="1" x14ac:dyDescent="0.25">
      <c r="F1" s="120" t="s">
        <v>238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2" spans="1:31" ht="15" customHeight="1" x14ac:dyDescent="0.25">
      <c r="A2" s="116" t="s">
        <v>244</v>
      </c>
      <c r="B2" s="116"/>
      <c r="C2" s="47">
        <f>'Scores Summary'!C10</f>
        <v>41</v>
      </c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 spans="1:31" ht="15" customHeight="1" x14ac:dyDescent="0.35">
      <c r="A3" s="42" t="s">
        <v>245</v>
      </c>
      <c r="C3" s="47" t="str">
        <f>IF(C2="","",IF(C2&gt;90,"N/A",IF(C2&gt;=80,"80-90",IF(C2&gt;=70,"70-79",IF(C2&gt;=60,"60-69",IF(C2&gt;=45,"45-59",IF(C2&gt;=30,"30-44",IF(C2&gt;=20,"20-29",IF(C2&gt;=16,"16-19","N/A")))))))))</f>
        <v>30-44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</row>
    <row r="4" spans="1:31" ht="15" customHeight="1" x14ac:dyDescent="0.35">
      <c r="C4" s="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spans="1:31" ht="15" customHeight="1" x14ac:dyDescent="0.25">
      <c r="C5" s="1" t="s">
        <v>36</v>
      </c>
      <c r="D5" s="1" t="s">
        <v>257</v>
      </c>
      <c r="G5" s="117" t="s">
        <v>248</v>
      </c>
      <c r="H5" s="118"/>
      <c r="I5" s="118"/>
      <c r="J5" s="118"/>
      <c r="K5" s="118"/>
      <c r="L5" s="118"/>
      <c r="M5" s="119"/>
      <c r="N5" s="117" t="s">
        <v>249</v>
      </c>
      <c r="O5" s="118"/>
      <c r="P5" s="118"/>
      <c r="Q5" s="118"/>
      <c r="R5" s="118"/>
      <c r="S5" s="118"/>
      <c r="T5" s="119"/>
      <c r="U5" s="117" t="s">
        <v>250</v>
      </c>
      <c r="V5" s="118"/>
      <c r="W5" s="118"/>
      <c r="X5" s="118"/>
      <c r="Y5" s="118"/>
      <c r="Z5" s="118"/>
      <c r="AA5" s="119"/>
    </row>
    <row r="6" spans="1:31" x14ac:dyDescent="0.25">
      <c r="A6" s="42" t="s">
        <v>180</v>
      </c>
      <c r="B6" s="42"/>
      <c r="C6" s="47">
        <f>'Scores Summary 3'!D16</f>
        <v>6</v>
      </c>
      <c r="D6" s="16">
        <f>VLOOKUP(C6,F6:AA23,(VLOOKUP(C3,A28:B35,2,FALSE)),FALSE)</f>
        <v>10</v>
      </c>
      <c r="F6" s="60" t="s">
        <v>14</v>
      </c>
      <c r="G6" s="62" t="s">
        <v>224</v>
      </c>
      <c r="H6" s="60" t="s">
        <v>239</v>
      </c>
      <c r="I6" s="60" t="s">
        <v>240</v>
      </c>
      <c r="J6" s="60" t="s">
        <v>241</v>
      </c>
      <c r="K6" s="60" t="s">
        <v>117</v>
      </c>
      <c r="L6" s="60" t="s">
        <v>242</v>
      </c>
      <c r="M6" s="63" t="s">
        <v>243</v>
      </c>
      <c r="N6" s="62" t="s">
        <v>224</v>
      </c>
      <c r="O6" s="60" t="s">
        <v>239</v>
      </c>
      <c r="P6" s="60" t="s">
        <v>240</v>
      </c>
      <c r="Q6" s="60" t="s">
        <v>241</v>
      </c>
      <c r="R6" s="60" t="s">
        <v>117</v>
      </c>
      <c r="S6" s="60" t="s">
        <v>242</v>
      </c>
      <c r="T6" s="63" t="s">
        <v>243</v>
      </c>
      <c r="U6" s="62" t="s">
        <v>224</v>
      </c>
      <c r="V6" s="60" t="s">
        <v>239</v>
      </c>
      <c r="W6" s="60" t="s">
        <v>240</v>
      </c>
      <c r="X6" s="60" t="s">
        <v>241</v>
      </c>
      <c r="Y6" s="60" t="s">
        <v>117</v>
      </c>
      <c r="Z6" s="60" t="s">
        <v>242</v>
      </c>
      <c r="AA6" s="63" t="s">
        <v>243</v>
      </c>
      <c r="AB6" s="60" t="s">
        <v>36</v>
      </c>
      <c r="AC6" s="60" t="s">
        <v>259</v>
      </c>
      <c r="AD6" s="60" t="s">
        <v>260</v>
      </c>
      <c r="AE6" s="60" t="s">
        <v>261</v>
      </c>
    </row>
    <row r="7" spans="1:31" x14ac:dyDescent="0.25">
      <c r="A7" s="42" t="s">
        <v>181</v>
      </c>
      <c r="B7" s="42"/>
      <c r="C7" s="47">
        <f>'Scores Summary 3'!D17</f>
        <v>8</v>
      </c>
      <c r="D7" s="16">
        <f>VLOOKUP(C7,F6:AA23,(VLOOKUP(C3,A28:B35,2,FALSE)+7),FALSE)</f>
        <v>9</v>
      </c>
      <c r="F7" s="59">
        <v>0</v>
      </c>
      <c r="G7" s="64">
        <v>1</v>
      </c>
      <c r="H7" s="59">
        <v>1</v>
      </c>
      <c r="I7" s="59">
        <v>1</v>
      </c>
      <c r="J7" s="59">
        <v>1</v>
      </c>
      <c r="K7" s="59">
        <v>1</v>
      </c>
      <c r="L7" s="59">
        <v>1</v>
      </c>
      <c r="M7" s="65">
        <v>2</v>
      </c>
      <c r="N7" s="64">
        <v>1</v>
      </c>
      <c r="O7" s="59">
        <v>1</v>
      </c>
      <c r="P7" s="59">
        <v>1</v>
      </c>
      <c r="Q7" s="59">
        <v>1</v>
      </c>
      <c r="R7" s="59">
        <v>1</v>
      </c>
      <c r="S7" s="59">
        <v>1</v>
      </c>
      <c r="T7" s="65">
        <v>1</v>
      </c>
      <c r="U7" s="64">
        <v>1</v>
      </c>
      <c r="V7" s="59">
        <v>1</v>
      </c>
      <c r="W7" s="59">
        <v>1</v>
      </c>
      <c r="X7" s="59">
        <v>1</v>
      </c>
      <c r="Y7" s="59">
        <v>1</v>
      </c>
      <c r="Z7" s="59">
        <v>1</v>
      </c>
      <c r="AA7" s="65">
        <v>1</v>
      </c>
      <c r="AB7" s="59">
        <v>4</v>
      </c>
      <c r="AD7" s="59">
        <v>45</v>
      </c>
    </row>
    <row r="8" spans="1:31" x14ac:dyDescent="0.25">
      <c r="A8" s="42" t="s">
        <v>182</v>
      </c>
      <c r="B8" s="42"/>
      <c r="C8" s="47">
        <f>'Scores Summary 3'!D18</f>
        <v>12</v>
      </c>
      <c r="D8" s="16">
        <f>VLOOKUP(C8,F6:AA23,(VLOOKUP(C3,A28:B35,2,FALSE)+14),FALSE)</f>
        <v>11</v>
      </c>
      <c r="F8" s="59">
        <v>1</v>
      </c>
      <c r="G8" s="64">
        <v>1</v>
      </c>
      <c r="H8" s="59">
        <v>1</v>
      </c>
      <c r="I8" s="59">
        <v>1</v>
      </c>
      <c r="J8" s="59">
        <v>2</v>
      </c>
      <c r="K8" s="59">
        <v>2</v>
      </c>
      <c r="L8" s="59">
        <v>2</v>
      </c>
      <c r="M8" s="65">
        <v>4</v>
      </c>
      <c r="N8" s="64">
        <v>1</v>
      </c>
      <c r="O8" s="59">
        <v>1</v>
      </c>
      <c r="P8" s="59">
        <v>1</v>
      </c>
      <c r="Q8" s="59">
        <v>1</v>
      </c>
      <c r="R8" s="59">
        <v>2</v>
      </c>
      <c r="S8" s="59">
        <v>2</v>
      </c>
      <c r="T8" s="65">
        <v>2</v>
      </c>
      <c r="U8" s="64">
        <v>1</v>
      </c>
      <c r="V8" s="59">
        <v>1</v>
      </c>
      <c r="W8" s="59">
        <v>1</v>
      </c>
      <c r="X8" s="59">
        <v>1</v>
      </c>
      <c r="Y8" s="59">
        <v>1</v>
      </c>
      <c r="Z8" s="59">
        <v>1</v>
      </c>
      <c r="AA8" s="65">
        <v>1</v>
      </c>
      <c r="AB8" s="1">
        <f>AB7+1</f>
        <v>5</v>
      </c>
      <c r="AC8" s="59">
        <v>45</v>
      </c>
      <c r="AD8" s="59">
        <v>47</v>
      </c>
    </row>
    <row r="9" spans="1:31" x14ac:dyDescent="0.25">
      <c r="A9" s="42" t="s">
        <v>183</v>
      </c>
      <c r="B9" s="42"/>
      <c r="C9" s="47">
        <f>'Scores Summary 3'!D19</f>
        <v>11</v>
      </c>
      <c r="D9" s="16">
        <f>VLOOKUP(C9,F26:AA43,(VLOOKUP(C3,A28:B35,2,FALSE)),FALSE)</f>
        <v>9</v>
      </c>
      <c r="F9" s="59">
        <v>2</v>
      </c>
      <c r="G9" s="64">
        <v>2</v>
      </c>
      <c r="H9" s="59">
        <v>2</v>
      </c>
      <c r="I9" s="59">
        <v>2</v>
      </c>
      <c r="J9" s="59">
        <v>4</v>
      </c>
      <c r="K9" s="59">
        <v>4</v>
      </c>
      <c r="L9" s="59">
        <v>4</v>
      </c>
      <c r="M9" s="65">
        <v>6</v>
      </c>
      <c r="N9" s="64">
        <v>2</v>
      </c>
      <c r="O9" s="59">
        <v>2</v>
      </c>
      <c r="P9" s="59">
        <v>2</v>
      </c>
      <c r="Q9" s="59">
        <v>2</v>
      </c>
      <c r="R9" s="59">
        <v>3</v>
      </c>
      <c r="S9" s="59">
        <v>3</v>
      </c>
      <c r="T9" s="65">
        <v>3</v>
      </c>
      <c r="U9" s="64">
        <v>1</v>
      </c>
      <c r="V9" s="59">
        <v>1</v>
      </c>
      <c r="W9" s="59">
        <v>1</v>
      </c>
      <c r="X9" s="59">
        <v>1</v>
      </c>
      <c r="Y9" s="59">
        <v>2</v>
      </c>
      <c r="Z9" s="59">
        <v>2</v>
      </c>
      <c r="AA9" s="65">
        <v>2</v>
      </c>
      <c r="AB9" s="1">
        <f t="shared" ref="AB9:AB72" si="0">AB8+1</f>
        <v>6</v>
      </c>
      <c r="AC9" s="59">
        <v>45</v>
      </c>
      <c r="AD9" s="59">
        <v>49</v>
      </c>
    </row>
    <row r="10" spans="1:31" x14ac:dyDescent="0.25">
      <c r="A10" s="42" t="s">
        <v>184</v>
      </c>
      <c r="B10" s="42"/>
      <c r="C10" s="47">
        <f>'Scores Summary 3'!D20</f>
        <v>12</v>
      </c>
      <c r="D10" s="16">
        <f>VLOOKUP(C10,F26:AA43,(VLOOKUP(C3,A28:B35,2,FALSE)+7),FALSE)</f>
        <v>9</v>
      </c>
      <c r="F10" s="59">
        <v>3</v>
      </c>
      <c r="G10" s="64">
        <v>4</v>
      </c>
      <c r="H10" s="59">
        <v>4</v>
      </c>
      <c r="I10" s="59">
        <v>4</v>
      </c>
      <c r="J10" s="59">
        <v>5</v>
      </c>
      <c r="K10" s="59">
        <v>6</v>
      </c>
      <c r="L10" s="59">
        <v>6</v>
      </c>
      <c r="M10" s="65">
        <v>8</v>
      </c>
      <c r="N10" s="64">
        <v>3</v>
      </c>
      <c r="O10" s="59">
        <v>3</v>
      </c>
      <c r="P10" s="59">
        <v>3</v>
      </c>
      <c r="Q10" s="59">
        <v>3</v>
      </c>
      <c r="R10" s="59">
        <v>4</v>
      </c>
      <c r="S10" s="59">
        <v>5</v>
      </c>
      <c r="T10" s="65">
        <v>5</v>
      </c>
      <c r="U10" s="64">
        <v>2</v>
      </c>
      <c r="V10" s="59">
        <v>1</v>
      </c>
      <c r="W10" s="59">
        <v>1</v>
      </c>
      <c r="X10" s="59">
        <v>2</v>
      </c>
      <c r="Y10" s="59">
        <v>3</v>
      </c>
      <c r="Z10" s="59">
        <v>4</v>
      </c>
      <c r="AA10" s="65">
        <v>4</v>
      </c>
      <c r="AB10" s="1">
        <f t="shared" si="0"/>
        <v>7</v>
      </c>
      <c r="AC10" s="59">
        <v>45</v>
      </c>
      <c r="AD10" s="59">
        <v>51</v>
      </c>
    </row>
    <row r="11" spans="1:31" x14ac:dyDescent="0.25">
      <c r="A11" s="42" t="s">
        <v>185</v>
      </c>
      <c r="B11" s="42"/>
      <c r="C11" s="47">
        <f>'Scores Summary 3'!D21</f>
        <v>7</v>
      </c>
      <c r="D11" s="16">
        <f>VLOOKUP(C11,F26:AA43,(VLOOKUP(C3,A28:B35,2,FALSE)+14),FALSE)</f>
        <v>13</v>
      </c>
      <c r="F11" s="59">
        <v>4</v>
      </c>
      <c r="G11" s="64">
        <v>6</v>
      </c>
      <c r="H11" s="59">
        <v>6</v>
      </c>
      <c r="I11" s="59">
        <v>6</v>
      </c>
      <c r="J11" s="59">
        <v>7</v>
      </c>
      <c r="K11" s="59">
        <v>8</v>
      </c>
      <c r="L11" s="59">
        <v>8</v>
      </c>
      <c r="M11" s="65">
        <v>10</v>
      </c>
      <c r="N11" s="64">
        <v>4</v>
      </c>
      <c r="O11" s="59">
        <v>4</v>
      </c>
      <c r="P11" s="59">
        <v>4</v>
      </c>
      <c r="Q11" s="59">
        <v>4</v>
      </c>
      <c r="R11" s="59">
        <v>5</v>
      </c>
      <c r="S11" s="59">
        <v>6</v>
      </c>
      <c r="T11" s="65">
        <v>7</v>
      </c>
      <c r="U11" s="64">
        <v>3</v>
      </c>
      <c r="V11" s="59">
        <v>2</v>
      </c>
      <c r="W11" s="59">
        <v>2</v>
      </c>
      <c r="X11" s="59">
        <v>3</v>
      </c>
      <c r="Y11" s="59">
        <v>4</v>
      </c>
      <c r="Z11" s="59">
        <v>5</v>
      </c>
      <c r="AA11" s="65">
        <v>5</v>
      </c>
      <c r="AB11" s="1">
        <f t="shared" si="0"/>
        <v>8</v>
      </c>
      <c r="AC11" s="59">
        <v>46</v>
      </c>
      <c r="AD11" s="59">
        <v>53</v>
      </c>
    </row>
    <row r="12" spans="1:31" x14ac:dyDescent="0.25">
      <c r="A12" s="42" t="s">
        <v>186</v>
      </c>
      <c r="B12" s="42"/>
      <c r="C12" s="47">
        <f>'Scores Summary 3'!D22</f>
        <v>7</v>
      </c>
      <c r="D12" s="16">
        <f>VLOOKUP(C12,F46:AA63,(VLOOKUP(C3,A28:B35,2,FALSE)),FALSE)</f>
        <v>7</v>
      </c>
      <c r="F12" s="59">
        <v>5</v>
      </c>
      <c r="G12" s="64">
        <v>8</v>
      </c>
      <c r="H12" s="59">
        <v>8</v>
      </c>
      <c r="I12" s="59">
        <v>8</v>
      </c>
      <c r="J12" s="59">
        <v>8</v>
      </c>
      <c r="K12" s="59">
        <v>10</v>
      </c>
      <c r="L12" s="59">
        <v>10</v>
      </c>
      <c r="M12" s="65">
        <v>12</v>
      </c>
      <c r="N12" s="64">
        <v>5</v>
      </c>
      <c r="O12" s="59">
        <v>5</v>
      </c>
      <c r="P12" s="59">
        <v>5</v>
      </c>
      <c r="Q12" s="59">
        <v>5</v>
      </c>
      <c r="R12" s="59">
        <v>6</v>
      </c>
      <c r="S12" s="59">
        <v>7</v>
      </c>
      <c r="T12" s="65">
        <v>8</v>
      </c>
      <c r="U12" s="64">
        <v>4</v>
      </c>
      <c r="V12" s="59">
        <v>3</v>
      </c>
      <c r="W12" s="59">
        <v>3</v>
      </c>
      <c r="X12" s="59">
        <v>4</v>
      </c>
      <c r="Y12" s="59">
        <v>5</v>
      </c>
      <c r="Z12" s="59">
        <v>6</v>
      </c>
      <c r="AA12" s="65">
        <v>6</v>
      </c>
      <c r="AB12" s="1">
        <f t="shared" si="0"/>
        <v>9</v>
      </c>
      <c r="AC12" s="59">
        <v>47</v>
      </c>
      <c r="AD12" s="59">
        <v>55</v>
      </c>
    </row>
    <row r="13" spans="1:31" x14ac:dyDescent="0.25">
      <c r="A13" s="42" t="s">
        <v>187</v>
      </c>
      <c r="B13" s="42"/>
      <c r="C13" s="47">
        <f>'Scores Summary 3'!D23</f>
        <v>7</v>
      </c>
      <c r="D13" s="16">
        <f>VLOOKUP(C13,F46:AA63,(VLOOKUP(C3,A28:B35,2,FALSE)+7),FALSE)</f>
        <v>6</v>
      </c>
      <c r="F13" s="59">
        <v>6</v>
      </c>
      <c r="G13" s="64">
        <v>10</v>
      </c>
      <c r="H13" s="59">
        <v>10</v>
      </c>
      <c r="I13" s="59">
        <v>10</v>
      </c>
      <c r="J13" s="59">
        <v>10</v>
      </c>
      <c r="K13" s="59">
        <v>11</v>
      </c>
      <c r="L13" s="59">
        <v>12</v>
      </c>
      <c r="M13" s="65">
        <v>14</v>
      </c>
      <c r="N13" s="64">
        <v>7</v>
      </c>
      <c r="O13" s="59">
        <v>6</v>
      </c>
      <c r="P13" s="59">
        <v>6</v>
      </c>
      <c r="Q13" s="59">
        <v>6</v>
      </c>
      <c r="R13" s="59">
        <v>7</v>
      </c>
      <c r="S13" s="59">
        <v>8</v>
      </c>
      <c r="T13" s="65">
        <v>10</v>
      </c>
      <c r="U13" s="64">
        <v>5</v>
      </c>
      <c r="V13" s="59">
        <v>4</v>
      </c>
      <c r="W13" s="59">
        <v>4</v>
      </c>
      <c r="X13" s="59">
        <v>5</v>
      </c>
      <c r="Y13" s="59">
        <v>6</v>
      </c>
      <c r="Z13" s="59">
        <v>7</v>
      </c>
      <c r="AA13" s="65">
        <v>8</v>
      </c>
      <c r="AB13" s="1">
        <f t="shared" si="0"/>
        <v>10</v>
      </c>
      <c r="AC13" s="59">
        <v>48</v>
      </c>
      <c r="AD13" s="59">
        <v>57</v>
      </c>
      <c r="AE13" s="59">
        <v>40</v>
      </c>
    </row>
    <row r="14" spans="1:31" x14ac:dyDescent="0.25">
      <c r="A14" s="42" t="s">
        <v>188</v>
      </c>
      <c r="B14" s="42"/>
      <c r="C14" s="47">
        <f>'Scores Summary 3'!D24</f>
        <v>9</v>
      </c>
      <c r="D14" s="16">
        <f>VLOOKUP(C14,F46:AA63,(VLOOKUP(C3,A28:B35,2,FALSE)+14),FALSE)</f>
        <v>8</v>
      </c>
      <c r="F14" s="59">
        <v>7</v>
      </c>
      <c r="G14" s="64">
        <v>11</v>
      </c>
      <c r="H14" s="59">
        <v>11</v>
      </c>
      <c r="I14" s="59">
        <v>11</v>
      </c>
      <c r="J14" s="59">
        <v>11</v>
      </c>
      <c r="K14" s="59">
        <v>13</v>
      </c>
      <c r="L14" s="59">
        <v>14</v>
      </c>
      <c r="M14" s="65">
        <v>15</v>
      </c>
      <c r="N14" s="64">
        <v>8</v>
      </c>
      <c r="O14" s="59">
        <v>8</v>
      </c>
      <c r="P14" s="59">
        <v>8</v>
      </c>
      <c r="Q14" s="59">
        <v>8</v>
      </c>
      <c r="R14" s="59">
        <v>9</v>
      </c>
      <c r="S14" s="59">
        <v>10</v>
      </c>
      <c r="T14" s="65">
        <v>11</v>
      </c>
      <c r="U14" s="64">
        <v>6</v>
      </c>
      <c r="V14" s="59">
        <v>5</v>
      </c>
      <c r="W14" s="59">
        <v>5</v>
      </c>
      <c r="X14" s="59">
        <v>6</v>
      </c>
      <c r="Y14" s="59">
        <v>7</v>
      </c>
      <c r="Z14" s="59">
        <v>8</v>
      </c>
      <c r="AA14" s="65">
        <v>10</v>
      </c>
      <c r="AB14" s="1">
        <f t="shared" si="0"/>
        <v>11</v>
      </c>
      <c r="AC14" s="59">
        <v>50</v>
      </c>
      <c r="AD14" s="59">
        <v>58</v>
      </c>
      <c r="AE14" s="59">
        <v>40</v>
      </c>
    </row>
    <row r="15" spans="1:31" x14ac:dyDescent="0.25">
      <c r="A15" s="42" t="s">
        <v>189</v>
      </c>
      <c r="B15" s="42"/>
      <c r="C15" s="47">
        <f>'Scores Summary 3'!D25</f>
        <v>9</v>
      </c>
      <c r="D15" s="16">
        <f>VLOOKUP(C15,F66:T83,(VLOOKUP(C3,A28:B35,2,FALSE)),FALSE)</f>
        <v>7</v>
      </c>
      <c r="F15" s="59">
        <v>8</v>
      </c>
      <c r="G15" s="64">
        <v>13</v>
      </c>
      <c r="H15" s="59">
        <v>13</v>
      </c>
      <c r="I15" s="59">
        <v>13</v>
      </c>
      <c r="J15" s="59">
        <v>13</v>
      </c>
      <c r="K15" s="59">
        <v>14</v>
      </c>
      <c r="L15" s="59">
        <v>15</v>
      </c>
      <c r="M15" s="65">
        <v>16</v>
      </c>
      <c r="N15" s="64">
        <v>9</v>
      </c>
      <c r="O15" s="59">
        <v>9</v>
      </c>
      <c r="P15" s="59">
        <v>9</v>
      </c>
      <c r="Q15" s="59">
        <v>9</v>
      </c>
      <c r="R15" s="59">
        <v>10</v>
      </c>
      <c r="S15" s="59">
        <v>11</v>
      </c>
      <c r="T15" s="65">
        <v>13</v>
      </c>
      <c r="U15" s="64">
        <v>7</v>
      </c>
      <c r="V15" s="59">
        <v>7</v>
      </c>
      <c r="W15" s="59">
        <v>7</v>
      </c>
      <c r="X15" s="59">
        <v>7</v>
      </c>
      <c r="Y15" s="59">
        <v>9</v>
      </c>
      <c r="Z15" s="59">
        <v>10</v>
      </c>
      <c r="AA15" s="65">
        <v>11</v>
      </c>
      <c r="AB15" s="1">
        <f t="shared" si="0"/>
        <v>12</v>
      </c>
      <c r="AC15" s="59">
        <v>51</v>
      </c>
      <c r="AD15" s="59">
        <v>59</v>
      </c>
      <c r="AE15" s="59">
        <v>40</v>
      </c>
    </row>
    <row r="16" spans="1:31" x14ac:dyDescent="0.25">
      <c r="A16" s="42" t="s">
        <v>190</v>
      </c>
      <c r="B16" s="42"/>
      <c r="C16" s="47">
        <f>'Scores Summary 3'!D26</f>
        <v>4</v>
      </c>
      <c r="D16" s="16">
        <f>IF(C16&gt;36,1,VLOOKUP(C16,F86:AA123,(VLOOKUP(C3,A28:B35,2,FALSE)),FALSE))</f>
        <v>6</v>
      </c>
      <c r="F16" s="59">
        <v>9</v>
      </c>
      <c r="G16" s="64">
        <v>15</v>
      </c>
      <c r="H16" s="59">
        <v>14</v>
      </c>
      <c r="I16" s="59">
        <v>14</v>
      </c>
      <c r="J16" s="59">
        <v>14</v>
      </c>
      <c r="K16" s="59">
        <v>15</v>
      </c>
      <c r="L16" s="59">
        <v>16</v>
      </c>
      <c r="M16" s="65">
        <v>17</v>
      </c>
      <c r="N16" s="64">
        <v>10</v>
      </c>
      <c r="O16" s="59">
        <v>10</v>
      </c>
      <c r="P16" s="59">
        <v>10</v>
      </c>
      <c r="Q16" s="59">
        <v>10</v>
      </c>
      <c r="R16" s="59">
        <v>11</v>
      </c>
      <c r="S16" s="59">
        <v>12</v>
      </c>
      <c r="T16" s="65">
        <v>14</v>
      </c>
      <c r="U16" s="64">
        <v>8</v>
      </c>
      <c r="V16" s="59">
        <v>8</v>
      </c>
      <c r="W16" s="59">
        <v>8</v>
      </c>
      <c r="X16" s="59">
        <v>8</v>
      </c>
      <c r="Y16" s="59">
        <v>10</v>
      </c>
      <c r="Z16" s="59">
        <v>11</v>
      </c>
      <c r="AA16" s="65">
        <v>12</v>
      </c>
      <c r="AB16" s="1">
        <f t="shared" si="0"/>
        <v>13</v>
      </c>
      <c r="AC16" s="59">
        <v>52</v>
      </c>
      <c r="AD16" s="59">
        <v>61</v>
      </c>
      <c r="AE16" s="59">
        <v>40</v>
      </c>
    </row>
    <row r="17" spans="1:31" x14ac:dyDescent="0.25">
      <c r="A17" s="42" t="s">
        <v>191</v>
      </c>
      <c r="B17" s="42"/>
      <c r="C17" s="47">
        <f>'Scores Summary 3'!D27</f>
        <v>3</v>
      </c>
      <c r="D17" s="16">
        <f>IF(C17&gt;26,1,VLOOKUP(C17,F86:AA123,(VLOOKUP(C3,A28:B35,2,FALSE)+7),FALSE))</f>
        <v>9</v>
      </c>
      <c r="F17" s="59">
        <v>10</v>
      </c>
      <c r="G17" s="64">
        <v>17</v>
      </c>
      <c r="H17" s="59">
        <v>15</v>
      </c>
      <c r="I17" s="59">
        <v>15</v>
      </c>
      <c r="J17" s="59">
        <v>15</v>
      </c>
      <c r="K17" s="59">
        <v>16</v>
      </c>
      <c r="L17" s="59">
        <v>17</v>
      </c>
      <c r="M17" s="65">
        <v>18</v>
      </c>
      <c r="N17" s="64">
        <v>12</v>
      </c>
      <c r="O17" s="59">
        <v>11</v>
      </c>
      <c r="P17" s="59">
        <v>11</v>
      </c>
      <c r="Q17" s="59">
        <v>11</v>
      </c>
      <c r="R17" s="59">
        <v>12</v>
      </c>
      <c r="S17" s="59">
        <v>14</v>
      </c>
      <c r="T17" s="65">
        <v>15</v>
      </c>
      <c r="U17" s="64">
        <v>9</v>
      </c>
      <c r="V17" s="59">
        <v>9</v>
      </c>
      <c r="W17" s="59">
        <v>9</v>
      </c>
      <c r="X17" s="59">
        <v>10</v>
      </c>
      <c r="Y17" s="59">
        <v>11</v>
      </c>
      <c r="Z17" s="59">
        <v>12</v>
      </c>
      <c r="AA17" s="65">
        <v>13</v>
      </c>
      <c r="AB17" s="1">
        <f t="shared" si="0"/>
        <v>14</v>
      </c>
      <c r="AC17" s="59">
        <v>54</v>
      </c>
      <c r="AD17" s="59">
        <v>63</v>
      </c>
      <c r="AE17" s="59">
        <v>40</v>
      </c>
    </row>
    <row r="18" spans="1:31" x14ac:dyDescent="0.25">
      <c r="A18" s="42" t="s">
        <v>192</v>
      </c>
      <c r="B18" s="42"/>
      <c r="C18" s="47">
        <f>'Scores Summary 3'!D28</f>
        <v>5</v>
      </c>
      <c r="D18" s="16">
        <f>IF(C18&gt;36,1,VLOOKUP(C18,F86:AA123,(VLOOKUP(C3,A28:B35,2,FALSE)+14),FALSE))</f>
        <v>6</v>
      </c>
      <c r="F18" s="59">
        <v>11</v>
      </c>
      <c r="G18" s="64">
        <v>18</v>
      </c>
      <c r="H18" s="59">
        <v>17</v>
      </c>
      <c r="I18" s="59">
        <v>16</v>
      </c>
      <c r="J18" s="59">
        <v>16</v>
      </c>
      <c r="K18" s="59">
        <v>17</v>
      </c>
      <c r="L18" s="59">
        <v>18</v>
      </c>
      <c r="M18" s="65">
        <v>19</v>
      </c>
      <c r="N18" s="64">
        <v>13</v>
      </c>
      <c r="O18" s="59">
        <v>12</v>
      </c>
      <c r="P18" s="59">
        <v>12</v>
      </c>
      <c r="Q18" s="59">
        <v>12</v>
      </c>
      <c r="R18" s="59">
        <v>13</v>
      </c>
      <c r="S18" s="59">
        <v>15</v>
      </c>
      <c r="T18" s="65">
        <v>16</v>
      </c>
      <c r="U18" s="64">
        <v>10</v>
      </c>
      <c r="V18" s="59">
        <v>10</v>
      </c>
      <c r="W18" s="59">
        <v>10</v>
      </c>
      <c r="X18" s="59">
        <v>11</v>
      </c>
      <c r="Y18" s="59">
        <v>12</v>
      </c>
      <c r="Z18" s="59">
        <v>13</v>
      </c>
      <c r="AA18" s="65">
        <v>14</v>
      </c>
      <c r="AB18" s="1">
        <f t="shared" si="0"/>
        <v>15</v>
      </c>
      <c r="AC18" s="59">
        <v>55</v>
      </c>
      <c r="AD18" s="59">
        <v>65</v>
      </c>
      <c r="AE18" s="59">
        <v>40</v>
      </c>
    </row>
    <row r="19" spans="1:31" x14ac:dyDescent="0.25">
      <c r="A19" s="42" t="s">
        <v>193</v>
      </c>
      <c r="B19" s="42"/>
      <c r="C19" s="47">
        <f>'Scores Summary 3'!D29</f>
        <v>8</v>
      </c>
      <c r="D19" s="16">
        <f>IF(C19&gt;37,1,VLOOKUP(C19,F126:AA164,(VLOOKUP(C3,A28:B35,2,FALSE)),FALSE))</f>
        <v>7</v>
      </c>
      <c r="F19" s="59">
        <v>12</v>
      </c>
      <c r="G19" s="64">
        <v>19</v>
      </c>
      <c r="H19" s="59">
        <v>18</v>
      </c>
      <c r="I19" s="59">
        <v>17</v>
      </c>
      <c r="J19" s="59">
        <v>17</v>
      </c>
      <c r="K19" s="59">
        <v>18</v>
      </c>
      <c r="L19" s="59">
        <v>19</v>
      </c>
      <c r="M19" s="65">
        <v>19</v>
      </c>
      <c r="N19" s="64">
        <v>14</v>
      </c>
      <c r="O19" s="59">
        <v>13</v>
      </c>
      <c r="P19" s="59">
        <v>13</v>
      </c>
      <c r="Q19" s="59">
        <v>13</v>
      </c>
      <c r="R19" s="59">
        <v>15</v>
      </c>
      <c r="S19" s="59">
        <v>16</v>
      </c>
      <c r="T19" s="65">
        <v>18</v>
      </c>
      <c r="U19" s="64">
        <v>11</v>
      </c>
      <c r="V19" s="59">
        <v>11</v>
      </c>
      <c r="W19" s="59">
        <v>11</v>
      </c>
      <c r="X19" s="59">
        <v>12</v>
      </c>
      <c r="Y19" s="59">
        <v>13</v>
      </c>
      <c r="Z19" s="59">
        <v>14</v>
      </c>
      <c r="AA19" s="65">
        <v>15</v>
      </c>
      <c r="AB19" s="1">
        <f t="shared" si="0"/>
        <v>16</v>
      </c>
      <c r="AC19" s="59">
        <v>57</v>
      </c>
      <c r="AD19" s="59">
        <v>67</v>
      </c>
      <c r="AE19" s="59">
        <v>40</v>
      </c>
    </row>
    <row r="20" spans="1:31" x14ac:dyDescent="0.25">
      <c r="A20" s="42" t="s">
        <v>194</v>
      </c>
      <c r="B20" s="42"/>
      <c r="C20" s="47">
        <f>'Scores Summary 3'!D30</f>
        <v>9</v>
      </c>
      <c r="D20" s="16">
        <f>IF(C20&gt;37,1,VLOOKUP(C20,F126:AA164,(VLOOKUP(C3,A28:B35,2,FALSE)+7),FALSE))</f>
        <v>8</v>
      </c>
      <c r="F20" s="59">
        <v>13</v>
      </c>
      <c r="G20" s="64">
        <v>19</v>
      </c>
      <c r="H20" s="59">
        <v>19</v>
      </c>
      <c r="I20" s="59">
        <v>18</v>
      </c>
      <c r="J20" s="59">
        <v>18</v>
      </c>
      <c r="K20" s="59">
        <v>19</v>
      </c>
      <c r="L20" s="59">
        <v>19</v>
      </c>
      <c r="M20" s="65">
        <v>19</v>
      </c>
      <c r="N20" s="64">
        <v>15</v>
      </c>
      <c r="O20" s="59">
        <v>15</v>
      </c>
      <c r="P20" s="59">
        <v>15</v>
      </c>
      <c r="Q20" s="59">
        <v>15</v>
      </c>
      <c r="R20" s="59">
        <v>16</v>
      </c>
      <c r="S20" s="59">
        <v>18</v>
      </c>
      <c r="T20" s="65">
        <v>19</v>
      </c>
      <c r="U20" s="64">
        <v>13</v>
      </c>
      <c r="V20" s="59">
        <v>12</v>
      </c>
      <c r="W20" s="59">
        <v>12</v>
      </c>
      <c r="X20" s="59">
        <v>13</v>
      </c>
      <c r="Y20" s="59">
        <v>14</v>
      </c>
      <c r="Z20" s="59">
        <v>15</v>
      </c>
      <c r="AA20" s="65">
        <v>16</v>
      </c>
      <c r="AB20" s="1">
        <f t="shared" si="0"/>
        <v>17</v>
      </c>
      <c r="AC20" s="59">
        <v>58</v>
      </c>
      <c r="AD20" s="59">
        <v>68</v>
      </c>
      <c r="AE20" s="59">
        <v>41</v>
      </c>
    </row>
    <row r="21" spans="1:31" x14ac:dyDescent="0.25">
      <c r="A21" s="42" t="s">
        <v>195</v>
      </c>
      <c r="B21" s="42"/>
      <c r="C21" s="47">
        <f>'Scores Summary 3'!D31</f>
        <v>12</v>
      </c>
      <c r="D21" s="16">
        <f>VLOOKUP(C21,F66:T83,(VLOOKUP(C3,A28:B35,2,FALSE)+7),FALSE)</f>
        <v>5</v>
      </c>
      <c r="F21" s="59">
        <v>14</v>
      </c>
      <c r="G21" s="64">
        <v>19</v>
      </c>
      <c r="H21" s="59">
        <v>19</v>
      </c>
      <c r="I21" s="59">
        <v>19</v>
      </c>
      <c r="J21" s="59">
        <v>19</v>
      </c>
      <c r="K21" s="59">
        <v>19</v>
      </c>
      <c r="L21" s="59">
        <v>19</v>
      </c>
      <c r="M21" s="65">
        <v>19</v>
      </c>
      <c r="N21" s="64">
        <v>16</v>
      </c>
      <c r="O21" s="59">
        <v>16</v>
      </c>
      <c r="P21" s="59">
        <v>16</v>
      </c>
      <c r="Q21" s="59">
        <v>16</v>
      </c>
      <c r="R21" s="59">
        <v>18</v>
      </c>
      <c r="S21" s="59">
        <v>19</v>
      </c>
      <c r="T21" s="65">
        <v>19</v>
      </c>
      <c r="U21" s="64">
        <v>15</v>
      </c>
      <c r="V21" s="59">
        <v>13</v>
      </c>
      <c r="W21" s="59">
        <v>13</v>
      </c>
      <c r="X21" s="59">
        <v>14</v>
      </c>
      <c r="Y21" s="59">
        <v>15</v>
      </c>
      <c r="Z21" s="59">
        <v>16</v>
      </c>
      <c r="AA21" s="65">
        <v>17</v>
      </c>
      <c r="AB21" s="1">
        <f t="shared" si="0"/>
        <v>18</v>
      </c>
      <c r="AC21" s="59">
        <v>60</v>
      </c>
      <c r="AD21" s="59">
        <v>69</v>
      </c>
      <c r="AE21" s="59">
        <v>42</v>
      </c>
    </row>
    <row r="22" spans="1:31" x14ac:dyDescent="0.25">
      <c r="A22" s="42" t="s">
        <v>196</v>
      </c>
      <c r="B22" s="42"/>
      <c r="C22" s="47">
        <f>'Scores Summary 3'!D32</f>
        <v>2</v>
      </c>
      <c r="D22" s="16">
        <f>IF(C22&gt;37,1,VLOOKUP(C22,F126:AA164,(VLOOKUP(C3,A28:B35,2,FALSE)+14),FALSE))</f>
        <v>9</v>
      </c>
      <c r="F22" s="59">
        <v>15</v>
      </c>
      <c r="G22" s="64">
        <v>19</v>
      </c>
      <c r="H22" s="59">
        <v>19</v>
      </c>
      <c r="I22" s="59">
        <v>19</v>
      </c>
      <c r="J22" s="59">
        <v>19</v>
      </c>
      <c r="K22" s="59">
        <v>19</v>
      </c>
      <c r="L22" s="59">
        <v>19</v>
      </c>
      <c r="M22" s="65">
        <v>19</v>
      </c>
      <c r="N22" s="64">
        <v>18</v>
      </c>
      <c r="O22" s="59">
        <v>18</v>
      </c>
      <c r="P22" s="59">
        <v>18</v>
      </c>
      <c r="Q22" s="59">
        <v>18</v>
      </c>
      <c r="R22" s="59">
        <v>19</v>
      </c>
      <c r="S22" s="59">
        <v>19</v>
      </c>
      <c r="T22" s="65">
        <v>19</v>
      </c>
      <c r="U22" s="64">
        <v>16</v>
      </c>
      <c r="V22" s="59">
        <v>15</v>
      </c>
      <c r="W22" s="59">
        <v>15</v>
      </c>
      <c r="X22" s="59">
        <v>15</v>
      </c>
      <c r="Y22" s="59">
        <v>16</v>
      </c>
      <c r="Z22" s="59">
        <v>17</v>
      </c>
      <c r="AA22" s="65">
        <v>18</v>
      </c>
      <c r="AB22" s="1">
        <f t="shared" si="0"/>
        <v>19</v>
      </c>
      <c r="AC22" s="59">
        <v>61</v>
      </c>
      <c r="AD22" s="59">
        <v>71</v>
      </c>
      <c r="AE22" s="59">
        <v>43</v>
      </c>
    </row>
    <row r="23" spans="1:31" x14ac:dyDescent="0.25">
      <c r="A23" s="42" t="s">
        <v>205</v>
      </c>
      <c r="B23" s="42"/>
      <c r="C23" s="47">
        <f>ROUND('Scores Summary 3'!D33,0)</f>
        <v>88</v>
      </c>
      <c r="D23" s="16">
        <f>IF(C23&lt;44,1,VLOOKUP(C23,F167:M224,(VLOOKUP(C3,A28:B35,2,FALSE)),FALSE))</f>
        <v>8</v>
      </c>
      <c r="F23" s="59">
        <v>16</v>
      </c>
      <c r="G23" s="66">
        <v>19</v>
      </c>
      <c r="H23" s="67">
        <v>19</v>
      </c>
      <c r="I23" s="67">
        <v>19</v>
      </c>
      <c r="J23" s="67">
        <v>19</v>
      </c>
      <c r="K23" s="67">
        <v>19</v>
      </c>
      <c r="L23" s="67">
        <v>19</v>
      </c>
      <c r="M23" s="68">
        <v>19</v>
      </c>
      <c r="N23" s="66">
        <v>19</v>
      </c>
      <c r="O23" s="67">
        <v>19</v>
      </c>
      <c r="P23" s="67">
        <v>19</v>
      </c>
      <c r="Q23" s="67">
        <v>19</v>
      </c>
      <c r="R23" s="67">
        <v>19</v>
      </c>
      <c r="S23" s="67">
        <v>19</v>
      </c>
      <c r="T23" s="68">
        <v>19</v>
      </c>
      <c r="U23" s="66">
        <v>17</v>
      </c>
      <c r="V23" s="67">
        <v>16</v>
      </c>
      <c r="W23" s="67">
        <v>16</v>
      </c>
      <c r="X23" s="67">
        <v>16</v>
      </c>
      <c r="Y23" s="67">
        <v>17</v>
      </c>
      <c r="Z23" s="67">
        <v>18</v>
      </c>
      <c r="AA23" s="68">
        <v>19</v>
      </c>
      <c r="AB23" s="1">
        <f t="shared" si="0"/>
        <v>20</v>
      </c>
      <c r="AC23" s="59">
        <v>63</v>
      </c>
      <c r="AD23" s="59">
        <v>72</v>
      </c>
      <c r="AE23" s="59">
        <v>44</v>
      </c>
    </row>
    <row r="24" spans="1:31" x14ac:dyDescent="0.25">
      <c r="A24" s="42" t="s">
        <v>202</v>
      </c>
      <c r="C24" s="47">
        <f>'Scores Summary 3'!D37</f>
        <v>48</v>
      </c>
      <c r="D24" s="16">
        <f>VLOOKUP(C24,AB6:AE193,2,FALSE)</f>
        <v>98</v>
      </c>
      <c r="AB24" s="1">
        <f t="shared" si="0"/>
        <v>21</v>
      </c>
      <c r="AC24" s="59">
        <v>64</v>
      </c>
      <c r="AD24" s="59">
        <v>74</v>
      </c>
      <c r="AE24" s="59">
        <v>45</v>
      </c>
    </row>
    <row r="25" spans="1:31" ht="15.75" x14ac:dyDescent="0.25">
      <c r="A25" s="42" t="s">
        <v>203</v>
      </c>
      <c r="B25" s="42"/>
      <c r="C25" s="47">
        <f>'Scores Summary 3'!D38</f>
        <v>28</v>
      </c>
      <c r="D25" s="16">
        <f>VLOOKUP(C25,AB6:AE193,3,FALSE)</f>
        <v>84</v>
      </c>
      <c r="G25" s="117" t="s">
        <v>251</v>
      </c>
      <c r="H25" s="118"/>
      <c r="I25" s="118"/>
      <c r="J25" s="118"/>
      <c r="K25" s="118"/>
      <c r="L25" s="118"/>
      <c r="M25" s="118"/>
      <c r="N25" s="117" t="s">
        <v>252</v>
      </c>
      <c r="O25" s="118"/>
      <c r="P25" s="118"/>
      <c r="Q25" s="118"/>
      <c r="R25" s="118"/>
      <c r="S25" s="118"/>
      <c r="T25" s="119"/>
      <c r="U25" s="118" t="s">
        <v>185</v>
      </c>
      <c r="V25" s="118"/>
      <c r="W25" s="118"/>
      <c r="X25" s="118"/>
      <c r="Y25" s="118"/>
      <c r="Z25" s="118"/>
      <c r="AA25" s="119"/>
      <c r="AB25" s="1">
        <f t="shared" si="0"/>
        <v>22</v>
      </c>
      <c r="AC25" s="59">
        <v>66</v>
      </c>
      <c r="AD25" s="59">
        <v>75</v>
      </c>
      <c r="AE25" s="59">
        <v>45</v>
      </c>
    </row>
    <row r="26" spans="1:31" x14ac:dyDescent="0.25">
      <c r="A26" s="42" t="s">
        <v>204</v>
      </c>
      <c r="C26" s="47">
        <f>'Scores Summary 3'!D39</f>
        <v>89</v>
      </c>
      <c r="D26" s="16">
        <f>VLOOKUP(C26,AB6:AE193,4,FALSE)</f>
        <v>94</v>
      </c>
      <c r="F26" s="60" t="s">
        <v>14</v>
      </c>
      <c r="G26" s="62" t="s">
        <v>224</v>
      </c>
      <c r="H26" s="60" t="s">
        <v>239</v>
      </c>
      <c r="I26" s="60" t="s">
        <v>240</v>
      </c>
      <c r="J26" s="60" t="s">
        <v>241</v>
      </c>
      <c r="K26" s="60" t="s">
        <v>117</v>
      </c>
      <c r="L26" s="60" t="s">
        <v>242</v>
      </c>
      <c r="M26" s="60" t="s">
        <v>243</v>
      </c>
      <c r="N26" s="62" t="s">
        <v>224</v>
      </c>
      <c r="O26" s="60" t="s">
        <v>239</v>
      </c>
      <c r="P26" s="60" t="s">
        <v>240</v>
      </c>
      <c r="Q26" s="60" t="s">
        <v>241</v>
      </c>
      <c r="R26" s="60" t="s">
        <v>117</v>
      </c>
      <c r="S26" s="60" t="s">
        <v>242</v>
      </c>
      <c r="T26" s="63" t="s">
        <v>243</v>
      </c>
      <c r="U26" s="60" t="s">
        <v>224</v>
      </c>
      <c r="V26" s="60" t="s">
        <v>239</v>
      </c>
      <c r="W26" s="60" t="s">
        <v>240</v>
      </c>
      <c r="X26" s="60" t="s">
        <v>241</v>
      </c>
      <c r="Y26" s="60" t="s">
        <v>117</v>
      </c>
      <c r="Z26" s="60" t="s">
        <v>242</v>
      </c>
      <c r="AA26" s="63" t="s">
        <v>243</v>
      </c>
      <c r="AB26" s="1">
        <f t="shared" si="0"/>
        <v>23</v>
      </c>
      <c r="AC26" s="59">
        <v>67</v>
      </c>
      <c r="AD26" s="59">
        <v>77</v>
      </c>
      <c r="AE26" s="59">
        <v>46</v>
      </c>
    </row>
    <row r="27" spans="1:31" x14ac:dyDescent="0.25">
      <c r="A27" s="42" t="s">
        <v>265</v>
      </c>
      <c r="C27" s="47">
        <f>'Scores Summary 3'!D34</f>
        <v>15</v>
      </c>
      <c r="D27" s="16">
        <f>IF(C27&lt;12,0,VLOOKUP(C27,O167:V172,(VLOOKUP(C3,A28:B35,2,FALSE)),FALSE))</f>
        <v>3</v>
      </c>
      <c r="F27" s="59">
        <v>0</v>
      </c>
      <c r="G27" s="64">
        <v>1</v>
      </c>
      <c r="H27" s="59">
        <v>1</v>
      </c>
      <c r="I27" s="59">
        <v>1</v>
      </c>
      <c r="J27" s="59">
        <v>1</v>
      </c>
      <c r="K27" s="59">
        <v>1</v>
      </c>
      <c r="L27" s="59">
        <v>1</v>
      </c>
      <c r="M27" s="59">
        <v>1</v>
      </c>
      <c r="N27" s="64">
        <v>1</v>
      </c>
      <c r="O27" s="59">
        <v>1</v>
      </c>
      <c r="P27" s="59">
        <v>1</v>
      </c>
      <c r="Q27" s="59">
        <v>1</v>
      </c>
      <c r="R27" s="59">
        <v>1</v>
      </c>
      <c r="S27" s="59">
        <v>1</v>
      </c>
      <c r="T27" s="65">
        <v>1</v>
      </c>
      <c r="U27" s="59">
        <v>1</v>
      </c>
      <c r="V27" s="59">
        <v>1</v>
      </c>
      <c r="W27" s="59">
        <v>1</v>
      </c>
      <c r="X27" s="59">
        <v>1</v>
      </c>
      <c r="Y27" s="59">
        <v>3</v>
      </c>
      <c r="Z27" s="59">
        <v>3</v>
      </c>
      <c r="AA27" s="65">
        <v>3</v>
      </c>
      <c r="AB27" s="1">
        <f t="shared" si="0"/>
        <v>24</v>
      </c>
      <c r="AC27" s="59">
        <v>69</v>
      </c>
      <c r="AD27" s="59">
        <v>79</v>
      </c>
      <c r="AE27" s="59">
        <v>47</v>
      </c>
    </row>
    <row r="28" spans="1:31" x14ac:dyDescent="0.25">
      <c r="A28" s="70" t="s">
        <v>56</v>
      </c>
      <c r="B28" s="70" t="s">
        <v>226</v>
      </c>
      <c r="C28" s="71"/>
      <c r="D28" s="71"/>
      <c r="F28" s="59">
        <v>1</v>
      </c>
      <c r="G28" s="64">
        <v>1</v>
      </c>
      <c r="H28" s="59">
        <v>1</v>
      </c>
      <c r="I28" s="59">
        <v>1</v>
      </c>
      <c r="J28" s="59">
        <v>1</v>
      </c>
      <c r="K28" s="59">
        <v>1</v>
      </c>
      <c r="L28" s="59">
        <v>1</v>
      </c>
      <c r="M28" s="59">
        <v>2</v>
      </c>
      <c r="N28" s="64">
        <v>1</v>
      </c>
      <c r="O28" s="59">
        <v>1</v>
      </c>
      <c r="P28" s="59">
        <v>1</v>
      </c>
      <c r="Q28" s="59">
        <v>1</v>
      </c>
      <c r="R28" s="59">
        <v>1</v>
      </c>
      <c r="S28" s="59">
        <v>1</v>
      </c>
      <c r="T28" s="65">
        <v>2</v>
      </c>
      <c r="U28" s="59">
        <v>2</v>
      </c>
      <c r="V28" s="59">
        <v>2</v>
      </c>
      <c r="W28" s="59">
        <v>2</v>
      </c>
      <c r="X28" s="59">
        <v>2</v>
      </c>
      <c r="Y28" s="59">
        <v>5</v>
      </c>
      <c r="Z28" s="59">
        <v>5</v>
      </c>
      <c r="AA28" s="65">
        <v>5</v>
      </c>
      <c r="AB28" s="1">
        <f t="shared" si="0"/>
        <v>25</v>
      </c>
      <c r="AC28" s="59">
        <v>70</v>
      </c>
      <c r="AD28" s="59">
        <v>80</v>
      </c>
      <c r="AE28" s="59">
        <v>48</v>
      </c>
    </row>
    <row r="29" spans="1:31" x14ac:dyDescent="0.25">
      <c r="A29" s="20" t="s">
        <v>224</v>
      </c>
      <c r="B29" s="1">
        <v>2</v>
      </c>
      <c r="F29" s="59">
        <v>2</v>
      </c>
      <c r="G29" s="64">
        <v>1</v>
      </c>
      <c r="H29" s="59">
        <v>1</v>
      </c>
      <c r="I29" s="59">
        <v>1</v>
      </c>
      <c r="J29" s="59">
        <v>1</v>
      </c>
      <c r="K29" s="59">
        <v>1</v>
      </c>
      <c r="L29" s="59">
        <v>2</v>
      </c>
      <c r="M29" s="59">
        <v>3</v>
      </c>
      <c r="N29" s="64">
        <v>1</v>
      </c>
      <c r="O29" s="59">
        <v>1</v>
      </c>
      <c r="P29" s="59">
        <v>1</v>
      </c>
      <c r="Q29" s="59">
        <v>1</v>
      </c>
      <c r="R29" s="59">
        <v>1</v>
      </c>
      <c r="S29" s="59">
        <v>2</v>
      </c>
      <c r="T29" s="65">
        <v>3</v>
      </c>
      <c r="U29" s="59">
        <v>4</v>
      </c>
      <c r="V29" s="59">
        <v>4</v>
      </c>
      <c r="W29" s="59">
        <v>4</v>
      </c>
      <c r="X29" s="59">
        <v>4</v>
      </c>
      <c r="Y29" s="59">
        <v>6</v>
      </c>
      <c r="Z29" s="59">
        <v>6</v>
      </c>
      <c r="AA29" s="65">
        <v>7</v>
      </c>
      <c r="AB29" s="1">
        <f t="shared" si="0"/>
        <v>26</v>
      </c>
      <c r="AC29" s="59">
        <v>71</v>
      </c>
      <c r="AD29" s="59">
        <v>81</v>
      </c>
      <c r="AE29" s="59">
        <v>49</v>
      </c>
    </row>
    <row r="30" spans="1:31" x14ac:dyDescent="0.25">
      <c r="A30" s="20" t="s">
        <v>239</v>
      </c>
      <c r="B30" s="1">
        <v>3</v>
      </c>
      <c r="F30" s="59">
        <v>3</v>
      </c>
      <c r="G30" s="64">
        <v>1</v>
      </c>
      <c r="H30" s="59">
        <v>1</v>
      </c>
      <c r="I30" s="59">
        <v>1</v>
      </c>
      <c r="J30" s="59">
        <v>1</v>
      </c>
      <c r="K30" s="59">
        <v>2</v>
      </c>
      <c r="L30" s="59">
        <v>3</v>
      </c>
      <c r="M30" s="59">
        <v>4</v>
      </c>
      <c r="N30" s="64">
        <v>1</v>
      </c>
      <c r="O30" s="59">
        <v>1</v>
      </c>
      <c r="P30" s="59">
        <v>1</v>
      </c>
      <c r="Q30" s="59">
        <v>1</v>
      </c>
      <c r="R30" s="59">
        <v>2</v>
      </c>
      <c r="S30" s="59">
        <v>3</v>
      </c>
      <c r="T30" s="65">
        <v>4</v>
      </c>
      <c r="U30" s="59">
        <v>6</v>
      </c>
      <c r="V30" s="59">
        <v>6</v>
      </c>
      <c r="W30" s="59">
        <v>6</v>
      </c>
      <c r="X30" s="59">
        <v>6</v>
      </c>
      <c r="Y30" s="59">
        <v>7</v>
      </c>
      <c r="Z30" s="59">
        <v>7</v>
      </c>
      <c r="AA30" s="65">
        <v>9</v>
      </c>
      <c r="AB30" s="1">
        <f t="shared" si="0"/>
        <v>27</v>
      </c>
      <c r="AC30" s="59">
        <v>72</v>
      </c>
      <c r="AD30" s="59">
        <v>83</v>
      </c>
      <c r="AE30" s="59">
        <v>50</v>
      </c>
    </row>
    <row r="31" spans="1:31" x14ac:dyDescent="0.25">
      <c r="A31" s="20" t="s">
        <v>240</v>
      </c>
      <c r="B31" s="1">
        <v>4</v>
      </c>
      <c r="F31" s="59">
        <v>4</v>
      </c>
      <c r="G31" s="64">
        <v>2</v>
      </c>
      <c r="H31" s="59">
        <v>2</v>
      </c>
      <c r="I31" s="59">
        <v>2</v>
      </c>
      <c r="J31" s="59">
        <v>2</v>
      </c>
      <c r="K31" s="59">
        <v>3</v>
      </c>
      <c r="L31" s="59">
        <v>4</v>
      </c>
      <c r="M31" s="59">
        <v>5</v>
      </c>
      <c r="N31" s="64">
        <v>1</v>
      </c>
      <c r="O31" s="59">
        <v>1</v>
      </c>
      <c r="P31" s="59">
        <v>1</v>
      </c>
      <c r="Q31" s="59">
        <v>2</v>
      </c>
      <c r="R31" s="59">
        <v>3</v>
      </c>
      <c r="S31" s="59">
        <v>4</v>
      </c>
      <c r="T31" s="65">
        <v>5</v>
      </c>
      <c r="U31" s="59">
        <v>7</v>
      </c>
      <c r="V31" s="59">
        <v>7</v>
      </c>
      <c r="W31" s="59">
        <v>8</v>
      </c>
      <c r="X31" s="59">
        <v>8</v>
      </c>
      <c r="Y31" s="59">
        <v>9</v>
      </c>
      <c r="Z31" s="59">
        <v>9</v>
      </c>
      <c r="AA31" s="65">
        <v>11</v>
      </c>
      <c r="AB31" s="1">
        <f t="shared" si="0"/>
        <v>28</v>
      </c>
      <c r="AC31" s="59">
        <v>73</v>
      </c>
      <c r="AD31" s="59">
        <v>84</v>
      </c>
      <c r="AE31" s="59">
        <v>50</v>
      </c>
    </row>
    <row r="32" spans="1:31" x14ac:dyDescent="0.25">
      <c r="A32" s="20" t="s">
        <v>241</v>
      </c>
      <c r="B32" s="1">
        <v>5</v>
      </c>
      <c r="F32" s="59">
        <v>5</v>
      </c>
      <c r="G32" s="64">
        <v>3</v>
      </c>
      <c r="H32" s="59">
        <v>3</v>
      </c>
      <c r="I32" s="59">
        <v>3</v>
      </c>
      <c r="J32" s="59">
        <v>3</v>
      </c>
      <c r="K32" s="59">
        <v>4</v>
      </c>
      <c r="L32" s="59">
        <v>5</v>
      </c>
      <c r="M32" s="59">
        <v>6</v>
      </c>
      <c r="N32" s="64">
        <v>2</v>
      </c>
      <c r="O32" s="59">
        <v>2</v>
      </c>
      <c r="P32" s="59">
        <v>2</v>
      </c>
      <c r="Q32" s="59">
        <v>3</v>
      </c>
      <c r="R32" s="59">
        <v>4</v>
      </c>
      <c r="S32" s="59">
        <v>5</v>
      </c>
      <c r="T32" s="65">
        <v>6</v>
      </c>
      <c r="U32" s="59">
        <v>9</v>
      </c>
      <c r="V32" s="59">
        <v>9</v>
      </c>
      <c r="W32" s="59">
        <v>10</v>
      </c>
      <c r="X32" s="59">
        <v>10</v>
      </c>
      <c r="Y32" s="59">
        <v>11</v>
      </c>
      <c r="Z32" s="59">
        <v>11</v>
      </c>
      <c r="AA32" s="65">
        <v>13</v>
      </c>
      <c r="AB32" s="1">
        <f t="shared" si="0"/>
        <v>29</v>
      </c>
      <c r="AC32" s="59">
        <v>75</v>
      </c>
      <c r="AD32" s="59">
        <v>86</v>
      </c>
      <c r="AE32" s="59">
        <v>51</v>
      </c>
    </row>
    <row r="33" spans="1:31" x14ac:dyDescent="0.25">
      <c r="A33" s="20" t="s">
        <v>117</v>
      </c>
      <c r="B33" s="1">
        <v>6</v>
      </c>
      <c r="F33" s="59">
        <v>6</v>
      </c>
      <c r="G33" s="64">
        <v>4</v>
      </c>
      <c r="H33" s="59">
        <v>4</v>
      </c>
      <c r="I33" s="59">
        <v>4</v>
      </c>
      <c r="J33" s="59">
        <v>4</v>
      </c>
      <c r="K33" s="59">
        <v>5</v>
      </c>
      <c r="L33" s="59">
        <v>6</v>
      </c>
      <c r="M33" s="59">
        <v>7</v>
      </c>
      <c r="N33" s="64">
        <v>3</v>
      </c>
      <c r="O33" s="59">
        <v>3</v>
      </c>
      <c r="P33" s="59">
        <v>3</v>
      </c>
      <c r="Q33" s="59">
        <v>4</v>
      </c>
      <c r="R33" s="59">
        <v>5</v>
      </c>
      <c r="S33" s="59">
        <v>6</v>
      </c>
      <c r="T33" s="65">
        <v>7</v>
      </c>
      <c r="U33" s="59">
        <v>11</v>
      </c>
      <c r="V33" s="59">
        <v>10</v>
      </c>
      <c r="W33" s="59">
        <v>11</v>
      </c>
      <c r="X33" s="59">
        <v>11</v>
      </c>
      <c r="Y33" s="59">
        <v>13</v>
      </c>
      <c r="Z33" s="59">
        <v>13</v>
      </c>
      <c r="AA33" s="65">
        <v>14</v>
      </c>
      <c r="AB33" s="1">
        <f t="shared" si="0"/>
        <v>30</v>
      </c>
      <c r="AC33" s="59">
        <v>76</v>
      </c>
      <c r="AD33" s="59">
        <v>87</v>
      </c>
      <c r="AE33" s="59">
        <v>52</v>
      </c>
    </row>
    <row r="34" spans="1:31" x14ac:dyDescent="0.25">
      <c r="A34" s="20" t="s">
        <v>242</v>
      </c>
      <c r="B34" s="1">
        <v>7</v>
      </c>
      <c r="F34" s="59">
        <v>7</v>
      </c>
      <c r="G34" s="64">
        <v>5</v>
      </c>
      <c r="H34" s="59">
        <v>5</v>
      </c>
      <c r="I34" s="59">
        <v>5</v>
      </c>
      <c r="J34" s="59">
        <v>5</v>
      </c>
      <c r="K34" s="59">
        <v>6</v>
      </c>
      <c r="L34" s="59">
        <v>7</v>
      </c>
      <c r="M34" s="59">
        <v>8</v>
      </c>
      <c r="N34" s="64">
        <v>4</v>
      </c>
      <c r="O34" s="59">
        <v>4</v>
      </c>
      <c r="P34" s="59">
        <v>4</v>
      </c>
      <c r="Q34" s="59">
        <v>5</v>
      </c>
      <c r="R34" s="59">
        <v>6</v>
      </c>
      <c r="S34" s="59">
        <v>7</v>
      </c>
      <c r="T34" s="65">
        <v>8</v>
      </c>
      <c r="U34" s="59">
        <v>13</v>
      </c>
      <c r="V34" s="59">
        <v>11</v>
      </c>
      <c r="W34" s="59">
        <v>13</v>
      </c>
      <c r="X34" s="59">
        <v>13</v>
      </c>
      <c r="Y34" s="59">
        <v>14</v>
      </c>
      <c r="Z34" s="59">
        <v>14</v>
      </c>
      <c r="AA34" s="65">
        <v>16</v>
      </c>
      <c r="AB34" s="1">
        <f t="shared" si="0"/>
        <v>31</v>
      </c>
      <c r="AC34" s="59">
        <v>77</v>
      </c>
      <c r="AD34" s="59">
        <v>89</v>
      </c>
      <c r="AE34" s="59">
        <v>53</v>
      </c>
    </row>
    <row r="35" spans="1:31" x14ac:dyDescent="0.25">
      <c r="A35" s="20" t="s">
        <v>243</v>
      </c>
      <c r="B35" s="1">
        <v>8</v>
      </c>
      <c r="F35" s="59">
        <v>8</v>
      </c>
      <c r="G35" s="64">
        <v>6</v>
      </c>
      <c r="H35" s="59">
        <v>6</v>
      </c>
      <c r="I35" s="59">
        <v>6</v>
      </c>
      <c r="J35" s="59">
        <v>6</v>
      </c>
      <c r="K35" s="59">
        <v>7</v>
      </c>
      <c r="L35" s="59">
        <v>8</v>
      </c>
      <c r="M35" s="59">
        <v>9</v>
      </c>
      <c r="N35" s="64">
        <v>5</v>
      </c>
      <c r="O35" s="59">
        <v>5</v>
      </c>
      <c r="P35" s="59">
        <v>5</v>
      </c>
      <c r="Q35" s="59">
        <v>6</v>
      </c>
      <c r="R35" s="59">
        <v>7</v>
      </c>
      <c r="S35" s="59">
        <v>8</v>
      </c>
      <c r="T35" s="65">
        <v>9</v>
      </c>
      <c r="U35" s="59">
        <v>14</v>
      </c>
      <c r="V35" s="59">
        <v>13</v>
      </c>
      <c r="W35" s="59">
        <v>14</v>
      </c>
      <c r="X35" s="59">
        <v>14</v>
      </c>
      <c r="Y35" s="59">
        <v>16</v>
      </c>
      <c r="Z35" s="59">
        <v>16</v>
      </c>
      <c r="AA35" s="65">
        <v>17</v>
      </c>
      <c r="AB35" s="1">
        <f t="shared" si="0"/>
        <v>32</v>
      </c>
      <c r="AC35" s="59">
        <v>79</v>
      </c>
      <c r="AD35" s="59">
        <v>90</v>
      </c>
      <c r="AE35" s="59">
        <v>53</v>
      </c>
    </row>
    <row r="36" spans="1:31" x14ac:dyDescent="0.25">
      <c r="F36" s="59">
        <v>9</v>
      </c>
      <c r="G36" s="64">
        <v>7</v>
      </c>
      <c r="H36" s="59">
        <v>7</v>
      </c>
      <c r="I36" s="59">
        <v>7</v>
      </c>
      <c r="J36" s="59">
        <v>7</v>
      </c>
      <c r="K36" s="59">
        <v>8</v>
      </c>
      <c r="L36" s="59">
        <v>9</v>
      </c>
      <c r="M36" s="59">
        <v>10</v>
      </c>
      <c r="N36" s="64">
        <v>6</v>
      </c>
      <c r="O36" s="59">
        <v>6</v>
      </c>
      <c r="P36" s="59">
        <v>6</v>
      </c>
      <c r="Q36" s="59">
        <v>7</v>
      </c>
      <c r="R36" s="59">
        <v>8</v>
      </c>
      <c r="S36" s="59">
        <v>9</v>
      </c>
      <c r="T36" s="65">
        <v>10</v>
      </c>
      <c r="U36" s="59">
        <v>15</v>
      </c>
      <c r="V36" s="59">
        <v>14</v>
      </c>
      <c r="W36" s="59">
        <v>15</v>
      </c>
      <c r="X36" s="59">
        <v>16</v>
      </c>
      <c r="Y36" s="59">
        <v>17</v>
      </c>
      <c r="Z36" s="59">
        <v>17</v>
      </c>
      <c r="AA36" s="65">
        <v>18</v>
      </c>
      <c r="AB36" s="1">
        <f t="shared" si="0"/>
        <v>33</v>
      </c>
      <c r="AC36" s="59">
        <v>80</v>
      </c>
      <c r="AD36" s="59">
        <v>92</v>
      </c>
      <c r="AE36" s="59">
        <v>54</v>
      </c>
    </row>
    <row r="37" spans="1:31" x14ac:dyDescent="0.25">
      <c r="F37" s="59">
        <v>10</v>
      </c>
      <c r="G37" s="64">
        <v>8</v>
      </c>
      <c r="H37" s="59">
        <v>8</v>
      </c>
      <c r="I37" s="59">
        <v>8</v>
      </c>
      <c r="J37" s="59">
        <v>8</v>
      </c>
      <c r="K37" s="59">
        <v>10</v>
      </c>
      <c r="L37" s="59">
        <v>10</v>
      </c>
      <c r="M37" s="59">
        <v>12</v>
      </c>
      <c r="N37" s="64">
        <v>7</v>
      </c>
      <c r="O37" s="59">
        <v>7</v>
      </c>
      <c r="P37" s="59">
        <v>7</v>
      </c>
      <c r="Q37" s="59">
        <v>8</v>
      </c>
      <c r="R37" s="59">
        <v>9</v>
      </c>
      <c r="S37" s="59">
        <v>10</v>
      </c>
      <c r="T37" s="65">
        <v>11</v>
      </c>
      <c r="U37" s="59">
        <v>16</v>
      </c>
      <c r="V37" s="59">
        <v>15</v>
      </c>
      <c r="W37" s="59">
        <v>16</v>
      </c>
      <c r="X37" s="59">
        <v>17</v>
      </c>
      <c r="Y37" s="59">
        <v>18</v>
      </c>
      <c r="Z37" s="59">
        <v>18</v>
      </c>
      <c r="AA37" s="65">
        <v>19</v>
      </c>
      <c r="AB37" s="1">
        <f t="shared" si="0"/>
        <v>34</v>
      </c>
      <c r="AC37" s="59">
        <v>81</v>
      </c>
      <c r="AD37" s="59">
        <v>93</v>
      </c>
      <c r="AE37" s="59">
        <v>55</v>
      </c>
    </row>
    <row r="38" spans="1:31" x14ac:dyDescent="0.25">
      <c r="F38" s="59">
        <v>11</v>
      </c>
      <c r="G38" s="64">
        <v>9</v>
      </c>
      <c r="H38" s="59">
        <v>9</v>
      </c>
      <c r="I38" s="59">
        <v>9</v>
      </c>
      <c r="J38" s="59">
        <v>10</v>
      </c>
      <c r="K38" s="59">
        <v>11</v>
      </c>
      <c r="L38" s="59">
        <v>12</v>
      </c>
      <c r="M38" s="59">
        <v>13</v>
      </c>
      <c r="N38" s="64">
        <v>8</v>
      </c>
      <c r="O38" s="59">
        <v>8</v>
      </c>
      <c r="P38" s="59">
        <v>8</v>
      </c>
      <c r="Q38" s="59">
        <v>9</v>
      </c>
      <c r="R38" s="59">
        <v>10</v>
      </c>
      <c r="S38" s="59">
        <v>11</v>
      </c>
      <c r="T38" s="65">
        <v>12</v>
      </c>
      <c r="U38" s="59">
        <v>17</v>
      </c>
      <c r="V38" s="59">
        <v>16</v>
      </c>
      <c r="W38" s="59">
        <v>17</v>
      </c>
      <c r="X38" s="59">
        <v>18</v>
      </c>
      <c r="Y38" s="59">
        <v>19</v>
      </c>
      <c r="Z38" s="59">
        <v>19</v>
      </c>
      <c r="AA38" s="65">
        <v>19</v>
      </c>
      <c r="AB38" s="1">
        <f t="shared" si="0"/>
        <v>35</v>
      </c>
      <c r="AC38" s="59">
        <v>82</v>
      </c>
      <c r="AD38" s="59">
        <v>94</v>
      </c>
      <c r="AE38" s="59">
        <v>56</v>
      </c>
    </row>
    <row r="39" spans="1:31" x14ac:dyDescent="0.25">
      <c r="F39" s="59">
        <v>12</v>
      </c>
      <c r="G39" s="64">
        <v>10</v>
      </c>
      <c r="H39" s="59">
        <v>10</v>
      </c>
      <c r="I39" s="59">
        <v>10</v>
      </c>
      <c r="J39" s="59">
        <v>11</v>
      </c>
      <c r="K39" s="59">
        <v>12</v>
      </c>
      <c r="L39" s="59">
        <v>13</v>
      </c>
      <c r="M39" s="59">
        <v>14</v>
      </c>
      <c r="N39" s="64">
        <v>9</v>
      </c>
      <c r="O39" s="59">
        <v>9</v>
      </c>
      <c r="P39" s="59">
        <v>9</v>
      </c>
      <c r="Q39" s="59">
        <v>10</v>
      </c>
      <c r="R39" s="59">
        <v>11</v>
      </c>
      <c r="S39" s="59">
        <v>12</v>
      </c>
      <c r="T39" s="65">
        <v>13</v>
      </c>
      <c r="U39" s="59">
        <v>18</v>
      </c>
      <c r="V39" s="59">
        <v>17</v>
      </c>
      <c r="W39" s="59">
        <v>18</v>
      </c>
      <c r="X39" s="59">
        <v>19</v>
      </c>
      <c r="Y39" s="59">
        <v>19</v>
      </c>
      <c r="Z39" s="59">
        <v>19</v>
      </c>
      <c r="AA39" s="65">
        <v>19</v>
      </c>
      <c r="AB39" s="1">
        <f t="shared" si="0"/>
        <v>36</v>
      </c>
      <c r="AC39" s="59">
        <v>83</v>
      </c>
      <c r="AD39" s="59">
        <v>96</v>
      </c>
      <c r="AE39" s="59">
        <v>56</v>
      </c>
    </row>
    <row r="40" spans="1:31" x14ac:dyDescent="0.25">
      <c r="F40" s="59">
        <v>13</v>
      </c>
      <c r="G40" s="64">
        <v>12</v>
      </c>
      <c r="H40" s="59">
        <v>11</v>
      </c>
      <c r="I40" s="59">
        <v>11</v>
      </c>
      <c r="J40" s="59">
        <v>12</v>
      </c>
      <c r="K40" s="59">
        <v>13</v>
      </c>
      <c r="L40" s="59">
        <v>14</v>
      </c>
      <c r="M40" s="59">
        <v>15</v>
      </c>
      <c r="N40" s="64">
        <v>10</v>
      </c>
      <c r="O40" s="59">
        <v>10</v>
      </c>
      <c r="P40" s="59">
        <v>10</v>
      </c>
      <c r="Q40" s="59">
        <v>11</v>
      </c>
      <c r="R40" s="59">
        <v>12</v>
      </c>
      <c r="S40" s="59">
        <v>13</v>
      </c>
      <c r="T40" s="65">
        <v>14</v>
      </c>
      <c r="U40" s="59">
        <v>19</v>
      </c>
      <c r="V40" s="59">
        <v>18</v>
      </c>
      <c r="W40" s="59">
        <v>19</v>
      </c>
      <c r="X40" s="59">
        <v>19</v>
      </c>
      <c r="Y40" s="59">
        <v>19</v>
      </c>
      <c r="Z40" s="59">
        <v>19</v>
      </c>
      <c r="AA40" s="65">
        <v>19</v>
      </c>
      <c r="AB40" s="1">
        <f t="shared" si="0"/>
        <v>37</v>
      </c>
      <c r="AC40" s="59">
        <v>85</v>
      </c>
      <c r="AD40" s="59">
        <v>97</v>
      </c>
      <c r="AE40" s="59">
        <v>57</v>
      </c>
    </row>
    <row r="41" spans="1:31" x14ac:dyDescent="0.25">
      <c r="F41" s="59">
        <v>14</v>
      </c>
      <c r="G41" s="64">
        <v>13</v>
      </c>
      <c r="H41" s="59">
        <v>13</v>
      </c>
      <c r="I41" s="59">
        <v>12</v>
      </c>
      <c r="J41" s="59">
        <v>13</v>
      </c>
      <c r="K41" s="59">
        <v>14</v>
      </c>
      <c r="L41" s="59">
        <v>15</v>
      </c>
      <c r="M41" s="59">
        <v>16</v>
      </c>
      <c r="N41" s="64">
        <v>12</v>
      </c>
      <c r="O41" s="59">
        <v>12</v>
      </c>
      <c r="P41" s="59">
        <v>12</v>
      </c>
      <c r="Q41" s="59">
        <v>12</v>
      </c>
      <c r="R41" s="59">
        <v>13</v>
      </c>
      <c r="S41" s="59">
        <v>14</v>
      </c>
      <c r="T41" s="65">
        <v>15</v>
      </c>
      <c r="U41" s="59">
        <v>19</v>
      </c>
      <c r="V41" s="59">
        <v>19</v>
      </c>
      <c r="W41" s="59">
        <v>19</v>
      </c>
      <c r="X41" s="59">
        <v>19</v>
      </c>
      <c r="Y41" s="59">
        <v>19</v>
      </c>
      <c r="Z41" s="59">
        <v>19</v>
      </c>
      <c r="AA41" s="65">
        <v>19</v>
      </c>
      <c r="AB41" s="1">
        <f t="shared" si="0"/>
        <v>38</v>
      </c>
      <c r="AC41" s="59">
        <v>86</v>
      </c>
      <c r="AD41" s="59">
        <v>98</v>
      </c>
      <c r="AE41" s="59">
        <v>58</v>
      </c>
    </row>
    <row r="42" spans="1:31" x14ac:dyDescent="0.25">
      <c r="F42" s="59">
        <v>15</v>
      </c>
      <c r="G42" s="64">
        <v>15</v>
      </c>
      <c r="H42" s="59">
        <v>14</v>
      </c>
      <c r="I42" s="59">
        <v>14</v>
      </c>
      <c r="J42" s="59">
        <v>14</v>
      </c>
      <c r="K42" s="59">
        <v>15</v>
      </c>
      <c r="L42" s="59">
        <v>16</v>
      </c>
      <c r="M42" s="59">
        <v>17</v>
      </c>
      <c r="N42" s="64">
        <v>14</v>
      </c>
      <c r="O42" s="59">
        <v>13</v>
      </c>
      <c r="P42" s="59">
        <v>13</v>
      </c>
      <c r="Q42" s="59">
        <v>13</v>
      </c>
      <c r="R42" s="59">
        <v>15</v>
      </c>
      <c r="S42" s="59">
        <v>15</v>
      </c>
      <c r="T42" s="65">
        <v>16</v>
      </c>
      <c r="U42" s="59">
        <v>19</v>
      </c>
      <c r="V42" s="59">
        <v>19</v>
      </c>
      <c r="W42" s="59">
        <v>19</v>
      </c>
      <c r="X42" s="59">
        <v>19</v>
      </c>
      <c r="Y42" s="59">
        <v>19</v>
      </c>
      <c r="Z42" s="59">
        <v>19</v>
      </c>
      <c r="AA42" s="65">
        <v>19</v>
      </c>
      <c r="AB42" s="1">
        <f t="shared" si="0"/>
        <v>39</v>
      </c>
      <c r="AC42" s="59">
        <v>87</v>
      </c>
      <c r="AD42" s="59">
        <v>99</v>
      </c>
      <c r="AE42" s="59">
        <v>59</v>
      </c>
    </row>
    <row r="43" spans="1:31" x14ac:dyDescent="0.25">
      <c r="F43" s="59">
        <v>16</v>
      </c>
      <c r="G43" s="66">
        <v>17</v>
      </c>
      <c r="H43" s="67">
        <v>16</v>
      </c>
      <c r="I43" s="67">
        <v>16</v>
      </c>
      <c r="J43" s="67">
        <v>16</v>
      </c>
      <c r="K43" s="67">
        <v>16</v>
      </c>
      <c r="L43" s="67">
        <v>17</v>
      </c>
      <c r="M43" s="67">
        <v>19</v>
      </c>
      <c r="N43" s="66">
        <v>16</v>
      </c>
      <c r="O43" s="67">
        <v>15</v>
      </c>
      <c r="P43" s="67">
        <v>15</v>
      </c>
      <c r="Q43" s="67">
        <v>15</v>
      </c>
      <c r="R43" s="67">
        <v>16</v>
      </c>
      <c r="S43" s="67">
        <v>16</v>
      </c>
      <c r="T43" s="68">
        <v>17</v>
      </c>
      <c r="U43" s="67">
        <v>19</v>
      </c>
      <c r="V43" s="67">
        <v>19</v>
      </c>
      <c r="W43" s="67">
        <v>19</v>
      </c>
      <c r="X43" s="67">
        <v>19</v>
      </c>
      <c r="Y43" s="67">
        <v>19</v>
      </c>
      <c r="Z43" s="67">
        <v>19</v>
      </c>
      <c r="AA43" s="68">
        <v>19</v>
      </c>
      <c r="AB43" s="1">
        <f t="shared" si="0"/>
        <v>40</v>
      </c>
      <c r="AC43" s="59">
        <v>89</v>
      </c>
      <c r="AD43" s="59">
        <v>100</v>
      </c>
      <c r="AE43" s="59">
        <v>60</v>
      </c>
    </row>
    <row r="44" spans="1:31" x14ac:dyDescent="0.25">
      <c r="AB44" s="1">
        <f t="shared" si="0"/>
        <v>41</v>
      </c>
      <c r="AC44" s="59">
        <v>90</v>
      </c>
      <c r="AD44" s="59">
        <v>102</v>
      </c>
      <c r="AE44" s="59">
        <v>60</v>
      </c>
    </row>
    <row r="45" spans="1:31" ht="15" customHeight="1" x14ac:dyDescent="0.25">
      <c r="G45" s="117" t="s">
        <v>253</v>
      </c>
      <c r="H45" s="118"/>
      <c r="I45" s="118"/>
      <c r="J45" s="118"/>
      <c r="K45" s="118"/>
      <c r="L45" s="118"/>
      <c r="M45" s="118"/>
      <c r="N45" s="117" t="s">
        <v>254</v>
      </c>
      <c r="O45" s="118"/>
      <c r="P45" s="118"/>
      <c r="Q45" s="118"/>
      <c r="R45" s="118"/>
      <c r="S45" s="118"/>
      <c r="T45" s="119"/>
      <c r="U45" s="118" t="s">
        <v>255</v>
      </c>
      <c r="V45" s="118"/>
      <c r="W45" s="118"/>
      <c r="X45" s="118"/>
      <c r="Y45" s="118"/>
      <c r="Z45" s="118"/>
      <c r="AA45" s="119"/>
      <c r="AB45" s="1">
        <f t="shared" si="0"/>
        <v>42</v>
      </c>
      <c r="AC45" s="59">
        <v>91</v>
      </c>
      <c r="AD45" s="59">
        <v>103</v>
      </c>
      <c r="AE45" s="59">
        <v>61</v>
      </c>
    </row>
    <row r="46" spans="1:31" ht="15" customHeight="1" x14ac:dyDescent="0.25">
      <c r="F46" s="60" t="s">
        <v>14</v>
      </c>
      <c r="G46" s="62" t="s">
        <v>224</v>
      </c>
      <c r="H46" s="60" t="s">
        <v>239</v>
      </c>
      <c r="I46" s="60" t="s">
        <v>240</v>
      </c>
      <c r="J46" s="60" t="s">
        <v>241</v>
      </c>
      <c r="K46" s="60" t="s">
        <v>117</v>
      </c>
      <c r="L46" s="60" t="s">
        <v>242</v>
      </c>
      <c r="M46" s="60" t="s">
        <v>243</v>
      </c>
      <c r="N46" s="62" t="s">
        <v>224</v>
      </c>
      <c r="O46" s="60" t="s">
        <v>239</v>
      </c>
      <c r="P46" s="60" t="s">
        <v>240</v>
      </c>
      <c r="Q46" s="60" t="s">
        <v>241</v>
      </c>
      <c r="R46" s="60" t="s">
        <v>117</v>
      </c>
      <c r="S46" s="60" t="s">
        <v>242</v>
      </c>
      <c r="T46" s="63" t="s">
        <v>243</v>
      </c>
      <c r="U46" s="60" t="s">
        <v>224</v>
      </c>
      <c r="V46" s="60" t="s">
        <v>239</v>
      </c>
      <c r="W46" s="60" t="s">
        <v>240</v>
      </c>
      <c r="X46" s="60" t="s">
        <v>241</v>
      </c>
      <c r="Y46" s="60" t="s">
        <v>117</v>
      </c>
      <c r="Z46" s="60" t="s">
        <v>242</v>
      </c>
      <c r="AA46" s="63" t="s">
        <v>243</v>
      </c>
      <c r="AB46" s="1">
        <f t="shared" si="0"/>
        <v>43</v>
      </c>
      <c r="AC46" s="59">
        <v>92</v>
      </c>
      <c r="AD46" s="59">
        <v>104</v>
      </c>
      <c r="AE46" s="59">
        <v>62</v>
      </c>
    </row>
    <row r="47" spans="1:31" x14ac:dyDescent="0.25">
      <c r="F47" s="59">
        <v>0</v>
      </c>
      <c r="G47" s="64">
        <v>1</v>
      </c>
      <c r="H47" s="59">
        <v>1</v>
      </c>
      <c r="I47" s="59">
        <v>1</v>
      </c>
      <c r="J47" s="59">
        <v>1</v>
      </c>
      <c r="K47" s="59">
        <v>2</v>
      </c>
      <c r="L47" s="59">
        <v>2</v>
      </c>
      <c r="M47" s="59">
        <v>3</v>
      </c>
      <c r="N47" s="64">
        <v>1</v>
      </c>
      <c r="O47" s="59">
        <v>1</v>
      </c>
      <c r="P47" s="59">
        <v>1</v>
      </c>
      <c r="Q47" s="59">
        <v>1</v>
      </c>
      <c r="R47" s="59">
        <v>1</v>
      </c>
      <c r="S47" s="59">
        <v>1</v>
      </c>
      <c r="T47" s="65">
        <v>2</v>
      </c>
      <c r="U47" s="59">
        <v>1</v>
      </c>
      <c r="V47" s="59">
        <v>1</v>
      </c>
      <c r="W47" s="59">
        <v>1</v>
      </c>
      <c r="X47" s="59">
        <v>1</v>
      </c>
      <c r="Y47" s="59">
        <v>2</v>
      </c>
      <c r="Z47" s="59">
        <v>2</v>
      </c>
      <c r="AA47" s="65">
        <v>3</v>
      </c>
      <c r="AB47" s="1">
        <f t="shared" si="0"/>
        <v>44</v>
      </c>
      <c r="AC47" s="59">
        <v>93</v>
      </c>
      <c r="AD47" s="59">
        <v>105</v>
      </c>
      <c r="AE47" s="59">
        <v>63</v>
      </c>
    </row>
    <row r="48" spans="1:31" x14ac:dyDescent="0.25">
      <c r="F48" s="59">
        <v>1</v>
      </c>
      <c r="G48" s="64">
        <v>1</v>
      </c>
      <c r="H48" s="59">
        <v>1</v>
      </c>
      <c r="I48" s="59">
        <v>1</v>
      </c>
      <c r="J48" s="59">
        <v>2</v>
      </c>
      <c r="K48" s="59">
        <v>3</v>
      </c>
      <c r="L48" s="59">
        <v>3</v>
      </c>
      <c r="M48" s="59">
        <v>4</v>
      </c>
      <c r="N48" s="64">
        <v>1</v>
      </c>
      <c r="O48" s="59">
        <v>1</v>
      </c>
      <c r="P48" s="59">
        <v>1</v>
      </c>
      <c r="Q48" s="59">
        <v>1</v>
      </c>
      <c r="R48" s="59">
        <v>1</v>
      </c>
      <c r="S48" s="59">
        <v>2</v>
      </c>
      <c r="T48" s="65">
        <v>3</v>
      </c>
      <c r="U48" s="59">
        <v>1</v>
      </c>
      <c r="V48" s="59">
        <v>1</v>
      </c>
      <c r="W48" s="59">
        <v>1</v>
      </c>
      <c r="X48" s="59">
        <v>2</v>
      </c>
      <c r="Y48" s="59">
        <v>3</v>
      </c>
      <c r="Z48" s="59">
        <v>3</v>
      </c>
      <c r="AA48" s="65">
        <v>4</v>
      </c>
      <c r="AB48" s="1">
        <f t="shared" si="0"/>
        <v>45</v>
      </c>
      <c r="AC48" s="59">
        <v>94</v>
      </c>
      <c r="AD48" s="59">
        <v>106</v>
      </c>
      <c r="AE48" s="59">
        <v>64</v>
      </c>
    </row>
    <row r="49" spans="6:31" x14ac:dyDescent="0.25">
      <c r="F49" s="59">
        <v>2</v>
      </c>
      <c r="G49" s="64">
        <v>2</v>
      </c>
      <c r="H49" s="59">
        <v>2</v>
      </c>
      <c r="I49" s="59">
        <v>2</v>
      </c>
      <c r="J49" s="59">
        <v>3</v>
      </c>
      <c r="K49" s="59">
        <v>4</v>
      </c>
      <c r="L49" s="59">
        <v>4</v>
      </c>
      <c r="M49" s="59">
        <v>5</v>
      </c>
      <c r="N49" s="64">
        <v>1</v>
      </c>
      <c r="O49" s="59">
        <v>1</v>
      </c>
      <c r="P49" s="59">
        <v>1</v>
      </c>
      <c r="Q49" s="59">
        <v>1</v>
      </c>
      <c r="R49" s="59">
        <v>2</v>
      </c>
      <c r="S49" s="59">
        <v>3</v>
      </c>
      <c r="T49" s="65">
        <v>4</v>
      </c>
      <c r="U49" s="59">
        <v>2</v>
      </c>
      <c r="V49" s="59">
        <v>2</v>
      </c>
      <c r="W49" s="59">
        <v>2</v>
      </c>
      <c r="X49" s="59">
        <v>3</v>
      </c>
      <c r="Y49" s="59">
        <v>4</v>
      </c>
      <c r="Z49" s="59">
        <v>4</v>
      </c>
      <c r="AA49" s="65">
        <v>5</v>
      </c>
      <c r="AB49" s="1">
        <f t="shared" si="0"/>
        <v>46</v>
      </c>
      <c r="AC49" s="59">
        <v>95</v>
      </c>
      <c r="AD49" s="59">
        <v>108</v>
      </c>
      <c r="AE49" s="59">
        <v>65</v>
      </c>
    </row>
    <row r="50" spans="6:31" x14ac:dyDescent="0.25">
      <c r="F50" s="59">
        <v>3</v>
      </c>
      <c r="G50" s="64">
        <v>3</v>
      </c>
      <c r="H50" s="59">
        <v>3</v>
      </c>
      <c r="I50" s="59">
        <v>3</v>
      </c>
      <c r="J50" s="59">
        <v>4</v>
      </c>
      <c r="K50" s="59">
        <v>5</v>
      </c>
      <c r="L50" s="59">
        <v>5</v>
      </c>
      <c r="M50" s="59">
        <v>6</v>
      </c>
      <c r="N50" s="64">
        <v>2</v>
      </c>
      <c r="O50" s="59">
        <v>2</v>
      </c>
      <c r="P50" s="59">
        <v>2</v>
      </c>
      <c r="Q50" s="59">
        <v>2</v>
      </c>
      <c r="R50" s="59">
        <v>3</v>
      </c>
      <c r="S50" s="59">
        <v>3</v>
      </c>
      <c r="T50" s="65">
        <v>4</v>
      </c>
      <c r="U50" s="59">
        <v>3</v>
      </c>
      <c r="V50" s="59">
        <v>3</v>
      </c>
      <c r="W50" s="59">
        <v>3</v>
      </c>
      <c r="X50" s="59">
        <v>4</v>
      </c>
      <c r="Y50" s="59">
        <v>5</v>
      </c>
      <c r="Z50" s="59">
        <v>5</v>
      </c>
      <c r="AA50" s="65">
        <v>6</v>
      </c>
      <c r="AB50" s="1">
        <f t="shared" si="0"/>
        <v>47</v>
      </c>
      <c r="AC50" s="59">
        <v>96</v>
      </c>
      <c r="AD50" s="59">
        <v>109</v>
      </c>
      <c r="AE50" s="59">
        <v>66</v>
      </c>
    </row>
    <row r="51" spans="6:31" x14ac:dyDescent="0.25">
      <c r="F51" s="59">
        <v>4</v>
      </c>
      <c r="G51" s="64">
        <v>4</v>
      </c>
      <c r="H51" s="59">
        <v>4</v>
      </c>
      <c r="I51" s="59">
        <v>4</v>
      </c>
      <c r="J51" s="59">
        <v>5</v>
      </c>
      <c r="K51" s="59">
        <v>6</v>
      </c>
      <c r="L51" s="59">
        <v>6</v>
      </c>
      <c r="M51" s="59">
        <v>7</v>
      </c>
      <c r="N51" s="64">
        <v>3</v>
      </c>
      <c r="O51" s="59">
        <v>3</v>
      </c>
      <c r="P51" s="59">
        <v>3</v>
      </c>
      <c r="Q51" s="59">
        <v>3</v>
      </c>
      <c r="R51" s="59">
        <v>4</v>
      </c>
      <c r="S51" s="59">
        <v>4</v>
      </c>
      <c r="T51" s="65">
        <v>5</v>
      </c>
      <c r="U51" s="59">
        <v>4</v>
      </c>
      <c r="V51" s="59">
        <v>4</v>
      </c>
      <c r="W51" s="59">
        <v>4</v>
      </c>
      <c r="X51" s="59">
        <v>5</v>
      </c>
      <c r="Y51" s="59">
        <v>6</v>
      </c>
      <c r="Z51" s="59">
        <v>6</v>
      </c>
      <c r="AA51" s="65">
        <v>7</v>
      </c>
      <c r="AB51" s="1">
        <f t="shared" si="0"/>
        <v>48</v>
      </c>
      <c r="AC51" s="59">
        <v>98</v>
      </c>
      <c r="AD51" s="59">
        <v>110</v>
      </c>
      <c r="AE51" s="59">
        <v>66</v>
      </c>
    </row>
    <row r="52" spans="6:31" x14ac:dyDescent="0.25">
      <c r="F52" s="59">
        <v>5</v>
      </c>
      <c r="G52" s="64">
        <v>5</v>
      </c>
      <c r="H52" s="59">
        <v>5</v>
      </c>
      <c r="I52" s="59">
        <v>5</v>
      </c>
      <c r="J52" s="59">
        <v>5</v>
      </c>
      <c r="K52" s="59">
        <v>6</v>
      </c>
      <c r="L52" s="59">
        <v>7</v>
      </c>
      <c r="M52" s="59">
        <v>8</v>
      </c>
      <c r="N52" s="64">
        <v>4</v>
      </c>
      <c r="O52" s="59">
        <v>4</v>
      </c>
      <c r="P52" s="59">
        <v>4</v>
      </c>
      <c r="Q52" s="59">
        <v>4</v>
      </c>
      <c r="R52" s="59">
        <v>5</v>
      </c>
      <c r="S52" s="59">
        <v>5</v>
      </c>
      <c r="T52" s="65">
        <v>6</v>
      </c>
      <c r="U52" s="59">
        <v>5</v>
      </c>
      <c r="V52" s="59">
        <v>5</v>
      </c>
      <c r="W52" s="59">
        <v>5</v>
      </c>
      <c r="X52" s="59">
        <v>5</v>
      </c>
      <c r="Y52" s="59">
        <v>6</v>
      </c>
      <c r="Z52" s="59">
        <v>7</v>
      </c>
      <c r="AA52" s="65">
        <v>8</v>
      </c>
      <c r="AB52" s="1">
        <f t="shared" si="0"/>
        <v>49</v>
      </c>
      <c r="AC52" s="59">
        <v>99</v>
      </c>
      <c r="AD52" s="59">
        <v>111</v>
      </c>
      <c r="AE52" s="59">
        <v>67</v>
      </c>
    </row>
    <row r="53" spans="6:31" x14ac:dyDescent="0.25">
      <c r="F53" s="59">
        <v>6</v>
      </c>
      <c r="G53" s="64">
        <v>5</v>
      </c>
      <c r="H53" s="59">
        <v>5</v>
      </c>
      <c r="I53" s="59">
        <v>6</v>
      </c>
      <c r="J53" s="59">
        <v>6</v>
      </c>
      <c r="K53" s="59">
        <v>7</v>
      </c>
      <c r="L53" s="59">
        <v>8</v>
      </c>
      <c r="M53" s="59">
        <v>9</v>
      </c>
      <c r="N53" s="64">
        <v>5</v>
      </c>
      <c r="O53" s="59">
        <v>5</v>
      </c>
      <c r="P53" s="59">
        <v>5</v>
      </c>
      <c r="Q53" s="59">
        <v>5</v>
      </c>
      <c r="R53" s="59">
        <v>6</v>
      </c>
      <c r="S53" s="59">
        <v>6</v>
      </c>
      <c r="T53" s="65">
        <v>7</v>
      </c>
      <c r="U53" s="59">
        <v>5</v>
      </c>
      <c r="V53" s="59">
        <v>5</v>
      </c>
      <c r="W53" s="59">
        <v>5</v>
      </c>
      <c r="X53" s="59">
        <v>6</v>
      </c>
      <c r="Y53" s="59">
        <v>7</v>
      </c>
      <c r="Z53" s="59">
        <v>7</v>
      </c>
      <c r="AA53" s="65">
        <v>8</v>
      </c>
      <c r="AB53" s="1">
        <f t="shared" si="0"/>
        <v>50</v>
      </c>
      <c r="AC53" s="59">
        <v>100</v>
      </c>
      <c r="AD53" s="59">
        <v>113</v>
      </c>
      <c r="AE53" s="59">
        <v>68</v>
      </c>
    </row>
    <row r="54" spans="6:31" x14ac:dyDescent="0.25">
      <c r="F54" s="59">
        <v>7</v>
      </c>
      <c r="G54" s="64">
        <v>6</v>
      </c>
      <c r="H54" s="59">
        <v>6</v>
      </c>
      <c r="I54" s="59">
        <v>7</v>
      </c>
      <c r="J54" s="59">
        <v>7</v>
      </c>
      <c r="K54" s="59">
        <v>8</v>
      </c>
      <c r="L54" s="59">
        <v>9</v>
      </c>
      <c r="M54" s="59">
        <v>10</v>
      </c>
      <c r="N54" s="64">
        <v>6</v>
      </c>
      <c r="O54" s="59">
        <v>6</v>
      </c>
      <c r="P54" s="59">
        <v>6</v>
      </c>
      <c r="Q54" s="59">
        <v>6</v>
      </c>
      <c r="R54" s="59">
        <v>6</v>
      </c>
      <c r="S54" s="59">
        <v>7</v>
      </c>
      <c r="T54" s="65">
        <v>8</v>
      </c>
      <c r="U54" s="59">
        <v>6</v>
      </c>
      <c r="V54" s="59">
        <v>6</v>
      </c>
      <c r="W54" s="59">
        <v>6</v>
      </c>
      <c r="X54" s="59">
        <v>7</v>
      </c>
      <c r="Y54" s="59">
        <v>7</v>
      </c>
      <c r="Z54" s="59">
        <v>8</v>
      </c>
      <c r="AA54" s="65">
        <v>9</v>
      </c>
      <c r="AB54" s="1">
        <f t="shared" si="0"/>
        <v>51</v>
      </c>
      <c r="AC54" s="59">
        <v>101</v>
      </c>
      <c r="AD54" s="59">
        <v>114</v>
      </c>
      <c r="AE54" s="59">
        <v>69</v>
      </c>
    </row>
    <row r="55" spans="6:31" x14ac:dyDescent="0.25">
      <c r="F55" s="59">
        <v>8</v>
      </c>
      <c r="G55" s="64">
        <v>7</v>
      </c>
      <c r="H55" s="59">
        <v>7</v>
      </c>
      <c r="I55" s="59">
        <v>7</v>
      </c>
      <c r="J55" s="59">
        <v>8</v>
      </c>
      <c r="K55" s="59">
        <v>9</v>
      </c>
      <c r="L55" s="59">
        <v>10</v>
      </c>
      <c r="M55" s="59">
        <v>11</v>
      </c>
      <c r="N55" s="64">
        <v>7</v>
      </c>
      <c r="O55" s="59">
        <v>7</v>
      </c>
      <c r="P55" s="59">
        <v>7</v>
      </c>
      <c r="Q55" s="59">
        <v>7</v>
      </c>
      <c r="R55" s="59">
        <v>7</v>
      </c>
      <c r="S55" s="59">
        <v>8</v>
      </c>
      <c r="T55" s="65">
        <v>9</v>
      </c>
      <c r="U55" s="59">
        <v>7</v>
      </c>
      <c r="V55" s="59">
        <v>7</v>
      </c>
      <c r="W55" s="59">
        <v>7</v>
      </c>
      <c r="X55" s="59">
        <v>8</v>
      </c>
      <c r="Y55" s="59">
        <v>8</v>
      </c>
      <c r="Z55" s="59">
        <v>9</v>
      </c>
      <c r="AA55" s="65">
        <v>10</v>
      </c>
      <c r="AB55" s="1">
        <f t="shared" si="0"/>
        <v>52</v>
      </c>
      <c r="AC55" s="59">
        <v>102</v>
      </c>
      <c r="AD55" s="59">
        <v>115</v>
      </c>
      <c r="AE55" s="59">
        <v>70</v>
      </c>
    </row>
    <row r="56" spans="6:31" x14ac:dyDescent="0.25">
      <c r="F56" s="59">
        <v>9</v>
      </c>
      <c r="G56" s="64">
        <v>8</v>
      </c>
      <c r="H56" s="59">
        <v>8</v>
      </c>
      <c r="I56" s="59">
        <v>8</v>
      </c>
      <c r="J56" s="59">
        <v>9</v>
      </c>
      <c r="K56" s="59">
        <v>10</v>
      </c>
      <c r="L56" s="59">
        <v>11</v>
      </c>
      <c r="M56" s="59">
        <v>12</v>
      </c>
      <c r="N56" s="64">
        <v>7</v>
      </c>
      <c r="O56" s="59">
        <v>7</v>
      </c>
      <c r="P56" s="59">
        <v>7</v>
      </c>
      <c r="Q56" s="59">
        <v>7</v>
      </c>
      <c r="R56" s="59">
        <v>8</v>
      </c>
      <c r="S56" s="59">
        <v>9</v>
      </c>
      <c r="T56" s="65">
        <v>10</v>
      </c>
      <c r="U56" s="59">
        <v>7</v>
      </c>
      <c r="V56" s="59">
        <v>7</v>
      </c>
      <c r="W56" s="59">
        <v>8</v>
      </c>
      <c r="X56" s="59">
        <v>8</v>
      </c>
      <c r="Y56" s="59">
        <v>9</v>
      </c>
      <c r="Z56" s="59">
        <v>10</v>
      </c>
      <c r="AA56" s="65">
        <v>11</v>
      </c>
      <c r="AB56" s="1">
        <f t="shared" si="0"/>
        <v>53</v>
      </c>
      <c r="AC56" s="59">
        <v>103</v>
      </c>
      <c r="AD56" s="59">
        <v>117</v>
      </c>
      <c r="AE56" s="59">
        <v>70</v>
      </c>
    </row>
    <row r="57" spans="6:31" x14ac:dyDescent="0.25">
      <c r="F57" s="59">
        <v>10</v>
      </c>
      <c r="G57" s="64">
        <v>9</v>
      </c>
      <c r="H57" s="59">
        <v>9</v>
      </c>
      <c r="I57" s="59">
        <v>9</v>
      </c>
      <c r="J57" s="59">
        <v>10</v>
      </c>
      <c r="K57" s="59">
        <v>11</v>
      </c>
      <c r="L57" s="59">
        <v>12</v>
      </c>
      <c r="M57" s="59">
        <v>13</v>
      </c>
      <c r="N57" s="64">
        <v>8</v>
      </c>
      <c r="O57" s="59">
        <v>8</v>
      </c>
      <c r="P57" s="59">
        <v>8</v>
      </c>
      <c r="Q57" s="59">
        <v>8</v>
      </c>
      <c r="R57" s="59">
        <v>9</v>
      </c>
      <c r="S57" s="59">
        <v>10</v>
      </c>
      <c r="T57" s="65">
        <v>11</v>
      </c>
      <c r="U57" s="59">
        <v>8</v>
      </c>
      <c r="V57" s="59">
        <v>8</v>
      </c>
      <c r="W57" s="59">
        <v>9</v>
      </c>
      <c r="X57" s="59">
        <v>9</v>
      </c>
      <c r="Y57" s="59">
        <v>10</v>
      </c>
      <c r="Z57" s="59">
        <v>11</v>
      </c>
      <c r="AA57" s="65">
        <v>12</v>
      </c>
      <c r="AB57" s="1">
        <f t="shared" si="0"/>
        <v>54</v>
      </c>
      <c r="AC57" s="59">
        <v>104</v>
      </c>
      <c r="AD57" s="59">
        <v>118</v>
      </c>
      <c r="AE57" s="59">
        <v>71</v>
      </c>
    </row>
    <row r="58" spans="6:31" x14ac:dyDescent="0.25">
      <c r="F58" s="59">
        <v>11</v>
      </c>
      <c r="G58" s="64">
        <v>10</v>
      </c>
      <c r="H58" s="59">
        <v>10</v>
      </c>
      <c r="I58" s="59">
        <v>10</v>
      </c>
      <c r="J58" s="59">
        <v>11</v>
      </c>
      <c r="K58" s="59">
        <v>12</v>
      </c>
      <c r="L58" s="59">
        <v>13</v>
      </c>
      <c r="M58" s="59">
        <v>14</v>
      </c>
      <c r="N58" s="64">
        <v>9</v>
      </c>
      <c r="O58" s="59">
        <v>9</v>
      </c>
      <c r="P58" s="59">
        <v>9</v>
      </c>
      <c r="Q58" s="59">
        <v>9</v>
      </c>
      <c r="R58" s="59">
        <v>10</v>
      </c>
      <c r="S58" s="59">
        <v>11</v>
      </c>
      <c r="T58" s="65">
        <v>12</v>
      </c>
      <c r="U58" s="59">
        <v>9</v>
      </c>
      <c r="V58" s="59">
        <v>9</v>
      </c>
      <c r="W58" s="59">
        <v>10</v>
      </c>
      <c r="X58" s="59">
        <v>10</v>
      </c>
      <c r="Y58" s="59">
        <v>11</v>
      </c>
      <c r="Z58" s="59">
        <v>12</v>
      </c>
      <c r="AA58" s="65">
        <v>13</v>
      </c>
      <c r="AB58" s="1">
        <f t="shared" si="0"/>
        <v>55</v>
      </c>
      <c r="AC58" s="59">
        <v>105</v>
      </c>
      <c r="AD58" s="59">
        <v>120</v>
      </c>
      <c r="AE58" s="59">
        <v>72</v>
      </c>
    </row>
    <row r="59" spans="6:31" x14ac:dyDescent="0.25">
      <c r="F59" s="59">
        <v>12</v>
      </c>
      <c r="G59" s="64">
        <v>11</v>
      </c>
      <c r="H59" s="59">
        <v>11</v>
      </c>
      <c r="I59" s="59">
        <v>11</v>
      </c>
      <c r="J59" s="59">
        <v>12</v>
      </c>
      <c r="K59" s="59">
        <v>13</v>
      </c>
      <c r="L59" s="59">
        <v>14</v>
      </c>
      <c r="M59" s="59">
        <v>15</v>
      </c>
      <c r="N59" s="64">
        <v>10</v>
      </c>
      <c r="O59" s="59">
        <v>10</v>
      </c>
      <c r="P59" s="59">
        <v>10</v>
      </c>
      <c r="Q59" s="59">
        <v>10</v>
      </c>
      <c r="R59" s="59">
        <v>11</v>
      </c>
      <c r="S59" s="59">
        <v>12</v>
      </c>
      <c r="T59" s="65">
        <v>13</v>
      </c>
      <c r="U59" s="59">
        <v>11</v>
      </c>
      <c r="V59" s="59">
        <v>10</v>
      </c>
      <c r="W59" s="59">
        <v>10</v>
      </c>
      <c r="X59" s="59">
        <v>11</v>
      </c>
      <c r="Y59" s="59">
        <v>12</v>
      </c>
      <c r="Z59" s="59">
        <v>13</v>
      </c>
      <c r="AA59" s="65">
        <v>14</v>
      </c>
      <c r="AB59" s="1">
        <f t="shared" si="0"/>
        <v>56</v>
      </c>
      <c r="AC59" s="59">
        <v>107</v>
      </c>
      <c r="AD59" s="59">
        <v>121</v>
      </c>
      <c r="AE59" s="59">
        <v>73</v>
      </c>
    </row>
    <row r="60" spans="6:31" x14ac:dyDescent="0.25">
      <c r="F60" s="59">
        <v>13</v>
      </c>
      <c r="G60" s="64">
        <v>12</v>
      </c>
      <c r="H60" s="59">
        <v>12</v>
      </c>
      <c r="I60" s="59">
        <v>12</v>
      </c>
      <c r="J60" s="59">
        <v>13</v>
      </c>
      <c r="K60" s="59">
        <v>14</v>
      </c>
      <c r="L60" s="59">
        <v>14</v>
      </c>
      <c r="M60" s="59">
        <v>15</v>
      </c>
      <c r="N60" s="64">
        <v>12</v>
      </c>
      <c r="O60" s="59">
        <v>11</v>
      </c>
      <c r="P60" s="59">
        <v>11</v>
      </c>
      <c r="Q60" s="59">
        <v>11</v>
      </c>
      <c r="R60" s="59">
        <v>13</v>
      </c>
      <c r="S60" s="59">
        <v>13</v>
      </c>
      <c r="T60" s="65">
        <v>14</v>
      </c>
      <c r="U60" s="59">
        <v>12</v>
      </c>
      <c r="V60" s="59">
        <v>11</v>
      </c>
      <c r="W60" s="59">
        <v>11</v>
      </c>
      <c r="X60" s="59">
        <v>12</v>
      </c>
      <c r="Y60" s="59">
        <v>13</v>
      </c>
      <c r="Z60" s="59">
        <v>14</v>
      </c>
      <c r="AA60" s="65">
        <v>15</v>
      </c>
      <c r="AB60" s="1">
        <f t="shared" si="0"/>
        <v>57</v>
      </c>
      <c r="AC60" s="59">
        <v>108</v>
      </c>
      <c r="AD60" s="59">
        <v>123</v>
      </c>
      <c r="AE60" s="59">
        <v>73</v>
      </c>
    </row>
    <row r="61" spans="6:31" x14ac:dyDescent="0.25">
      <c r="F61" s="59">
        <v>14</v>
      </c>
      <c r="G61" s="64">
        <v>13</v>
      </c>
      <c r="H61" s="59">
        <v>13</v>
      </c>
      <c r="I61" s="59">
        <v>13</v>
      </c>
      <c r="J61" s="59">
        <v>14</v>
      </c>
      <c r="K61" s="59">
        <v>15</v>
      </c>
      <c r="L61" s="59">
        <v>15</v>
      </c>
      <c r="M61" s="59">
        <v>16</v>
      </c>
      <c r="N61" s="64">
        <v>14</v>
      </c>
      <c r="O61" s="59">
        <v>13</v>
      </c>
      <c r="P61" s="59">
        <v>13</v>
      </c>
      <c r="Q61" s="59">
        <v>13</v>
      </c>
      <c r="R61" s="59">
        <v>14</v>
      </c>
      <c r="S61" s="59">
        <v>14</v>
      </c>
      <c r="T61" s="65">
        <v>16</v>
      </c>
      <c r="U61" s="59">
        <v>13</v>
      </c>
      <c r="V61" s="59">
        <v>12</v>
      </c>
      <c r="W61" s="59">
        <v>12</v>
      </c>
      <c r="X61" s="59">
        <v>13</v>
      </c>
      <c r="Y61" s="59">
        <v>14</v>
      </c>
      <c r="Z61" s="59">
        <v>14</v>
      </c>
      <c r="AA61" s="65">
        <v>15</v>
      </c>
      <c r="AB61" s="1">
        <f t="shared" si="0"/>
        <v>58</v>
      </c>
      <c r="AC61" s="59">
        <v>109</v>
      </c>
      <c r="AD61" s="59">
        <v>124</v>
      </c>
      <c r="AE61" s="59">
        <v>74</v>
      </c>
    </row>
    <row r="62" spans="6:31" x14ac:dyDescent="0.25">
      <c r="F62" s="59">
        <v>15</v>
      </c>
      <c r="G62" s="64">
        <v>14</v>
      </c>
      <c r="H62" s="59">
        <v>14</v>
      </c>
      <c r="I62" s="59">
        <v>14</v>
      </c>
      <c r="J62" s="59">
        <v>15</v>
      </c>
      <c r="K62" s="59">
        <v>16</v>
      </c>
      <c r="L62" s="59">
        <v>16</v>
      </c>
      <c r="M62" s="59">
        <v>17</v>
      </c>
      <c r="N62" s="64">
        <v>16</v>
      </c>
      <c r="O62" s="59">
        <v>14</v>
      </c>
      <c r="P62" s="59">
        <v>14</v>
      </c>
      <c r="Q62" s="59">
        <v>14</v>
      </c>
      <c r="R62" s="59">
        <v>16</v>
      </c>
      <c r="S62" s="59">
        <v>16</v>
      </c>
      <c r="T62" s="65">
        <v>18</v>
      </c>
      <c r="U62" s="59">
        <v>14</v>
      </c>
      <c r="V62" s="59">
        <v>14</v>
      </c>
      <c r="W62" s="59">
        <v>14</v>
      </c>
      <c r="X62" s="59">
        <v>14</v>
      </c>
      <c r="Y62" s="59">
        <v>15</v>
      </c>
      <c r="Z62" s="59">
        <v>15</v>
      </c>
      <c r="AA62" s="65">
        <v>16</v>
      </c>
      <c r="AB62" s="1">
        <f t="shared" si="0"/>
        <v>59</v>
      </c>
      <c r="AC62" s="59">
        <v>110</v>
      </c>
      <c r="AD62" s="59">
        <v>126</v>
      </c>
      <c r="AE62" s="59">
        <v>74</v>
      </c>
    </row>
    <row r="63" spans="6:31" x14ac:dyDescent="0.25">
      <c r="F63" s="59">
        <v>16</v>
      </c>
      <c r="G63" s="66">
        <v>16</v>
      </c>
      <c r="H63" s="67">
        <v>16</v>
      </c>
      <c r="I63" s="67">
        <v>16</v>
      </c>
      <c r="J63" s="67">
        <v>16</v>
      </c>
      <c r="K63" s="67">
        <v>17</v>
      </c>
      <c r="L63" s="67">
        <v>17</v>
      </c>
      <c r="M63" s="67">
        <v>18</v>
      </c>
      <c r="N63" s="66">
        <v>18</v>
      </c>
      <c r="O63" s="67">
        <v>16</v>
      </c>
      <c r="P63" s="67">
        <v>16</v>
      </c>
      <c r="Q63" s="67">
        <v>16</v>
      </c>
      <c r="R63" s="67">
        <v>18</v>
      </c>
      <c r="S63" s="67">
        <v>18</v>
      </c>
      <c r="T63" s="68">
        <v>19</v>
      </c>
      <c r="U63" s="67">
        <v>15</v>
      </c>
      <c r="V63" s="67">
        <v>15</v>
      </c>
      <c r="W63" s="67">
        <v>16</v>
      </c>
      <c r="X63" s="67">
        <v>16</v>
      </c>
      <c r="Y63" s="67">
        <v>16</v>
      </c>
      <c r="Z63" s="67">
        <v>16</v>
      </c>
      <c r="AA63" s="68">
        <v>17</v>
      </c>
      <c r="AB63" s="1">
        <f t="shared" si="0"/>
        <v>60</v>
      </c>
      <c r="AC63" s="59">
        <v>111</v>
      </c>
      <c r="AD63" s="59">
        <v>127</v>
      </c>
      <c r="AE63" s="59">
        <v>75</v>
      </c>
    </row>
    <row r="64" spans="6:31" x14ac:dyDescent="0.25">
      <c r="AB64" s="1">
        <f t="shared" si="0"/>
        <v>61</v>
      </c>
      <c r="AC64" s="59">
        <v>113</v>
      </c>
      <c r="AD64" s="59">
        <v>129</v>
      </c>
      <c r="AE64" s="59">
        <v>76</v>
      </c>
    </row>
    <row r="65" spans="6:31" ht="15.75" x14ac:dyDescent="0.25">
      <c r="G65" s="117" t="s">
        <v>256</v>
      </c>
      <c r="H65" s="118"/>
      <c r="I65" s="118"/>
      <c r="J65" s="118"/>
      <c r="K65" s="118"/>
      <c r="L65" s="118"/>
      <c r="M65" s="119"/>
      <c r="N65" s="117" t="s">
        <v>236</v>
      </c>
      <c r="O65" s="118"/>
      <c r="P65" s="118"/>
      <c r="Q65" s="118"/>
      <c r="R65" s="118"/>
      <c r="S65" s="118"/>
      <c r="T65" s="119"/>
      <c r="AB65" s="1">
        <f t="shared" si="0"/>
        <v>62</v>
      </c>
      <c r="AC65" s="59">
        <v>114</v>
      </c>
      <c r="AD65" s="59">
        <v>130</v>
      </c>
      <c r="AE65" s="59">
        <v>76</v>
      </c>
    </row>
    <row r="66" spans="6:31" x14ac:dyDescent="0.25">
      <c r="F66" s="60" t="s">
        <v>14</v>
      </c>
      <c r="G66" s="62" t="s">
        <v>224</v>
      </c>
      <c r="H66" s="60" t="s">
        <v>239</v>
      </c>
      <c r="I66" s="60" t="s">
        <v>240</v>
      </c>
      <c r="J66" s="60" t="s">
        <v>241</v>
      </c>
      <c r="K66" s="60" t="s">
        <v>117</v>
      </c>
      <c r="L66" s="60" t="s">
        <v>242</v>
      </c>
      <c r="M66" s="63" t="s">
        <v>243</v>
      </c>
      <c r="N66" s="62" t="s">
        <v>224</v>
      </c>
      <c r="O66" s="60" t="s">
        <v>239</v>
      </c>
      <c r="P66" s="60" t="s">
        <v>240</v>
      </c>
      <c r="Q66" s="60" t="s">
        <v>241</v>
      </c>
      <c r="R66" s="60" t="s">
        <v>117</v>
      </c>
      <c r="S66" s="60" t="s">
        <v>242</v>
      </c>
      <c r="T66" s="63" t="s">
        <v>243</v>
      </c>
      <c r="AB66" s="1">
        <f t="shared" si="0"/>
        <v>63</v>
      </c>
      <c r="AC66" s="59">
        <v>115</v>
      </c>
      <c r="AD66" s="59">
        <v>132</v>
      </c>
      <c r="AE66" s="59">
        <v>77</v>
      </c>
    </row>
    <row r="67" spans="6:31" x14ac:dyDescent="0.25">
      <c r="F67" s="59">
        <v>0</v>
      </c>
      <c r="G67" s="64">
        <v>1</v>
      </c>
      <c r="H67" s="59">
        <v>1</v>
      </c>
      <c r="I67" s="59">
        <v>1</v>
      </c>
      <c r="J67" s="59">
        <v>1</v>
      </c>
      <c r="K67" s="59">
        <v>1</v>
      </c>
      <c r="L67" s="59">
        <v>1</v>
      </c>
      <c r="M67" s="65">
        <v>2</v>
      </c>
      <c r="N67" s="64">
        <v>1</v>
      </c>
      <c r="O67" s="59">
        <v>1</v>
      </c>
      <c r="P67" s="59">
        <v>1</v>
      </c>
      <c r="Q67" s="59">
        <v>1</v>
      </c>
      <c r="R67" s="59">
        <v>1</v>
      </c>
      <c r="S67" s="59">
        <v>1</v>
      </c>
      <c r="T67" s="65">
        <v>1</v>
      </c>
      <c r="AB67" s="1">
        <f t="shared" si="0"/>
        <v>64</v>
      </c>
      <c r="AC67" s="59">
        <v>117</v>
      </c>
      <c r="AD67" s="59">
        <v>133</v>
      </c>
      <c r="AE67" s="59">
        <v>78</v>
      </c>
    </row>
    <row r="68" spans="6:31" x14ac:dyDescent="0.25">
      <c r="F68" s="59">
        <v>1</v>
      </c>
      <c r="G68" s="64">
        <v>1</v>
      </c>
      <c r="H68" s="59">
        <v>1</v>
      </c>
      <c r="I68" s="59">
        <v>1</v>
      </c>
      <c r="J68" s="59">
        <v>1</v>
      </c>
      <c r="K68" s="59">
        <v>1</v>
      </c>
      <c r="L68" s="59">
        <v>2</v>
      </c>
      <c r="M68" s="65">
        <v>3</v>
      </c>
      <c r="N68" s="64">
        <v>1</v>
      </c>
      <c r="O68" s="59">
        <v>1</v>
      </c>
      <c r="P68" s="59">
        <v>1</v>
      </c>
      <c r="Q68" s="59">
        <v>1</v>
      </c>
      <c r="R68" s="59">
        <v>1</v>
      </c>
      <c r="S68" s="59">
        <v>1</v>
      </c>
      <c r="T68" s="65">
        <v>1</v>
      </c>
      <c r="AB68" s="1">
        <f t="shared" si="0"/>
        <v>65</v>
      </c>
      <c r="AC68" s="59">
        <v>118</v>
      </c>
      <c r="AD68" s="59">
        <v>135</v>
      </c>
      <c r="AE68" s="59">
        <v>78</v>
      </c>
    </row>
    <row r="69" spans="6:31" x14ac:dyDescent="0.25">
      <c r="F69" s="59">
        <v>2</v>
      </c>
      <c r="G69" s="64">
        <v>1</v>
      </c>
      <c r="H69" s="59">
        <v>1</v>
      </c>
      <c r="I69" s="59">
        <v>1</v>
      </c>
      <c r="J69" s="59">
        <v>1</v>
      </c>
      <c r="K69" s="59">
        <v>2</v>
      </c>
      <c r="L69" s="59">
        <v>3</v>
      </c>
      <c r="M69" s="65">
        <v>4</v>
      </c>
      <c r="N69" s="64">
        <v>1</v>
      </c>
      <c r="O69" s="59">
        <v>1</v>
      </c>
      <c r="P69" s="59">
        <v>1</v>
      </c>
      <c r="Q69" s="59">
        <v>1</v>
      </c>
      <c r="R69" s="59">
        <v>1</v>
      </c>
      <c r="S69" s="59">
        <v>1</v>
      </c>
      <c r="T69" s="65">
        <v>1</v>
      </c>
      <c r="AB69" s="1">
        <f t="shared" si="0"/>
        <v>66</v>
      </c>
      <c r="AC69" s="59">
        <v>119</v>
      </c>
      <c r="AD69" s="59">
        <v>136</v>
      </c>
      <c r="AE69" s="59">
        <v>79</v>
      </c>
    </row>
    <row r="70" spans="6:31" x14ac:dyDescent="0.25">
      <c r="F70" s="59">
        <v>3</v>
      </c>
      <c r="G70" s="64">
        <v>2</v>
      </c>
      <c r="H70" s="59">
        <v>2</v>
      </c>
      <c r="I70" s="59">
        <v>2</v>
      </c>
      <c r="J70" s="59">
        <v>2</v>
      </c>
      <c r="K70" s="59">
        <v>3</v>
      </c>
      <c r="L70" s="59">
        <v>3</v>
      </c>
      <c r="M70" s="65">
        <v>4</v>
      </c>
      <c r="N70" s="64">
        <v>1</v>
      </c>
      <c r="O70" s="59">
        <v>1</v>
      </c>
      <c r="P70" s="59">
        <v>1</v>
      </c>
      <c r="Q70" s="59">
        <v>1</v>
      </c>
      <c r="R70" s="59">
        <v>1</v>
      </c>
      <c r="S70" s="59">
        <v>1</v>
      </c>
      <c r="T70" s="65">
        <v>2</v>
      </c>
      <c r="AB70" s="1">
        <f t="shared" si="0"/>
        <v>67</v>
      </c>
      <c r="AC70" s="59">
        <v>120</v>
      </c>
      <c r="AD70" s="59">
        <v>138</v>
      </c>
      <c r="AE70" s="59">
        <v>80</v>
      </c>
    </row>
    <row r="71" spans="6:31" x14ac:dyDescent="0.25">
      <c r="F71" s="59">
        <v>4</v>
      </c>
      <c r="G71" s="64">
        <v>3</v>
      </c>
      <c r="H71" s="59">
        <v>3</v>
      </c>
      <c r="I71" s="59">
        <v>3</v>
      </c>
      <c r="J71" s="59">
        <v>3</v>
      </c>
      <c r="K71" s="59">
        <v>4</v>
      </c>
      <c r="L71" s="59">
        <v>4</v>
      </c>
      <c r="M71" s="65">
        <v>5</v>
      </c>
      <c r="N71" s="64">
        <v>1</v>
      </c>
      <c r="O71" s="59">
        <v>1</v>
      </c>
      <c r="P71" s="59">
        <v>1</v>
      </c>
      <c r="Q71" s="59">
        <v>1</v>
      </c>
      <c r="R71" s="59">
        <v>1</v>
      </c>
      <c r="S71" s="59">
        <v>2</v>
      </c>
      <c r="T71" s="65">
        <v>3</v>
      </c>
      <c r="AB71" s="1">
        <f t="shared" si="0"/>
        <v>68</v>
      </c>
      <c r="AC71" s="59">
        <v>122</v>
      </c>
      <c r="AD71" s="59">
        <v>139</v>
      </c>
      <c r="AE71" s="59">
        <v>81</v>
      </c>
    </row>
    <row r="72" spans="6:31" x14ac:dyDescent="0.25">
      <c r="F72" s="59">
        <v>5</v>
      </c>
      <c r="G72" s="64">
        <v>4</v>
      </c>
      <c r="H72" s="59">
        <v>4</v>
      </c>
      <c r="I72" s="59">
        <v>4</v>
      </c>
      <c r="J72" s="59">
        <v>4</v>
      </c>
      <c r="K72" s="59">
        <v>5</v>
      </c>
      <c r="L72" s="59">
        <v>5</v>
      </c>
      <c r="M72" s="65">
        <v>6</v>
      </c>
      <c r="N72" s="64">
        <v>1</v>
      </c>
      <c r="O72" s="59">
        <v>1</v>
      </c>
      <c r="P72" s="59">
        <v>1</v>
      </c>
      <c r="Q72" s="59">
        <v>1</v>
      </c>
      <c r="R72" s="59">
        <v>2</v>
      </c>
      <c r="S72" s="59">
        <v>3</v>
      </c>
      <c r="T72" s="65">
        <v>3</v>
      </c>
      <c r="AB72" s="1">
        <f t="shared" si="0"/>
        <v>69</v>
      </c>
      <c r="AC72" s="59">
        <v>123</v>
      </c>
      <c r="AD72" s="59">
        <v>141</v>
      </c>
      <c r="AE72" s="59">
        <v>81</v>
      </c>
    </row>
    <row r="73" spans="6:31" x14ac:dyDescent="0.25">
      <c r="F73" s="59">
        <v>6</v>
      </c>
      <c r="G73" s="64">
        <v>4</v>
      </c>
      <c r="H73" s="59">
        <v>4</v>
      </c>
      <c r="I73" s="59">
        <v>5</v>
      </c>
      <c r="J73" s="59">
        <v>5</v>
      </c>
      <c r="K73" s="59">
        <v>6</v>
      </c>
      <c r="L73" s="59">
        <v>6</v>
      </c>
      <c r="M73" s="65">
        <v>7</v>
      </c>
      <c r="N73" s="64">
        <v>1</v>
      </c>
      <c r="O73" s="59">
        <v>1</v>
      </c>
      <c r="P73" s="59">
        <v>1</v>
      </c>
      <c r="Q73" s="59">
        <v>2</v>
      </c>
      <c r="R73" s="59">
        <v>3</v>
      </c>
      <c r="S73" s="59">
        <v>3</v>
      </c>
      <c r="T73" s="65">
        <v>4</v>
      </c>
      <c r="AB73" s="1">
        <f t="shared" ref="AB73:AB136" si="1">AB72+1</f>
        <v>70</v>
      </c>
      <c r="AC73" s="59">
        <v>124</v>
      </c>
      <c r="AD73" s="59">
        <v>142</v>
      </c>
      <c r="AE73" s="59">
        <v>82</v>
      </c>
    </row>
    <row r="74" spans="6:31" x14ac:dyDescent="0.25">
      <c r="F74" s="59">
        <v>7</v>
      </c>
      <c r="G74" s="64">
        <v>5</v>
      </c>
      <c r="H74" s="59">
        <v>5</v>
      </c>
      <c r="I74" s="59">
        <v>6</v>
      </c>
      <c r="J74" s="59">
        <v>6</v>
      </c>
      <c r="K74" s="59">
        <v>6</v>
      </c>
      <c r="L74" s="59">
        <v>7</v>
      </c>
      <c r="M74" s="65">
        <v>8</v>
      </c>
      <c r="N74" s="64">
        <v>2</v>
      </c>
      <c r="O74" s="59">
        <v>2</v>
      </c>
      <c r="P74" s="59">
        <v>2</v>
      </c>
      <c r="Q74" s="59">
        <v>3</v>
      </c>
      <c r="R74" s="59">
        <v>3</v>
      </c>
      <c r="S74" s="59">
        <v>4</v>
      </c>
      <c r="T74" s="65">
        <v>4</v>
      </c>
      <c r="AB74" s="1">
        <f t="shared" si="1"/>
        <v>71</v>
      </c>
      <c r="AC74" s="59">
        <v>126</v>
      </c>
      <c r="AD74" s="59">
        <v>144</v>
      </c>
      <c r="AE74" s="59">
        <v>82</v>
      </c>
    </row>
    <row r="75" spans="6:31" x14ac:dyDescent="0.25">
      <c r="F75" s="59">
        <v>8</v>
      </c>
      <c r="G75" s="64">
        <v>6</v>
      </c>
      <c r="H75" s="59">
        <v>6</v>
      </c>
      <c r="I75" s="59">
        <v>7</v>
      </c>
      <c r="J75" s="59">
        <v>7</v>
      </c>
      <c r="K75" s="59">
        <v>7</v>
      </c>
      <c r="L75" s="59">
        <v>8</v>
      </c>
      <c r="M75" s="65">
        <v>9</v>
      </c>
      <c r="N75" s="64">
        <v>3</v>
      </c>
      <c r="O75" s="59">
        <v>3</v>
      </c>
      <c r="P75" s="59">
        <v>3</v>
      </c>
      <c r="Q75" s="59">
        <v>3</v>
      </c>
      <c r="R75" s="59">
        <v>4</v>
      </c>
      <c r="S75" s="59">
        <v>4</v>
      </c>
      <c r="T75" s="65">
        <v>5</v>
      </c>
      <c r="AB75" s="1">
        <f t="shared" si="1"/>
        <v>72</v>
      </c>
      <c r="AC75" s="59">
        <v>127</v>
      </c>
      <c r="AD75" s="59">
        <v>146</v>
      </c>
      <c r="AE75" s="59">
        <v>83</v>
      </c>
    </row>
    <row r="76" spans="6:31" x14ac:dyDescent="0.25">
      <c r="F76" s="59">
        <v>9</v>
      </c>
      <c r="G76" s="64">
        <v>7</v>
      </c>
      <c r="H76" s="59">
        <v>7</v>
      </c>
      <c r="I76" s="59">
        <v>7</v>
      </c>
      <c r="J76" s="59">
        <v>7</v>
      </c>
      <c r="K76" s="59">
        <v>8</v>
      </c>
      <c r="L76" s="59">
        <v>9</v>
      </c>
      <c r="M76" s="65">
        <v>10</v>
      </c>
      <c r="N76" s="64">
        <v>3</v>
      </c>
      <c r="O76" s="59">
        <v>3</v>
      </c>
      <c r="P76" s="59">
        <v>3</v>
      </c>
      <c r="Q76" s="59">
        <v>4</v>
      </c>
      <c r="R76" s="59">
        <v>4</v>
      </c>
      <c r="S76" s="59">
        <v>5</v>
      </c>
      <c r="T76" s="65">
        <v>5</v>
      </c>
      <c r="AB76" s="1">
        <f t="shared" si="1"/>
        <v>73</v>
      </c>
      <c r="AC76" s="59">
        <v>128</v>
      </c>
      <c r="AD76" s="59">
        <v>148</v>
      </c>
      <c r="AE76" s="59">
        <v>84</v>
      </c>
    </row>
    <row r="77" spans="6:31" x14ac:dyDescent="0.25">
      <c r="F77" s="59">
        <v>10</v>
      </c>
      <c r="G77" s="64">
        <v>8</v>
      </c>
      <c r="H77" s="59">
        <v>7</v>
      </c>
      <c r="I77" s="59">
        <v>8</v>
      </c>
      <c r="J77" s="59">
        <v>8</v>
      </c>
      <c r="K77" s="59">
        <v>9</v>
      </c>
      <c r="L77" s="59">
        <v>10</v>
      </c>
      <c r="M77" s="65">
        <v>11</v>
      </c>
      <c r="N77" s="64">
        <v>4</v>
      </c>
      <c r="O77" s="59">
        <v>4</v>
      </c>
      <c r="P77" s="59">
        <v>4</v>
      </c>
      <c r="Q77" s="59">
        <v>4</v>
      </c>
      <c r="R77" s="59">
        <v>5</v>
      </c>
      <c r="S77" s="59">
        <v>5</v>
      </c>
      <c r="T77" s="65">
        <v>6</v>
      </c>
      <c r="AB77" s="1">
        <f t="shared" si="1"/>
        <v>74</v>
      </c>
      <c r="AC77" s="59">
        <v>129</v>
      </c>
      <c r="AD77" s="59">
        <v>150</v>
      </c>
      <c r="AE77" s="59">
        <v>84</v>
      </c>
    </row>
    <row r="78" spans="6:31" x14ac:dyDescent="0.25">
      <c r="F78" s="59">
        <v>11</v>
      </c>
      <c r="G78" s="64">
        <v>9</v>
      </c>
      <c r="H78" s="59">
        <v>8</v>
      </c>
      <c r="I78" s="59">
        <v>9</v>
      </c>
      <c r="J78" s="59">
        <v>9</v>
      </c>
      <c r="K78" s="59">
        <v>10</v>
      </c>
      <c r="L78" s="59">
        <v>11</v>
      </c>
      <c r="M78" s="65">
        <v>12</v>
      </c>
      <c r="N78" s="64">
        <v>4</v>
      </c>
      <c r="O78" s="59">
        <v>4</v>
      </c>
      <c r="P78" s="59">
        <v>4</v>
      </c>
      <c r="Q78" s="59">
        <v>5</v>
      </c>
      <c r="R78" s="59">
        <v>5</v>
      </c>
      <c r="S78" s="59">
        <v>6</v>
      </c>
      <c r="T78" s="65">
        <v>7</v>
      </c>
      <c r="AB78" s="1">
        <f t="shared" si="1"/>
        <v>75</v>
      </c>
      <c r="AC78" s="59">
        <v>130</v>
      </c>
      <c r="AD78" s="59">
        <v>152</v>
      </c>
      <c r="AE78" s="59">
        <v>85</v>
      </c>
    </row>
    <row r="79" spans="6:31" x14ac:dyDescent="0.25">
      <c r="F79" s="59">
        <v>12</v>
      </c>
      <c r="G79" s="64">
        <v>10</v>
      </c>
      <c r="H79" s="59">
        <v>9</v>
      </c>
      <c r="I79" s="59">
        <v>10</v>
      </c>
      <c r="J79" s="59">
        <v>10</v>
      </c>
      <c r="K79" s="59">
        <v>11</v>
      </c>
      <c r="L79" s="59">
        <v>12</v>
      </c>
      <c r="M79" s="65">
        <v>13</v>
      </c>
      <c r="N79" s="64">
        <v>5</v>
      </c>
      <c r="O79" s="59">
        <v>5</v>
      </c>
      <c r="P79" s="59">
        <v>5</v>
      </c>
      <c r="Q79" s="59">
        <v>5</v>
      </c>
      <c r="R79" s="59">
        <v>6</v>
      </c>
      <c r="S79" s="59">
        <v>7</v>
      </c>
      <c r="T79" s="65">
        <v>8</v>
      </c>
      <c r="AB79" s="1">
        <f t="shared" si="1"/>
        <v>76</v>
      </c>
      <c r="AC79" s="59">
        <v>131</v>
      </c>
      <c r="AD79" s="59">
        <v>155</v>
      </c>
      <c r="AE79" s="59">
        <v>86</v>
      </c>
    </row>
    <row r="80" spans="6:31" x14ac:dyDescent="0.25">
      <c r="F80" s="59">
        <v>13</v>
      </c>
      <c r="G80" s="64">
        <v>11</v>
      </c>
      <c r="H80" s="59">
        <v>10</v>
      </c>
      <c r="I80" s="59">
        <v>11</v>
      </c>
      <c r="J80" s="59">
        <v>11</v>
      </c>
      <c r="K80" s="59">
        <v>12</v>
      </c>
      <c r="L80" s="59">
        <v>13</v>
      </c>
      <c r="M80" s="65">
        <v>14</v>
      </c>
      <c r="N80" s="64">
        <v>6</v>
      </c>
      <c r="O80" s="59">
        <v>6</v>
      </c>
      <c r="P80" s="59">
        <v>6</v>
      </c>
      <c r="Q80" s="59">
        <v>6</v>
      </c>
      <c r="R80" s="59">
        <v>7</v>
      </c>
      <c r="S80" s="59">
        <v>8</v>
      </c>
      <c r="T80" s="65">
        <v>9</v>
      </c>
      <c r="AB80" s="1">
        <f t="shared" si="1"/>
        <v>77</v>
      </c>
      <c r="AC80" s="59">
        <v>132</v>
      </c>
      <c r="AE80" s="59">
        <v>87</v>
      </c>
    </row>
    <row r="81" spans="6:31" x14ac:dyDescent="0.25">
      <c r="F81" s="59">
        <v>14</v>
      </c>
      <c r="G81" s="64">
        <v>13</v>
      </c>
      <c r="H81" s="59">
        <v>12</v>
      </c>
      <c r="I81" s="59">
        <v>12</v>
      </c>
      <c r="J81" s="59">
        <v>12</v>
      </c>
      <c r="K81" s="59">
        <v>13</v>
      </c>
      <c r="L81" s="59">
        <v>14</v>
      </c>
      <c r="M81" s="65">
        <v>15</v>
      </c>
      <c r="N81" s="64">
        <v>7</v>
      </c>
      <c r="O81" s="59">
        <v>7</v>
      </c>
      <c r="P81" s="59">
        <v>7</v>
      </c>
      <c r="Q81" s="59">
        <v>7</v>
      </c>
      <c r="R81" s="59">
        <v>8</v>
      </c>
      <c r="S81" s="59">
        <v>10</v>
      </c>
      <c r="T81" s="65">
        <v>10</v>
      </c>
      <c r="AB81" s="1">
        <f t="shared" si="1"/>
        <v>78</v>
      </c>
      <c r="AC81" s="59">
        <v>133</v>
      </c>
      <c r="AE81" s="59">
        <v>87</v>
      </c>
    </row>
    <row r="82" spans="6:31" x14ac:dyDescent="0.25">
      <c r="F82" s="59">
        <v>15</v>
      </c>
      <c r="G82" s="64">
        <v>15</v>
      </c>
      <c r="H82" s="59">
        <v>13</v>
      </c>
      <c r="I82" s="59">
        <v>13</v>
      </c>
      <c r="J82" s="59">
        <v>13</v>
      </c>
      <c r="K82" s="59">
        <v>15</v>
      </c>
      <c r="L82" s="59">
        <v>15</v>
      </c>
      <c r="M82" s="65">
        <v>17</v>
      </c>
      <c r="N82" s="64">
        <v>9</v>
      </c>
      <c r="O82" s="59">
        <v>9</v>
      </c>
      <c r="P82" s="59">
        <v>9</v>
      </c>
      <c r="Q82" s="59">
        <v>10</v>
      </c>
      <c r="R82" s="59">
        <v>10</v>
      </c>
      <c r="S82" s="59">
        <v>12</v>
      </c>
      <c r="T82" s="65">
        <v>12</v>
      </c>
      <c r="AB82" s="1">
        <f t="shared" si="1"/>
        <v>79</v>
      </c>
      <c r="AC82" s="59">
        <v>135</v>
      </c>
      <c r="AE82" s="59">
        <v>88</v>
      </c>
    </row>
    <row r="83" spans="6:31" x14ac:dyDescent="0.25">
      <c r="F83" s="59">
        <v>16</v>
      </c>
      <c r="G83" s="66">
        <v>17</v>
      </c>
      <c r="H83" s="67">
        <v>15</v>
      </c>
      <c r="I83" s="67">
        <v>15</v>
      </c>
      <c r="J83" s="67">
        <v>15</v>
      </c>
      <c r="K83" s="67">
        <v>17</v>
      </c>
      <c r="L83" s="67">
        <v>17</v>
      </c>
      <c r="M83" s="68">
        <v>19</v>
      </c>
      <c r="N83" s="66">
        <v>13</v>
      </c>
      <c r="O83" s="67">
        <v>13</v>
      </c>
      <c r="P83" s="67">
        <v>13</v>
      </c>
      <c r="Q83" s="67">
        <v>13</v>
      </c>
      <c r="R83" s="67">
        <v>14</v>
      </c>
      <c r="S83" s="67">
        <v>14</v>
      </c>
      <c r="T83" s="68">
        <v>14</v>
      </c>
      <c r="AB83" s="1">
        <f t="shared" si="1"/>
        <v>80</v>
      </c>
      <c r="AC83" s="59">
        <v>136</v>
      </c>
      <c r="AE83" s="59">
        <v>88</v>
      </c>
    </row>
    <row r="84" spans="6:31" x14ac:dyDescent="0.25">
      <c r="AB84" s="1">
        <f t="shared" si="1"/>
        <v>81</v>
      </c>
      <c r="AC84" s="59">
        <v>137</v>
      </c>
      <c r="AE84" s="59">
        <v>89</v>
      </c>
    </row>
    <row r="85" spans="6:31" ht="15.75" x14ac:dyDescent="0.25">
      <c r="G85" s="117" t="s">
        <v>233</v>
      </c>
      <c r="H85" s="118"/>
      <c r="I85" s="118"/>
      <c r="J85" s="118"/>
      <c r="K85" s="118"/>
      <c r="L85" s="118"/>
      <c r="M85" s="118"/>
      <c r="N85" s="117" t="s">
        <v>246</v>
      </c>
      <c r="O85" s="118"/>
      <c r="P85" s="118"/>
      <c r="Q85" s="118"/>
      <c r="R85" s="118"/>
      <c r="S85" s="118"/>
      <c r="T85" s="119"/>
      <c r="U85" s="118" t="s">
        <v>247</v>
      </c>
      <c r="V85" s="118"/>
      <c r="W85" s="118"/>
      <c r="X85" s="118"/>
      <c r="Y85" s="118"/>
      <c r="Z85" s="118"/>
      <c r="AA85" s="119"/>
      <c r="AB85" s="1">
        <f t="shared" si="1"/>
        <v>82</v>
      </c>
      <c r="AC85" s="59">
        <v>139</v>
      </c>
      <c r="AE85" s="59">
        <v>90</v>
      </c>
    </row>
    <row r="86" spans="6:31" ht="15" customHeight="1" x14ac:dyDescent="0.25">
      <c r="F86" s="60" t="s">
        <v>14</v>
      </c>
      <c r="G86" s="62" t="s">
        <v>224</v>
      </c>
      <c r="H86" s="60" t="s">
        <v>239</v>
      </c>
      <c r="I86" s="60" t="s">
        <v>240</v>
      </c>
      <c r="J86" s="60" t="s">
        <v>241</v>
      </c>
      <c r="K86" s="60" t="s">
        <v>117</v>
      </c>
      <c r="L86" s="60" t="s">
        <v>242</v>
      </c>
      <c r="M86" s="60" t="s">
        <v>243</v>
      </c>
      <c r="N86" s="62" t="s">
        <v>224</v>
      </c>
      <c r="O86" s="60" t="s">
        <v>239</v>
      </c>
      <c r="P86" s="60" t="s">
        <v>240</v>
      </c>
      <c r="Q86" s="60" t="s">
        <v>241</v>
      </c>
      <c r="R86" s="60" t="s">
        <v>117</v>
      </c>
      <c r="S86" s="60" t="s">
        <v>242</v>
      </c>
      <c r="T86" s="63" t="s">
        <v>243</v>
      </c>
      <c r="U86" s="60" t="s">
        <v>224</v>
      </c>
      <c r="V86" s="60" t="s">
        <v>239</v>
      </c>
      <c r="W86" s="60" t="s">
        <v>240</v>
      </c>
      <c r="X86" s="60" t="s">
        <v>241</v>
      </c>
      <c r="Y86" s="60" t="s">
        <v>117</v>
      </c>
      <c r="Z86" s="60" t="s">
        <v>242</v>
      </c>
      <c r="AA86" s="63" t="s">
        <v>243</v>
      </c>
      <c r="AB86" s="1">
        <f t="shared" si="1"/>
        <v>83</v>
      </c>
      <c r="AC86" s="59">
        <v>140</v>
      </c>
      <c r="AE86" s="59">
        <v>90</v>
      </c>
    </row>
    <row r="87" spans="6:31" ht="15" customHeight="1" x14ac:dyDescent="0.25">
      <c r="F87" s="59">
        <v>0</v>
      </c>
      <c r="G87" s="64">
        <v>12</v>
      </c>
      <c r="H87" s="59">
        <v>12</v>
      </c>
      <c r="I87" s="59">
        <v>13</v>
      </c>
      <c r="J87" s="59">
        <v>13</v>
      </c>
      <c r="K87" s="59">
        <v>13</v>
      </c>
      <c r="L87" s="59">
        <v>13</v>
      </c>
      <c r="M87" s="59">
        <v>13</v>
      </c>
      <c r="N87" s="64">
        <v>13</v>
      </c>
      <c r="O87" s="59">
        <v>13</v>
      </c>
      <c r="P87" s="59">
        <v>13</v>
      </c>
      <c r="Q87" s="59">
        <v>13</v>
      </c>
      <c r="R87" s="59">
        <v>13</v>
      </c>
      <c r="S87" s="59">
        <v>14</v>
      </c>
      <c r="T87" s="65">
        <v>14</v>
      </c>
      <c r="U87" s="59">
        <v>13</v>
      </c>
      <c r="V87" s="59">
        <v>13</v>
      </c>
      <c r="W87" s="59">
        <v>13</v>
      </c>
      <c r="X87" s="59">
        <v>13</v>
      </c>
      <c r="Y87" s="59">
        <v>13</v>
      </c>
      <c r="Z87" s="59">
        <v>13</v>
      </c>
      <c r="AA87" s="65">
        <v>14</v>
      </c>
      <c r="AB87" s="1">
        <f t="shared" si="1"/>
        <v>84</v>
      </c>
      <c r="AC87" s="59">
        <v>142</v>
      </c>
      <c r="AE87" s="59">
        <v>91</v>
      </c>
    </row>
    <row r="88" spans="6:31" x14ac:dyDescent="0.25">
      <c r="F88" s="59">
        <v>1</v>
      </c>
      <c r="G88" s="64">
        <v>10</v>
      </c>
      <c r="H88" s="59">
        <v>10</v>
      </c>
      <c r="I88" s="59">
        <v>10</v>
      </c>
      <c r="J88" s="59">
        <v>10</v>
      </c>
      <c r="K88" s="59">
        <v>10</v>
      </c>
      <c r="L88" s="59">
        <v>10</v>
      </c>
      <c r="M88" s="59">
        <v>10</v>
      </c>
      <c r="N88" s="64">
        <v>12</v>
      </c>
      <c r="O88" s="59">
        <v>12</v>
      </c>
      <c r="P88" s="59">
        <v>12</v>
      </c>
      <c r="Q88" s="59">
        <v>12</v>
      </c>
      <c r="R88" s="59">
        <v>12</v>
      </c>
      <c r="S88" s="59">
        <v>12</v>
      </c>
      <c r="T88" s="65">
        <v>12</v>
      </c>
      <c r="U88" s="59">
        <v>1</v>
      </c>
      <c r="V88" s="59">
        <v>10</v>
      </c>
      <c r="W88" s="59">
        <v>10</v>
      </c>
      <c r="X88" s="59">
        <v>10</v>
      </c>
      <c r="Y88" s="59">
        <v>10</v>
      </c>
      <c r="Z88" s="59">
        <v>10</v>
      </c>
      <c r="AA88" s="65">
        <v>12</v>
      </c>
      <c r="AB88" s="1">
        <f t="shared" si="1"/>
        <v>85</v>
      </c>
      <c r="AC88" s="59">
        <v>143</v>
      </c>
      <c r="AE88" s="59">
        <v>91</v>
      </c>
    </row>
    <row r="89" spans="6:31" x14ac:dyDescent="0.25">
      <c r="F89" s="59">
        <v>2</v>
      </c>
      <c r="G89" s="64">
        <v>7</v>
      </c>
      <c r="H89" s="59">
        <v>8</v>
      </c>
      <c r="I89" s="59">
        <v>8</v>
      </c>
      <c r="J89" s="59">
        <v>8</v>
      </c>
      <c r="K89" s="59">
        <v>9</v>
      </c>
      <c r="L89" s="59">
        <v>8</v>
      </c>
      <c r="M89" s="59">
        <v>8</v>
      </c>
      <c r="N89" s="64">
        <v>10</v>
      </c>
      <c r="O89" s="59">
        <v>10</v>
      </c>
      <c r="P89" s="59">
        <v>10</v>
      </c>
      <c r="Q89" s="59">
        <v>10</v>
      </c>
      <c r="R89" s="59">
        <v>10</v>
      </c>
      <c r="S89" s="59">
        <v>10</v>
      </c>
      <c r="T89" s="65">
        <v>10</v>
      </c>
      <c r="U89" s="59">
        <v>7</v>
      </c>
      <c r="V89" s="59">
        <v>8</v>
      </c>
      <c r="W89" s="59">
        <v>8</v>
      </c>
      <c r="X89" s="59">
        <v>9</v>
      </c>
      <c r="Y89" s="59">
        <v>9</v>
      </c>
      <c r="Z89" s="59">
        <v>9</v>
      </c>
      <c r="AA89" s="65">
        <v>10</v>
      </c>
      <c r="AB89" s="1">
        <f t="shared" si="1"/>
        <v>86</v>
      </c>
      <c r="AC89" s="59">
        <v>144</v>
      </c>
      <c r="AE89" s="59">
        <v>92</v>
      </c>
    </row>
    <row r="90" spans="6:31" x14ac:dyDescent="0.25">
      <c r="F90" s="59">
        <v>3</v>
      </c>
      <c r="G90" s="64">
        <v>6</v>
      </c>
      <c r="H90" s="59">
        <v>7</v>
      </c>
      <c r="I90" s="59">
        <v>7</v>
      </c>
      <c r="J90" s="59">
        <v>7</v>
      </c>
      <c r="K90" s="59">
        <v>8</v>
      </c>
      <c r="L90" s="59">
        <v>7</v>
      </c>
      <c r="M90" s="59">
        <v>7</v>
      </c>
      <c r="N90" s="64">
        <v>8</v>
      </c>
      <c r="O90" s="59">
        <v>8</v>
      </c>
      <c r="P90" s="59">
        <v>9</v>
      </c>
      <c r="Q90" s="59">
        <v>9</v>
      </c>
      <c r="R90" s="59">
        <v>9</v>
      </c>
      <c r="S90" s="59">
        <v>9</v>
      </c>
      <c r="T90" s="65">
        <v>9</v>
      </c>
      <c r="U90" s="59">
        <v>6</v>
      </c>
      <c r="V90" s="59">
        <v>7</v>
      </c>
      <c r="W90" s="59">
        <v>7</v>
      </c>
      <c r="X90" s="59">
        <v>8</v>
      </c>
      <c r="Y90" s="59">
        <v>8</v>
      </c>
      <c r="Z90" s="59">
        <v>8</v>
      </c>
      <c r="AA90" s="65">
        <v>9</v>
      </c>
      <c r="AB90" s="1">
        <f t="shared" si="1"/>
        <v>87</v>
      </c>
      <c r="AC90" s="59">
        <v>146</v>
      </c>
      <c r="AE90" s="59">
        <v>92</v>
      </c>
    </row>
    <row r="91" spans="6:31" x14ac:dyDescent="0.25">
      <c r="F91" s="59">
        <v>4</v>
      </c>
      <c r="G91" s="64">
        <v>5</v>
      </c>
      <c r="H91" s="59">
        <v>6</v>
      </c>
      <c r="I91" s="59">
        <v>6</v>
      </c>
      <c r="J91" s="59">
        <v>6</v>
      </c>
      <c r="K91" s="59">
        <v>7</v>
      </c>
      <c r="L91" s="59">
        <v>6</v>
      </c>
      <c r="M91" s="59">
        <v>6</v>
      </c>
      <c r="N91" s="64">
        <v>7</v>
      </c>
      <c r="O91" s="59">
        <v>7</v>
      </c>
      <c r="P91" s="59">
        <v>8</v>
      </c>
      <c r="Q91" s="59">
        <v>8</v>
      </c>
      <c r="R91" s="59">
        <v>8</v>
      </c>
      <c r="S91" s="59">
        <v>8</v>
      </c>
      <c r="T91" s="65">
        <v>8</v>
      </c>
      <c r="U91" s="59">
        <v>6</v>
      </c>
      <c r="V91" s="59">
        <v>6</v>
      </c>
      <c r="W91" s="59">
        <v>7</v>
      </c>
      <c r="X91" s="59">
        <v>7</v>
      </c>
      <c r="Y91" s="59">
        <v>7</v>
      </c>
      <c r="Z91" s="59">
        <v>8</v>
      </c>
      <c r="AA91" s="65">
        <v>8</v>
      </c>
      <c r="AB91" s="1">
        <f t="shared" si="1"/>
        <v>88</v>
      </c>
      <c r="AC91" s="59">
        <v>147</v>
      </c>
      <c r="AE91" s="59">
        <v>93</v>
      </c>
    </row>
    <row r="92" spans="6:31" x14ac:dyDescent="0.25">
      <c r="F92" s="59">
        <v>5</v>
      </c>
      <c r="G92" s="64">
        <v>4</v>
      </c>
      <c r="H92" s="59">
        <v>5</v>
      </c>
      <c r="I92" s="59">
        <v>5</v>
      </c>
      <c r="J92" s="59">
        <v>5</v>
      </c>
      <c r="K92" s="59">
        <v>6</v>
      </c>
      <c r="L92" s="59">
        <v>5</v>
      </c>
      <c r="M92" s="59">
        <v>5</v>
      </c>
      <c r="N92" s="64">
        <v>6</v>
      </c>
      <c r="O92" s="59">
        <v>6</v>
      </c>
      <c r="P92" s="59">
        <v>7</v>
      </c>
      <c r="Q92" s="59">
        <v>7</v>
      </c>
      <c r="R92" s="59">
        <v>7</v>
      </c>
      <c r="S92" s="59">
        <v>8</v>
      </c>
      <c r="T92" s="65">
        <v>8</v>
      </c>
      <c r="U92" s="59">
        <v>5</v>
      </c>
      <c r="V92" s="59">
        <v>6</v>
      </c>
      <c r="W92" s="59">
        <v>6</v>
      </c>
      <c r="X92" s="59">
        <v>7</v>
      </c>
      <c r="Y92" s="59">
        <v>7</v>
      </c>
      <c r="Z92" s="59">
        <v>7</v>
      </c>
      <c r="AA92" s="65">
        <v>8</v>
      </c>
      <c r="AB92" s="1">
        <f t="shared" si="1"/>
        <v>89</v>
      </c>
      <c r="AC92" s="59">
        <v>148</v>
      </c>
      <c r="AE92" s="59">
        <v>94</v>
      </c>
    </row>
    <row r="93" spans="6:31" x14ac:dyDescent="0.25">
      <c r="F93" s="59">
        <v>6</v>
      </c>
      <c r="G93" s="64">
        <v>4</v>
      </c>
      <c r="H93" s="59">
        <v>4</v>
      </c>
      <c r="I93" s="59">
        <v>4</v>
      </c>
      <c r="J93" s="59">
        <v>4</v>
      </c>
      <c r="K93" s="59">
        <v>5</v>
      </c>
      <c r="L93" s="59">
        <v>5</v>
      </c>
      <c r="M93" s="59">
        <v>5</v>
      </c>
      <c r="N93" s="64">
        <v>5</v>
      </c>
      <c r="O93" s="59">
        <v>6</v>
      </c>
      <c r="P93" s="59">
        <v>6</v>
      </c>
      <c r="Q93" s="59">
        <v>7</v>
      </c>
      <c r="R93" s="59">
        <v>7</v>
      </c>
      <c r="S93" s="59">
        <v>7</v>
      </c>
      <c r="T93" s="65">
        <v>7</v>
      </c>
      <c r="U93" s="59">
        <v>5</v>
      </c>
      <c r="V93" s="59">
        <v>5</v>
      </c>
      <c r="W93" s="59">
        <v>6</v>
      </c>
      <c r="X93" s="59">
        <v>6</v>
      </c>
      <c r="Y93" s="59">
        <v>6</v>
      </c>
      <c r="Z93" s="59">
        <v>7</v>
      </c>
      <c r="AA93" s="65">
        <v>7</v>
      </c>
      <c r="AB93" s="1">
        <f t="shared" si="1"/>
        <v>90</v>
      </c>
      <c r="AC93" s="59">
        <v>150</v>
      </c>
      <c r="AE93" s="59">
        <v>94</v>
      </c>
    </row>
    <row r="94" spans="6:31" x14ac:dyDescent="0.25">
      <c r="F94" s="59">
        <v>7</v>
      </c>
      <c r="G94" s="64">
        <v>3</v>
      </c>
      <c r="H94" s="59">
        <v>4</v>
      </c>
      <c r="I94" s="59">
        <v>4</v>
      </c>
      <c r="J94" s="59">
        <v>4</v>
      </c>
      <c r="K94" s="59">
        <v>4</v>
      </c>
      <c r="L94" s="59">
        <v>4</v>
      </c>
      <c r="M94" s="59">
        <v>4</v>
      </c>
      <c r="N94" s="64">
        <v>5</v>
      </c>
      <c r="O94" s="59">
        <v>5</v>
      </c>
      <c r="P94" s="59">
        <v>6</v>
      </c>
      <c r="Q94" s="59">
        <v>6</v>
      </c>
      <c r="R94" s="59">
        <v>6</v>
      </c>
      <c r="S94" s="59">
        <v>6</v>
      </c>
      <c r="T94" s="65">
        <v>7</v>
      </c>
      <c r="U94" s="59">
        <v>4</v>
      </c>
      <c r="V94" s="59">
        <v>5</v>
      </c>
      <c r="W94" s="59">
        <v>5</v>
      </c>
      <c r="X94" s="59">
        <v>6</v>
      </c>
      <c r="Y94" s="59">
        <v>6</v>
      </c>
      <c r="Z94" s="59">
        <v>6</v>
      </c>
      <c r="AA94" s="65">
        <v>7</v>
      </c>
      <c r="AB94" s="1">
        <f t="shared" si="1"/>
        <v>91</v>
      </c>
      <c r="AC94" s="59">
        <v>151</v>
      </c>
      <c r="AE94" s="59">
        <v>95</v>
      </c>
    </row>
    <row r="95" spans="6:31" x14ac:dyDescent="0.25">
      <c r="F95" s="59">
        <v>8</v>
      </c>
      <c r="G95" s="64">
        <v>3</v>
      </c>
      <c r="H95" s="59">
        <v>3</v>
      </c>
      <c r="I95" s="59">
        <v>3</v>
      </c>
      <c r="J95" s="59">
        <v>3</v>
      </c>
      <c r="K95" s="59">
        <v>4</v>
      </c>
      <c r="L95" s="59">
        <v>4</v>
      </c>
      <c r="M95" s="59">
        <v>4</v>
      </c>
      <c r="N95" s="64">
        <v>4</v>
      </c>
      <c r="O95" s="59">
        <v>5</v>
      </c>
      <c r="P95" s="59">
        <v>5</v>
      </c>
      <c r="Q95" s="59">
        <v>5</v>
      </c>
      <c r="R95" s="59">
        <v>6</v>
      </c>
      <c r="S95" s="59">
        <v>6</v>
      </c>
      <c r="T95" s="65">
        <v>6</v>
      </c>
      <c r="U95" s="59">
        <v>4</v>
      </c>
      <c r="V95" s="59">
        <v>4</v>
      </c>
      <c r="W95" s="59">
        <v>5</v>
      </c>
      <c r="X95" s="59">
        <v>5</v>
      </c>
      <c r="Y95" s="59">
        <v>6</v>
      </c>
      <c r="Z95" s="59">
        <v>6</v>
      </c>
      <c r="AA95" s="65">
        <v>6</v>
      </c>
      <c r="AB95" s="1">
        <f t="shared" si="1"/>
        <v>92</v>
      </c>
      <c r="AC95" s="59">
        <v>152</v>
      </c>
      <c r="AE95" s="59">
        <v>95</v>
      </c>
    </row>
    <row r="96" spans="6:31" x14ac:dyDescent="0.25">
      <c r="F96" s="59">
        <v>9</v>
      </c>
      <c r="G96" s="64">
        <v>2</v>
      </c>
      <c r="H96" s="59">
        <v>3</v>
      </c>
      <c r="I96" s="59">
        <v>3</v>
      </c>
      <c r="J96" s="59">
        <v>3</v>
      </c>
      <c r="K96" s="59">
        <v>3</v>
      </c>
      <c r="L96" s="59">
        <v>3</v>
      </c>
      <c r="M96" s="59">
        <v>3</v>
      </c>
      <c r="N96" s="64">
        <v>4</v>
      </c>
      <c r="O96" s="59">
        <v>4</v>
      </c>
      <c r="P96" s="59">
        <v>5</v>
      </c>
      <c r="Q96" s="59">
        <v>5</v>
      </c>
      <c r="R96" s="59">
        <v>5</v>
      </c>
      <c r="S96" s="59">
        <v>5</v>
      </c>
      <c r="T96" s="65">
        <v>6</v>
      </c>
      <c r="U96" s="59">
        <v>3</v>
      </c>
      <c r="V96" s="59">
        <v>4</v>
      </c>
      <c r="W96" s="59">
        <v>4</v>
      </c>
      <c r="X96" s="59">
        <v>5</v>
      </c>
      <c r="Y96" s="59">
        <v>5</v>
      </c>
      <c r="Z96" s="59">
        <v>6</v>
      </c>
      <c r="AA96" s="65">
        <v>6</v>
      </c>
      <c r="AB96" s="1">
        <f t="shared" si="1"/>
        <v>93</v>
      </c>
      <c r="AC96" s="59">
        <v>154</v>
      </c>
      <c r="AE96" s="59">
        <v>96</v>
      </c>
    </row>
    <row r="97" spans="6:31" x14ac:dyDescent="0.25">
      <c r="F97" s="59">
        <v>10</v>
      </c>
      <c r="G97" s="64">
        <v>2</v>
      </c>
      <c r="H97" s="59">
        <v>2</v>
      </c>
      <c r="I97" s="59">
        <v>2</v>
      </c>
      <c r="J97" s="59">
        <v>2</v>
      </c>
      <c r="K97" s="59">
        <v>3</v>
      </c>
      <c r="L97" s="59">
        <v>3</v>
      </c>
      <c r="M97" s="59">
        <v>3</v>
      </c>
      <c r="N97" s="64">
        <v>4</v>
      </c>
      <c r="O97" s="59">
        <v>4</v>
      </c>
      <c r="P97" s="59">
        <v>4</v>
      </c>
      <c r="Q97" s="59">
        <v>4</v>
      </c>
      <c r="R97" s="59">
        <v>5</v>
      </c>
      <c r="S97" s="59">
        <v>5</v>
      </c>
      <c r="T97" s="65">
        <v>5</v>
      </c>
      <c r="U97" s="59">
        <v>3</v>
      </c>
      <c r="V97" s="59">
        <v>4</v>
      </c>
      <c r="W97" s="59">
        <v>4</v>
      </c>
      <c r="X97" s="59">
        <v>4</v>
      </c>
      <c r="Y97" s="59">
        <v>5</v>
      </c>
      <c r="Z97" s="59">
        <v>5</v>
      </c>
      <c r="AA97" s="65">
        <v>6</v>
      </c>
      <c r="AB97" s="1">
        <f t="shared" si="1"/>
        <v>94</v>
      </c>
      <c r="AC97" s="59">
        <v>155</v>
      </c>
      <c r="AE97" s="59">
        <v>96</v>
      </c>
    </row>
    <row r="98" spans="6:31" x14ac:dyDescent="0.25">
      <c r="F98" s="59">
        <v>11</v>
      </c>
      <c r="G98" s="64">
        <v>1</v>
      </c>
      <c r="H98" s="59">
        <v>2</v>
      </c>
      <c r="I98" s="59">
        <v>2</v>
      </c>
      <c r="J98" s="59">
        <v>2</v>
      </c>
      <c r="K98" s="59">
        <v>2</v>
      </c>
      <c r="L98" s="59">
        <v>2</v>
      </c>
      <c r="M98" s="59">
        <v>2</v>
      </c>
      <c r="N98" s="64">
        <v>3</v>
      </c>
      <c r="O98" s="59">
        <v>4</v>
      </c>
      <c r="P98" s="59">
        <v>4</v>
      </c>
      <c r="Q98" s="59">
        <v>4</v>
      </c>
      <c r="R98" s="59">
        <v>4</v>
      </c>
      <c r="S98" s="59">
        <v>4</v>
      </c>
      <c r="T98" s="65">
        <v>5</v>
      </c>
      <c r="U98" s="59">
        <v>2</v>
      </c>
      <c r="V98" s="59">
        <v>3</v>
      </c>
      <c r="W98" s="59">
        <v>4</v>
      </c>
      <c r="X98" s="59">
        <v>4</v>
      </c>
      <c r="Y98" s="59">
        <v>4</v>
      </c>
      <c r="Z98" s="59">
        <v>5</v>
      </c>
      <c r="AA98" s="65">
        <v>5</v>
      </c>
      <c r="AB98" s="1">
        <f t="shared" si="1"/>
        <v>95</v>
      </c>
      <c r="AC98" s="59">
        <v>155</v>
      </c>
      <c r="AE98" s="59">
        <v>97</v>
      </c>
    </row>
    <row r="99" spans="6:31" x14ac:dyDescent="0.25">
      <c r="F99" s="59">
        <v>12</v>
      </c>
      <c r="G99" s="64">
        <v>1</v>
      </c>
      <c r="H99" s="59">
        <v>1</v>
      </c>
      <c r="I99" s="59">
        <v>1</v>
      </c>
      <c r="J99" s="59">
        <v>1</v>
      </c>
      <c r="K99" s="59">
        <v>2</v>
      </c>
      <c r="L99" s="59">
        <v>2</v>
      </c>
      <c r="M99" s="59">
        <v>2</v>
      </c>
      <c r="N99" s="64">
        <v>3</v>
      </c>
      <c r="O99" s="59">
        <v>3</v>
      </c>
      <c r="P99" s="59">
        <v>3</v>
      </c>
      <c r="Q99" s="59">
        <v>4</v>
      </c>
      <c r="R99" s="59">
        <v>4</v>
      </c>
      <c r="S99" s="59">
        <v>4</v>
      </c>
      <c r="T99" s="65">
        <v>4</v>
      </c>
      <c r="U99" s="59">
        <v>2</v>
      </c>
      <c r="V99" s="59">
        <v>3</v>
      </c>
      <c r="W99" s="59">
        <v>3</v>
      </c>
      <c r="X99" s="59">
        <v>4</v>
      </c>
      <c r="Y99" s="59">
        <v>4</v>
      </c>
      <c r="Z99" s="59">
        <v>4</v>
      </c>
      <c r="AA99" s="65">
        <v>5</v>
      </c>
      <c r="AB99" s="1">
        <f t="shared" si="1"/>
        <v>96</v>
      </c>
      <c r="AE99" s="59">
        <v>98</v>
      </c>
    </row>
    <row r="100" spans="6:31" x14ac:dyDescent="0.25">
      <c r="F100" s="59">
        <v>13</v>
      </c>
      <c r="G100" s="64">
        <v>1</v>
      </c>
      <c r="H100" s="59">
        <v>1</v>
      </c>
      <c r="I100" s="59">
        <v>1</v>
      </c>
      <c r="J100" s="59">
        <v>1</v>
      </c>
      <c r="K100" s="59">
        <v>1</v>
      </c>
      <c r="L100" s="59">
        <v>1</v>
      </c>
      <c r="M100" s="59">
        <v>1</v>
      </c>
      <c r="N100" s="64">
        <v>2</v>
      </c>
      <c r="O100" s="59">
        <v>3</v>
      </c>
      <c r="P100" s="59">
        <v>3</v>
      </c>
      <c r="Q100" s="59">
        <v>3</v>
      </c>
      <c r="R100" s="59">
        <v>4</v>
      </c>
      <c r="S100" s="59">
        <v>4</v>
      </c>
      <c r="T100" s="65">
        <v>4</v>
      </c>
      <c r="U100" s="59">
        <v>2</v>
      </c>
      <c r="V100" s="59">
        <v>2</v>
      </c>
      <c r="W100" s="59">
        <v>3</v>
      </c>
      <c r="X100" s="59">
        <v>3</v>
      </c>
      <c r="Y100" s="59">
        <v>4</v>
      </c>
      <c r="Z100" s="59">
        <v>4</v>
      </c>
      <c r="AA100" s="65">
        <v>4</v>
      </c>
      <c r="AB100" s="1">
        <f t="shared" si="1"/>
        <v>97</v>
      </c>
      <c r="AE100" s="59">
        <v>98</v>
      </c>
    </row>
    <row r="101" spans="6:31" x14ac:dyDescent="0.25">
      <c r="F101" s="59">
        <v>14</v>
      </c>
      <c r="G101" s="64">
        <v>1</v>
      </c>
      <c r="H101" s="59">
        <v>1</v>
      </c>
      <c r="I101" s="59">
        <v>1</v>
      </c>
      <c r="J101" s="59">
        <v>1</v>
      </c>
      <c r="K101" s="59">
        <v>1</v>
      </c>
      <c r="L101" s="59">
        <v>1</v>
      </c>
      <c r="M101" s="59">
        <v>1</v>
      </c>
      <c r="N101" s="64">
        <v>2</v>
      </c>
      <c r="O101" s="59">
        <v>2</v>
      </c>
      <c r="P101" s="59">
        <v>2</v>
      </c>
      <c r="Q101" s="59">
        <v>3</v>
      </c>
      <c r="R101" s="59">
        <v>3</v>
      </c>
      <c r="S101" s="59">
        <v>3</v>
      </c>
      <c r="T101" s="65">
        <v>4</v>
      </c>
      <c r="U101" s="59">
        <v>1</v>
      </c>
      <c r="V101" s="59">
        <v>2</v>
      </c>
      <c r="W101" s="59">
        <v>2</v>
      </c>
      <c r="X101" s="59">
        <v>3</v>
      </c>
      <c r="Y101" s="59">
        <v>3</v>
      </c>
      <c r="Z101" s="59">
        <v>4</v>
      </c>
      <c r="AA101" s="65">
        <v>4</v>
      </c>
      <c r="AB101" s="1">
        <f t="shared" si="1"/>
        <v>98</v>
      </c>
      <c r="AE101" s="59">
        <v>99</v>
      </c>
    </row>
    <row r="102" spans="6:31" x14ac:dyDescent="0.25">
      <c r="F102" s="59">
        <v>15</v>
      </c>
      <c r="G102" s="64">
        <v>1</v>
      </c>
      <c r="H102" s="59">
        <v>1</v>
      </c>
      <c r="I102" s="59">
        <v>1</v>
      </c>
      <c r="J102" s="59">
        <v>1</v>
      </c>
      <c r="K102" s="59">
        <v>1</v>
      </c>
      <c r="L102" s="59">
        <v>1</v>
      </c>
      <c r="M102" s="59">
        <v>1</v>
      </c>
      <c r="N102" s="64">
        <v>2</v>
      </c>
      <c r="O102" s="59">
        <v>2</v>
      </c>
      <c r="P102" s="59">
        <v>2</v>
      </c>
      <c r="Q102" s="59">
        <v>2</v>
      </c>
      <c r="R102" s="59">
        <v>3</v>
      </c>
      <c r="S102" s="59">
        <v>3</v>
      </c>
      <c r="T102" s="65">
        <v>3</v>
      </c>
      <c r="U102" s="59">
        <v>1</v>
      </c>
      <c r="V102" s="59">
        <v>2</v>
      </c>
      <c r="W102" s="59">
        <v>2</v>
      </c>
      <c r="X102" s="59">
        <v>2</v>
      </c>
      <c r="Y102" s="59">
        <v>3</v>
      </c>
      <c r="Z102" s="59">
        <v>3</v>
      </c>
      <c r="AA102" s="65">
        <v>4</v>
      </c>
      <c r="AB102" s="1">
        <f t="shared" si="1"/>
        <v>99</v>
      </c>
      <c r="AE102" s="59">
        <v>99</v>
      </c>
    </row>
    <row r="103" spans="6:31" x14ac:dyDescent="0.25">
      <c r="F103" s="59">
        <v>16</v>
      </c>
      <c r="G103" s="64">
        <v>1</v>
      </c>
      <c r="H103" s="59">
        <v>1</v>
      </c>
      <c r="I103" s="59">
        <v>1</v>
      </c>
      <c r="J103" s="59">
        <v>1</v>
      </c>
      <c r="K103" s="59">
        <v>1</v>
      </c>
      <c r="L103" s="59">
        <v>1</v>
      </c>
      <c r="M103" s="59">
        <v>1</v>
      </c>
      <c r="N103" s="64">
        <v>1</v>
      </c>
      <c r="O103" s="59">
        <v>2</v>
      </c>
      <c r="P103" s="59">
        <v>2</v>
      </c>
      <c r="Q103" s="59">
        <v>2</v>
      </c>
      <c r="R103" s="59">
        <v>2</v>
      </c>
      <c r="S103" s="59">
        <v>2</v>
      </c>
      <c r="T103" s="65">
        <v>3</v>
      </c>
      <c r="U103" s="59">
        <v>1</v>
      </c>
      <c r="V103" s="59">
        <v>1</v>
      </c>
      <c r="W103" s="59">
        <v>2</v>
      </c>
      <c r="X103" s="59">
        <v>2</v>
      </c>
      <c r="Y103" s="59">
        <v>2</v>
      </c>
      <c r="Z103" s="59">
        <v>3</v>
      </c>
      <c r="AA103" s="65">
        <v>3</v>
      </c>
      <c r="AB103" s="1">
        <f t="shared" si="1"/>
        <v>100</v>
      </c>
      <c r="AE103" s="59">
        <v>100</v>
      </c>
    </row>
    <row r="104" spans="6:31" x14ac:dyDescent="0.25">
      <c r="F104" s="59">
        <v>17</v>
      </c>
      <c r="G104" s="64">
        <v>1</v>
      </c>
      <c r="H104" s="59">
        <v>1</v>
      </c>
      <c r="I104" s="59">
        <v>1</v>
      </c>
      <c r="J104" s="59">
        <v>1</v>
      </c>
      <c r="K104" s="59">
        <v>1</v>
      </c>
      <c r="L104" s="59">
        <v>1</v>
      </c>
      <c r="M104" s="59">
        <v>1</v>
      </c>
      <c r="N104" s="64">
        <v>1</v>
      </c>
      <c r="O104" s="59">
        <v>1</v>
      </c>
      <c r="P104" s="59">
        <v>1</v>
      </c>
      <c r="Q104" s="59">
        <v>2</v>
      </c>
      <c r="R104" s="59">
        <v>2</v>
      </c>
      <c r="S104" s="59">
        <v>2</v>
      </c>
      <c r="T104" s="65">
        <v>2</v>
      </c>
      <c r="U104" s="59">
        <v>1</v>
      </c>
      <c r="V104" s="59">
        <v>1</v>
      </c>
      <c r="W104" s="59">
        <v>1</v>
      </c>
      <c r="X104" s="59">
        <v>2</v>
      </c>
      <c r="Y104" s="59">
        <v>2</v>
      </c>
      <c r="Z104" s="59">
        <v>2</v>
      </c>
      <c r="AA104" s="65">
        <v>3</v>
      </c>
      <c r="AB104" s="1">
        <f t="shared" si="1"/>
        <v>101</v>
      </c>
      <c r="AE104" s="59">
        <v>100</v>
      </c>
    </row>
    <row r="105" spans="6:31" x14ac:dyDescent="0.25">
      <c r="F105" s="59">
        <v>18</v>
      </c>
      <c r="G105" s="64">
        <v>1</v>
      </c>
      <c r="H105" s="59">
        <v>1</v>
      </c>
      <c r="I105" s="59">
        <v>1</v>
      </c>
      <c r="J105" s="59">
        <v>1</v>
      </c>
      <c r="K105" s="59">
        <v>1</v>
      </c>
      <c r="L105" s="59">
        <v>1</v>
      </c>
      <c r="M105" s="59">
        <v>1</v>
      </c>
      <c r="N105" s="64">
        <v>1</v>
      </c>
      <c r="O105" s="59">
        <v>1</v>
      </c>
      <c r="P105" s="59">
        <v>1</v>
      </c>
      <c r="Q105" s="59">
        <v>1</v>
      </c>
      <c r="R105" s="59">
        <v>2</v>
      </c>
      <c r="S105" s="59">
        <v>2</v>
      </c>
      <c r="T105" s="65">
        <v>2</v>
      </c>
      <c r="U105" s="59">
        <v>1</v>
      </c>
      <c r="V105" s="59">
        <v>1</v>
      </c>
      <c r="W105" s="59">
        <v>1</v>
      </c>
      <c r="X105" s="59">
        <v>1</v>
      </c>
      <c r="Y105" s="59">
        <v>2</v>
      </c>
      <c r="Z105" s="59">
        <v>2</v>
      </c>
      <c r="AA105" s="65">
        <v>2</v>
      </c>
      <c r="AB105" s="1">
        <f t="shared" si="1"/>
        <v>102</v>
      </c>
      <c r="AE105" s="59">
        <v>101</v>
      </c>
    </row>
    <row r="106" spans="6:31" x14ac:dyDescent="0.25">
      <c r="F106" s="59">
        <v>19</v>
      </c>
      <c r="G106" s="64">
        <v>1</v>
      </c>
      <c r="H106" s="59">
        <v>1</v>
      </c>
      <c r="I106" s="59">
        <v>1</v>
      </c>
      <c r="J106" s="59">
        <v>1</v>
      </c>
      <c r="K106" s="59">
        <v>1</v>
      </c>
      <c r="L106" s="59">
        <v>1</v>
      </c>
      <c r="M106" s="59">
        <v>1</v>
      </c>
      <c r="N106" s="64">
        <v>1</v>
      </c>
      <c r="O106" s="59">
        <v>1</v>
      </c>
      <c r="P106" s="59">
        <v>1</v>
      </c>
      <c r="Q106" s="59">
        <v>1</v>
      </c>
      <c r="R106" s="59">
        <v>1</v>
      </c>
      <c r="S106" s="59">
        <v>1</v>
      </c>
      <c r="T106" s="65">
        <v>2</v>
      </c>
      <c r="U106" s="59">
        <v>1</v>
      </c>
      <c r="V106" s="59">
        <v>1</v>
      </c>
      <c r="W106" s="59">
        <v>1</v>
      </c>
      <c r="X106" s="59">
        <v>1</v>
      </c>
      <c r="Y106" s="59">
        <v>1</v>
      </c>
      <c r="Z106" s="59">
        <v>2</v>
      </c>
      <c r="AA106" s="65">
        <v>2</v>
      </c>
      <c r="AB106" s="1">
        <f t="shared" si="1"/>
        <v>103</v>
      </c>
      <c r="AE106" s="59">
        <v>101</v>
      </c>
    </row>
    <row r="107" spans="6:31" x14ac:dyDescent="0.25">
      <c r="F107" s="59">
        <v>20</v>
      </c>
      <c r="G107" s="64">
        <v>1</v>
      </c>
      <c r="H107" s="59">
        <v>1</v>
      </c>
      <c r="I107" s="59">
        <v>1</v>
      </c>
      <c r="J107" s="59">
        <v>1</v>
      </c>
      <c r="K107" s="59">
        <v>1</v>
      </c>
      <c r="L107" s="59">
        <v>1</v>
      </c>
      <c r="M107" s="59">
        <v>1</v>
      </c>
      <c r="N107" s="64">
        <v>1</v>
      </c>
      <c r="O107" s="59">
        <v>1</v>
      </c>
      <c r="P107" s="59">
        <v>1</v>
      </c>
      <c r="Q107" s="59">
        <v>1</v>
      </c>
      <c r="R107" s="59">
        <v>1</v>
      </c>
      <c r="S107" s="59">
        <v>1</v>
      </c>
      <c r="T107" s="65">
        <v>1</v>
      </c>
      <c r="U107" s="59">
        <v>1</v>
      </c>
      <c r="V107" s="59">
        <v>1</v>
      </c>
      <c r="W107" s="59">
        <v>1</v>
      </c>
      <c r="X107" s="59">
        <v>1</v>
      </c>
      <c r="Y107" s="59">
        <v>1</v>
      </c>
      <c r="Z107" s="59">
        <v>1</v>
      </c>
      <c r="AA107" s="65">
        <v>2</v>
      </c>
      <c r="AB107" s="1">
        <f t="shared" si="1"/>
        <v>104</v>
      </c>
      <c r="AE107" s="59">
        <v>102</v>
      </c>
    </row>
    <row r="108" spans="6:31" x14ac:dyDescent="0.25">
      <c r="F108" s="59">
        <v>21</v>
      </c>
      <c r="G108" s="64">
        <v>1</v>
      </c>
      <c r="H108" s="59">
        <v>1</v>
      </c>
      <c r="I108" s="59">
        <v>1</v>
      </c>
      <c r="J108" s="59">
        <v>1</v>
      </c>
      <c r="K108" s="59">
        <v>1</v>
      </c>
      <c r="L108" s="59">
        <v>1</v>
      </c>
      <c r="M108" s="59">
        <v>1</v>
      </c>
      <c r="N108" s="64">
        <v>1</v>
      </c>
      <c r="O108" s="59">
        <v>1</v>
      </c>
      <c r="P108" s="59">
        <v>1</v>
      </c>
      <c r="Q108" s="59">
        <v>1</v>
      </c>
      <c r="R108" s="59">
        <v>1</v>
      </c>
      <c r="S108" s="59">
        <v>1</v>
      </c>
      <c r="T108" s="65">
        <v>1</v>
      </c>
      <c r="U108" s="59">
        <v>1</v>
      </c>
      <c r="V108" s="59">
        <v>1</v>
      </c>
      <c r="W108" s="59">
        <v>1</v>
      </c>
      <c r="X108" s="59">
        <v>1</v>
      </c>
      <c r="Y108" s="59">
        <v>1</v>
      </c>
      <c r="Z108" s="59">
        <v>1</v>
      </c>
      <c r="AA108" s="65">
        <v>1</v>
      </c>
      <c r="AB108" s="1">
        <f t="shared" si="1"/>
        <v>105</v>
      </c>
      <c r="AE108" s="59">
        <v>103</v>
      </c>
    </row>
    <row r="109" spans="6:31" x14ac:dyDescent="0.25">
      <c r="F109" s="59">
        <v>22</v>
      </c>
      <c r="G109" s="64">
        <v>1</v>
      </c>
      <c r="H109" s="59">
        <v>1</v>
      </c>
      <c r="I109" s="59">
        <v>1</v>
      </c>
      <c r="J109" s="59">
        <v>1</v>
      </c>
      <c r="K109" s="59">
        <v>1</v>
      </c>
      <c r="L109" s="59">
        <v>1</v>
      </c>
      <c r="M109" s="59">
        <v>1</v>
      </c>
      <c r="N109" s="64">
        <v>1</v>
      </c>
      <c r="O109" s="59">
        <v>1</v>
      </c>
      <c r="P109" s="59">
        <v>1</v>
      </c>
      <c r="Q109" s="59">
        <v>1</v>
      </c>
      <c r="R109" s="59">
        <v>1</v>
      </c>
      <c r="S109" s="59">
        <v>1</v>
      </c>
      <c r="T109" s="65">
        <v>1</v>
      </c>
      <c r="U109" s="59">
        <v>1</v>
      </c>
      <c r="V109" s="59">
        <v>1</v>
      </c>
      <c r="W109" s="59">
        <v>1</v>
      </c>
      <c r="X109" s="59">
        <v>1</v>
      </c>
      <c r="Y109" s="59">
        <v>1</v>
      </c>
      <c r="Z109" s="59">
        <v>1</v>
      </c>
      <c r="AA109" s="65">
        <v>1</v>
      </c>
      <c r="AB109" s="1">
        <f t="shared" si="1"/>
        <v>106</v>
      </c>
      <c r="AE109" s="59">
        <v>103</v>
      </c>
    </row>
    <row r="110" spans="6:31" x14ac:dyDescent="0.25">
      <c r="F110" s="59">
        <v>23</v>
      </c>
      <c r="G110" s="64">
        <v>1</v>
      </c>
      <c r="H110" s="59">
        <v>1</v>
      </c>
      <c r="I110" s="59">
        <v>1</v>
      </c>
      <c r="J110" s="59">
        <v>1</v>
      </c>
      <c r="K110" s="59">
        <v>1</v>
      </c>
      <c r="L110" s="59">
        <v>1</v>
      </c>
      <c r="M110" s="59">
        <v>1</v>
      </c>
      <c r="N110" s="64">
        <v>1</v>
      </c>
      <c r="O110" s="59">
        <v>1</v>
      </c>
      <c r="P110" s="59">
        <v>1</v>
      </c>
      <c r="Q110" s="59">
        <v>1</v>
      </c>
      <c r="R110" s="59">
        <v>1</v>
      </c>
      <c r="S110" s="59">
        <v>1</v>
      </c>
      <c r="T110" s="65">
        <v>1</v>
      </c>
      <c r="U110" s="59">
        <v>1</v>
      </c>
      <c r="V110" s="59">
        <v>1</v>
      </c>
      <c r="W110" s="59">
        <v>1</v>
      </c>
      <c r="X110" s="59">
        <v>1</v>
      </c>
      <c r="Y110" s="59">
        <v>1</v>
      </c>
      <c r="Z110" s="59">
        <v>1</v>
      </c>
      <c r="AA110" s="65">
        <v>1</v>
      </c>
      <c r="AB110" s="1">
        <f t="shared" si="1"/>
        <v>107</v>
      </c>
      <c r="AE110" s="59">
        <v>104</v>
      </c>
    </row>
    <row r="111" spans="6:31" x14ac:dyDescent="0.25">
      <c r="F111" s="59">
        <v>24</v>
      </c>
      <c r="G111" s="64">
        <v>1</v>
      </c>
      <c r="H111" s="59">
        <v>1</v>
      </c>
      <c r="I111" s="59">
        <v>1</v>
      </c>
      <c r="J111" s="59">
        <v>1</v>
      </c>
      <c r="K111" s="59">
        <v>1</v>
      </c>
      <c r="L111" s="59">
        <v>1</v>
      </c>
      <c r="M111" s="59">
        <v>1</v>
      </c>
      <c r="N111" s="64">
        <v>1</v>
      </c>
      <c r="O111" s="59">
        <v>1</v>
      </c>
      <c r="P111" s="59">
        <v>1</v>
      </c>
      <c r="Q111" s="59">
        <v>1</v>
      </c>
      <c r="R111" s="59">
        <v>1</v>
      </c>
      <c r="S111" s="59">
        <v>1</v>
      </c>
      <c r="T111" s="65">
        <v>1</v>
      </c>
      <c r="U111" s="59">
        <v>1</v>
      </c>
      <c r="V111" s="59">
        <v>1</v>
      </c>
      <c r="W111" s="59">
        <v>1</v>
      </c>
      <c r="X111" s="59">
        <v>1</v>
      </c>
      <c r="Y111" s="59">
        <v>1</v>
      </c>
      <c r="Z111" s="59">
        <v>1</v>
      </c>
      <c r="AA111" s="65">
        <v>1</v>
      </c>
      <c r="AB111" s="1">
        <f t="shared" si="1"/>
        <v>108</v>
      </c>
      <c r="AE111" s="59">
        <v>104</v>
      </c>
    </row>
    <row r="112" spans="6:31" x14ac:dyDescent="0.25">
      <c r="F112" s="59">
        <v>25</v>
      </c>
      <c r="G112" s="64">
        <v>1</v>
      </c>
      <c r="H112" s="59">
        <v>1</v>
      </c>
      <c r="I112" s="59">
        <v>1</v>
      </c>
      <c r="J112" s="59">
        <v>1</v>
      </c>
      <c r="K112" s="59">
        <v>1</v>
      </c>
      <c r="L112" s="59">
        <v>1</v>
      </c>
      <c r="M112" s="59">
        <v>1</v>
      </c>
      <c r="N112" s="64">
        <v>1</v>
      </c>
      <c r="O112" s="59">
        <v>1</v>
      </c>
      <c r="P112" s="59">
        <v>1</v>
      </c>
      <c r="Q112" s="59">
        <v>1</v>
      </c>
      <c r="R112" s="59">
        <v>1</v>
      </c>
      <c r="S112" s="59">
        <v>1</v>
      </c>
      <c r="T112" s="65">
        <v>1</v>
      </c>
      <c r="U112" s="59">
        <v>1</v>
      </c>
      <c r="V112" s="59">
        <v>1</v>
      </c>
      <c r="W112" s="59">
        <v>1</v>
      </c>
      <c r="X112" s="59">
        <v>1</v>
      </c>
      <c r="Y112" s="59">
        <v>1</v>
      </c>
      <c r="Z112" s="59">
        <v>1</v>
      </c>
      <c r="AA112" s="65">
        <v>1</v>
      </c>
      <c r="AB112" s="1">
        <f t="shared" si="1"/>
        <v>109</v>
      </c>
      <c r="AE112" s="59">
        <v>105</v>
      </c>
    </row>
    <row r="113" spans="6:31" x14ac:dyDescent="0.25">
      <c r="F113" s="59">
        <v>26</v>
      </c>
      <c r="G113" s="64">
        <v>1</v>
      </c>
      <c r="H113" s="59">
        <v>1</v>
      </c>
      <c r="I113" s="59">
        <v>1</v>
      </c>
      <c r="J113" s="59">
        <v>1</v>
      </c>
      <c r="K113" s="59">
        <v>1</v>
      </c>
      <c r="L113" s="59">
        <v>1</v>
      </c>
      <c r="M113" s="59">
        <v>1</v>
      </c>
      <c r="N113" s="64">
        <v>1</v>
      </c>
      <c r="O113" s="59">
        <v>1</v>
      </c>
      <c r="P113" s="59">
        <v>1</v>
      </c>
      <c r="Q113" s="59">
        <v>1</v>
      </c>
      <c r="R113" s="59">
        <v>1</v>
      </c>
      <c r="S113" s="59">
        <v>1</v>
      </c>
      <c r="T113" s="65">
        <v>1</v>
      </c>
      <c r="U113" s="59">
        <v>1</v>
      </c>
      <c r="V113" s="59">
        <v>1</v>
      </c>
      <c r="W113" s="59">
        <v>1</v>
      </c>
      <c r="X113" s="59">
        <v>1</v>
      </c>
      <c r="Y113" s="59">
        <v>1</v>
      </c>
      <c r="Z113" s="59">
        <v>1</v>
      </c>
      <c r="AA113" s="65">
        <v>1</v>
      </c>
      <c r="AB113" s="1">
        <f t="shared" si="1"/>
        <v>110</v>
      </c>
      <c r="AE113" s="59">
        <v>106</v>
      </c>
    </row>
    <row r="114" spans="6:31" x14ac:dyDescent="0.25">
      <c r="F114" s="59">
        <v>27</v>
      </c>
      <c r="G114" s="64">
        <v>1</v>
      </c>
      <c r="H114" s="59">
        <v>1</v>
      </c>
      <c r="I114" s="59">
        <v>1</v>
      </c>
      <c r="J114" s="59">
        <v>1</v>
      </c>
      <c r="K114" s="59">
        <v>1</v>
      </c>
      <c r="L114" s="59">
        <v>1</v>
      </c>
      <c r="M114" s="59">
        <v>1</v>
      </c>
      <c r="N114" s="64">
        <v>1</v>
      </c>
      <c r="O114" s="59">
        <v>1</v>
      </c>
      <c r="P114" s="59">
        <v>1</v>
      </c>
      <c r="Q114" s="59">
        <v>1</v>
      </c>
      <c r="R114" s="59">
        <v>1</v>
      </c>
      <c r="S114" s="59">
        <v>1</v>
      </c>
      <c r="T114" s="65">
        <v>1</v>
      </c>
      <c r="U114" s="59">
        <v>1</v>
      </c>
      <c r="V114" s="59">
        <v>1</v>
      </c>
      <c r="W114" s="59">
        <v>1</v>
      </c>
      <c r="X114" s="59">
        <v>1</v>
      </c>
      <c r="Y114" s="59">
        <v>1</v>
      </c>
      <c r="Z114" s="59">
        <v>1</v>
      </c>
      <c r="AA114" s="65">
        <v>1</v>
      </c>
      <c r="AB114" s="1">
        <f t="shared" si="1"/>
        <v>111</v>
      </c>
      <c r="AE114" s="59">
        <v>106</v>
      </c>
    </row>
    <row r="115" spans="6:31" x14ac:dyDescent="0.25">
      <c r="F115" s="59">
        <v>28</v>
      </c>
      <c r="G115" s="64">
        <v>1</v>
      </c>
      <c r="H115" s="59">
        <v>1</v>
      </c>
      <c r="I115" s="59">
        <v>1</v>
      </c>
      <c r="J115" s="59">
        <v>1</v>
      </c>
      <c r="K115" s="59">
        <v>1</v>
      </c>
      <c r="L115" s="59">
        <v>1</v>
      </c>
      <c r="M115" s="59">
        <v>1</v>
      </c>
      <c r="N115" s="64">
        <v>1</v>
      </c>
      <c r="O115" s="59">
        <v>1</v>
      </c>
      <c r="P115" s="59">
        <v>1</v>
      </c>
      <c r="Q115" s="59">
        <v>1</v>
      </c>
      <c r="R115" s="59">
        <v>1</v>
      </c>
      <c r="S115" s="59">
        <v>1</v>
      </c>
      <c r="T115" s="65">
        <v>1</v>
      </c>
      <c r="U115" s="59">
        <v>1</v>
      </c>
      <c r="V115" s="59">
        <v>1</v>
      </c>
      <c r="W115" s="59">
        <v>1</v>
      </c>
      <c r="X115" s="59">
        <v>1</v>
      </c>
      <c r="Y115" s="59">
        <v>1</v>
      </c>
      <c r="Z115" s="59">
        <v>1</v>
      </c>
      <c r="AA115" s="65">
        <v>1</v>
      </c>
      <c r="AB115" s="1">
        <f t="shared" si="1"/>
        <v>112</v>
      </c>
      <c r="AE115" s="59">
        <v>107</v>
      </c>
    </row>
    <row r="116" spans="6:31" x14ac:dyDescent="0.25">
      <c r="F116" s="59">
        <v>29</v>
      </c>
      <c r="G116" s="64">
        <v>1</v>
      </c>
      <c r="H116" s="59">
        <v>1</v>
      </c>
      <c r="I116" s="59">
        <v>1</v>
      </c>
      <c r="J116" s="59">
        <v>1</v>
      </c>
      <c r="K116" s="59">
        <v>1</v>
      </c>
      <c r="L116" s="59">
        <v>1</v>
      </c>
      <c r="M116" s="59">
        <v>1</v>
      </c>
      <c r="N116" s="64">
        <v>1</v>
      </c>
      <c r="O116" s="59">
        <v>1</v>
      </c>
      <c r="P116" s="59">
        <v>1</v>
      </c>
      <c r="Q116" s="59">
        <v>1</v>
      </c>
      <c r="R116" s="59">
        <v>1</v>
      </c>
      <c r="S116" s="59">
        <v>1</v>
      </c>
      <c r="T116" s="65">
        <v>1</v>
      </c>
      <c r="U116" s="59">
        <v>1</v>
      </c>
      <c r="V116" s="59">
        <v>1</v>
      </c>
      <c r="W116" s="59">
        <v>1</v>
      </c>
      <c r="X116" s="59">
        <v>1</v>
      </c>
      <c r="Y116" s="59">
        <v>1</v>
      </c>
      <c r="Z116" s="59">
        <v>1</v>
      </c>
      <c r="AA116" s="65">
        <v>1</v>
      </c>
      <c r="AB116" s="1">
        <f t="shared" si="1"/>
        <v>113</v>
      </c>
      <c r="AE116" s="59">
        <v>108</v>
      </c>
    </row>
    <row r="117" spans="6:31" x14ac:dyDescent="0.25">
      <c r="F117" s="59">
        <v>30</v>
      </c>
      <c r="G117" s="64">
        <v>1</v>
      </c>
      <c r="H117" s="59">
        <v>1</v>
      </c>
      <c r="I117" s="59">
        <v>1</v>
      </c>
      <c r="J117" s="59">
        <v>1</v>
      </c>
      <c r="K117" s="59">
        <v>1</v>
      </c>
      <c r="L117" s="59">
        <v>1</v>
      </c>
      <c r="M117" s="59">
        <v>1</v>
      </c>
      <c r="N117" s="64">
        <v>1</v>
      </c>
      <c r="O117" s="59">
        <v>1</v>
      </c>
      <c r="P117" s="59">
        <v>1</v>
      </c>
      <c r="Q117" s="59">
        <v>1</v>
      </c>
      <c r="R117" s="59">
        <v>1</v>
      </c>
      <c r="S117" s="59">
        <v>1</v>
      </c>
      <c r="T117" s="65">
        <v>1</v>
      </c>
      <c r="U117" s="59">
        <v>1</v>
      </c>
      <c r="V117" s="59">
        <v>1</v>
      </c>
      <c r="W117" s="59">
        <v>1</v>
      </c>
      <c r="X117" s="59">
        <v>1</v>
      </c>
      <c r="Y117" s="59">
        <v>1</v>
      </c>
      <c r="Z117" s="59">
        <v>1</v>
      </c>
      <c r="AA117" s="65">
        <v>1</v>
      </c>
      <c r="AB117" s="1">
        <f t="shared" si="1"/>
        <v>114</v>
      </c>
      <c r="AE117" s="59">
        <v>108</v>
      </c>
    </row>
    <row r="118" spans="6:31" x14ac:dyDescent="0.25">
      <c r="F118" s="59">
        <v>31</v>
      </c>
      <c r="G118" s="64">
        <v>1</v>
      </c>
      <c r="H118" s="59">
        <v>1</v>
      </c>
      <c r="I118" s="59">
        <v>1</v>
      </c>
      <c r="J118" s="59">
        <v>1</v>
      </c>
      <c r="K118" s="59">
        <v>1</v>
      </c>
      <c r="L118" s="59">
        <v>1</v>
      </c>
      <c r="M118" s="59">
        <v>1</v>
      </c>
      <c r="N118" s="64">
        <v>1</v>
      </c>
      <c r="O118" s="59">
        <v>1</v>
      </c>
      <c r="P118" s="59">
        <v>1</v>
      </c>
      <c r="Q118" s="59">
        <v>1</v>
      </c>
      <c r="R118" s="59">
        <v>1</v>
      </c>
      <c r="S118" s="59">
        <v>1</v>
      </c>
      <c r="T118" s="65">
        <v>1</v>
      </c>
      <c r="U118" s="59">
        <v>1</v>
      </c>
      <c r="V118" s="59">
        <v>1</v>
      </c>
      <c r="W118" s="59">
        <v>1</v>
      </c>
      <c r="X118" s="59">
        <v>1</v>
      </c>
      <c r="Y118" s="59">
        <v>1</v>
      </c>
      <c r="Z118" s="59">
        <v>1</v>
      </c>
      <c r="AA118" s="65">
        <v>1</v>
      </c>
      <c r="AB118" s="1">
        <f t="shared" si="1"/>
        <v>115</v>
      </c>
      <c r="AE118" s="59">
        <v>109</v>
      </c>
    </row>
    <row r="119" spans="6:31" x14ac:dyDescent="0.25">
      <c r="F119" s="59">
        <v>32</v>
      </c>
      <c r="G119" s="64">
        <v>1</v>
      </c>
      <c r="H119" s="59">
        <v>1</v>
      </c>
      <c r="I119" s="59">
        <v>1</v>
      </c>
      <c r="J119" s="59">
        <v>1</v>
      </c>
      <c r="K119" s="59">
        <v>1</v>
      </c>
      <c r="L119" s="59">
        <v>1</v>
      </c>
      <c r="M119" s="59">
        <v>1</v>
      </c>
      <c r="N119" s="64">
        <v>1</v>
      </c>
      <c r="O119" s="59">
        <v>1</v>
      </c>
      <c r="P119" s="59">
        <v>1</v>
      </c>
      <c r="Q119" s="59">
        <v>1</v>
      </c>
      <c r="R119" s="59">
        <v>1</v>
      </c>
      <c r="S119" s="59">
        <v>1</v>
      </c>
      <c r="T119" s="65">
        <v>1</v>
      </c>
      <c r="U119" s="59">
        <v>1</v>
      </c>
      <c r="V119" s="59">
        <v>1</v>
      </c>
      <c r="W119" s="59">
        <v>1</v>
      </c>
      <c r="X119" s="59">
        <v>1</v>
      </c>
      <c r="Y119" s="59">
        <v>1</v>
      </c>
      <c r="Z119" s="59">
        <v>1</v>
      </c>
      <c r="AA119" s="65">
        <v>1</v>
      </c>
      <c r="AB119" s="1">
        <f t="shared" si="1"/>
        <v>116</v>
      </c>
      <c r="AE119" s="59">
        <v>109</v>
      </c>
    </row>
    <row r="120" spans="6:31" x14ac:dyDescent="0.25">
      <c r="F120" s="59">
        <v>33</v>
      </c>
      <c r="G120" s="64">
        <v>1</v>
      </c>
      <c r="H120" s="59">
        <v>1</v>
      </c>
      <c r="I120" s="59">
        <v>1</v>
      </c>
      <c r="J120" s="59">
        <v>1</v>
      </c>
      <c r="K120" s="59">
        <v>1</v>
      </c>
      <c r="L120" s="59">
        <v>1</v>
      </c>
      <c r="M120" s="59">
        <v>1</v>
      </c>
      <c r="N120" s="64">
        <v>1</v>
      </c>
      <c r="O120" s="59">
        <v>1</v>
      </c>
      <c r="P120" s="59">
        <v>1</v>
      </c>
      <c r="Q120" s="59">
        <v>1</v>
      </c>
      <c r="R120" s="59">
        <v>1</v>
      </c>
      <c r="S120" s="59">
        <v>1</v>
      </c>
      <c r="T120" s="65">
        <v>1</v>
      </c>
      <c r="U120" s="59">
        <v>1</v>
      </c>
      <c r="V120" s="59">
        <v>1</v>
      </c>
      <c r="W120" s="59">
        <v>1</v>
      </c>
      <c r="X120" s="59">
        <v>1</v>
      </c>
      <c r="Y120" s="59">
        <v>1</v>
      </c>
      <c r="Z120" s="59">
        <v>1</v>
      </c>
      <c r="AA120" s="65">
        <v>1</v>
      </c>
      <c r="AB120" s="1">
        <f t="shared" si="1"/>
        <v>117</v>
      </c>
      <c r="AE120" s="59">
        <v>110</v>
      </c>
    </row>
    <row r="121" spans="6:31" x14ac:dyDescent="0.25">
      <c r="F121" s="59">
        <v>34</v>
      </c>
      <c r="G121" s="64">
        <v>1</v>
      </c>
      <c r="H121" s="59">
        <v>1</v>
      </c>
      <c r="I121" s="59">
        <v>1</v>
      </c>
      <c r="J121" s="59">
        <v>1</v>
      </c>
      <c r="K121" s="59">
        <v>1</v>
      </c>
      <c r="L121" s="59">
        <v>1</v>
      </c>
      <c r="M121" s="59">
        <v>1</v>
      </c>
      <c r="N121" s="64">
        <v>1</v>
      </c>
      <c r="O121" s="59">
        <v>1</v>
      </c>
      <c r="P121" s="59">
        <v>1</v>
      </c>
      <c r="Q121" s="59">
        <v>1</v>
      </c>
      <c r="R121" s="59">
        <v>1</v>
      </c>
      <c r="S121" s="59">
        <v>1</v>
      </c>
      <c r="T121" s="65">
        <v>1</v>
      </c>
      <c r="U121" s="59">
        <v>1</v>
      </c>
      <c r="V121" s="59">
        <v>1</v>
      </c>
      <c r="W121" s="59">
        <v>1</v>
      </c>
      <c r="X121" s="59">
        <v>1</v>
      </c>
      <c r="Y121" s="59">
        <v>1</v>
      </c>
      <c r="Z121" s="59">
        <v>1</v>
      </c>
      <c r="AA121" s="65">
        <v>1</v>
      </c>
      <c r="AB121" s="1">
        <f t="shared" si="1"/>
        <v>118</v>
      </c>
      <c r="AE121" s="59">
        <v>111</v>
      </c>
    </row>
    <row r="122" spans="6:31" x14ac:dyDescent="0.25">
      <c r="F122" s="59">
        <v>35</v>
      </c>
      <c r="G122" s="64">
        <v>1</v>
      </c>
      <c r="H122" s="59">
        <v>1</v>
      </c>
      <c r="I122" s="59">
        <v>1</v>
      </c>
      <c r="J122" s="59">
        <v>1</v>
      </c>
      <c r="K122" s="59">
        <v>1</v>
      </c>
      <c r="L122" s="59">
        <v>1</v>
      </c>
      <c r="M122" s="59">
        <v>1</v>
      </c>
      <c r="N122" s="64">
        <v>1</v>
      </c>
      <c r="O122" s="59">
        <v>1</v>
      </c>
      <c r="P122" s="59">
        <v>1</v>
      </c>
      <c r="Q122" s="59">
        <v>1</v>
      </c>
      <c r="R122" s="59">
        <v>1</v>
      </c>
      <c r="S122" s="59">
        <v>1</v>
      </c>
      <c r="T122" s="65">
        <v>1</v>
      </c>
      <c r="U122" s="59">
        <v>1</v>
      </c>
      <c r="V122" s="59">
        <v>1</v>
      </c>
      <c r="W122" s="59">
        <v>1</v>
      </c>
      <c r="X122" s="59">
        <v>1</v>
      </c>
      <c r="Y122" s="59">
        <v>1</v>
      </c>
      <c r="Z122" s="59">
        <v>1</v>
      </c>
      <c r="AA122" s="65">
        <v>1</v>
      </c>
      <c r="AB122" s="1">
        <f t="shared" si="1"/>
        <v>119</v>
      </c>
      <c r="AE122" s="59">
        <v>112</v>
      </c>
    </row>
    <row r="123" spans="6:31" x14ac:dyDescent="0.25">
      <c r="F123" s="59">
        <v>36</v>
      </c>
      <c r="G123" s="66">
        <v>1</v>
      </c>
      <c r="H123" s="67">
        <v>1</v>
      </c>
      <c r="I123" s="67">
        <v>1</v>
      </c>
      <c r="J123" s="67">
        <v>1</v>
      </c>
      <c r="K123" s="67">
        <v>1</v>
      </c>
      <c r="L123" s="67">
        <v>1</v>
      </c>
      <c r="M123" s="67">
        <v>1</v>
      </c>
      <c r="N123" s="66">
        <v>1</v>
      </c>
      <c r="O123" s="67">
        <v>1</v>
      </c>
      <c r="P123" s="67">
        <v>1</v>
      </c>
      <c r="Q123" s="67">
        <v>1</v>
      </c>
      <c r="R123" s="67">
        <v>1</v>
      </c>
      <c r="S123" s="67">
        <v>1</v>
      </c>
      <c r="T123" s="68">
        <v>1</v>
      </c>
      <c r="U123" s="67">
        <v>1</v>
      </c>
      <c r="V123" s="67">
        <v>1</v>
      </c>
      <c r="W123" s="67">
        <v>1</v>
      </c>
      <c r="X123" s="67">
        <v>1</v>
      </c>
      <c r="Y123" s="67">
        <v>1</v>
      </c>
      <c r="Z123" s="67">
        <v>1</v>
      </c>
      <c r="AA123" s="68">
        <v>1</v>
      </c>
      <c r="AB123" s="1">
        <f t="shared" si="1"/>
        <v>120</v>
      </c>
      <c r="AE123" s="59">
        <v>112</v>
      </c>
    </row>
    <row r="124" spans="6:31" x14ac:dyDescent="0.25">
      <c r="AB124" s="1">
        <f t="shared" si="1"/>
        <v>121</v>
      </c>
      <c r="AE124" s="59">
        <v>113</v>
      </c>
    </row>
    <row r="125" spans="6:31" ht="15.75" x14ac:dyDescent="0.25">
      <c r="G125" s="117" t="s">
        <v>234</v>
      </c>
      <c r="H125" s="118"/>
      <c r="I125" s="118"/>
      <c r="J125" s="118"/>
      <c r="K125" s="118"/>
      <c r="L125" s="118"/>
      <c r="M125" s="118"/>
      <c r="N125" s="117" t="s">
        <v>235</v>
      </c>
      <c r="O125" s="118"/>
      <c r="P125" s="118"/>
      <c r="Q125" s="118"/>
      <c r="R125" s="118"/>
      <c r="S125" s="118"/>
      <c r="T125" s="119"/>
      <c r="U125" s="118" t="s">
        <v>237</v>
      </c>
      <c r="V125" s="118"/>
      <c r="W125" s="118"/>
      <c r="X125" s="118"/>
      <c r="Y125" s="118"/>
      <c r="Z125" s="118"/>
      <c r="AA125" s="119"/>
      <c r="AB125" s="1">
        <f t="shared" si="1"/>
        <v>122</v>
      </c>
      <c r="AE125" s="59">
        <v>114</v>
      </c>
    </row>
    <row r="126" spans="6:31" x14ac:dyDescent="0.25">
      <c r="F126" s="60" t="s">
        <v>14</v>
      </c>
      <c r="G126" s="62" t="s">
        <v>224</v>
      </c>
      <c r="H126" s="60" t="s">
        <v>239</v>
      </c>
      <c r="I126" s="60" t="s">
        <v>240</v>
      </c>
      <c r="J126" s="60" t="s">
        <v>241</v>
      </c>
      <c r="K126" s="60" t="s">
        <v>117</v>
      </c>
      <c r="L126" s="60" t="s">
        <v>242</v>
      </c>
      <c r="M126" s="60" t="s">
        <v>243</v>
      </c>
      <c r="N126" s="62" t="s">
        <v>224</v>
      </c>
      <c r="O126" s="60" t="s">
        <v>239</v>
      </c>
      <c r="P126" s="60" t="s">
        <v>240</v>
      </c>
      <c r="Q126" s="60" t="s">
        <v>241</v>
      </c>
      <c r="R126" s="60" t="s">
        <v>117</v>
      </c>
      <c r="S126" s="60" t="s">
        <v>242</v>
      </c>
      <c r="T126" s="63" t="s">
        <v>243</v>
      </c>
      <c r="U126" s="60" t="s">
        <v>224</v>
      </c>
      <c r="V126" s="60" t="s">
        <v>239</v>
      </c>
      <c r="W126" s="60" t="s">
        <v>240</v>
      </c>
      <c r="X126" s="60" t="s">
        <v>241</v>
      </c>
      <c r="Y126" s="60" t="s">
        <v>117</v>
      </c>
      <c r="Z126" s="60" t="s">
        <v>242</v>
      </c>
      <c r="AA126" s="63" t="s">
        <v>243</v>
      </c>
      <c r="AB126" s="1">
        <f t="shared" si="1"/>
        <v>123</v>
      </c>
      <c r="AE126" s="59">
        <v>114</v>
      </c>
    </row>
    <row r="127" spans="6:31" ht="15" customHeight="1" x14ac:dyDescent="0.25">
      <c r="F127" s="59">
        <v>0</v>
      </c>
      <c r="G127" s="64">
        <v>14</v>
      </c>
      <c r="H127" s="59">
        <v>14</v>
      </c>
      <c r="I127" s="59">
        <v>14</v>
      </c>
      <c r="J127" s="59">
        <v>14</v>
      </c>
      <c r="K127" s="59">
        <v>14</v>
      </c>
      <c r="L127" s="59">
        <v>14</v>
      </c>
      <c r="M127" s="59">
        <v>15</v>
      </c>
      <c r="N127" s="64">
        <v>15</v>
      </c>
      <c r="O127" s="59">
        <v>15</v>
      </c>
      <c r="P127" s="59">
        <v>15</v>
      </c>
      <c r="Q127" s="59">
        <v>15</v>
      </c>
      <c r="R127" s="59">
        <v>15</v>
      </c>
      <c r="S127" s="59">
        <v>15</v>
      </c>
      <c r="T127" s="65">
        <v>14</v>
      </c>
      <c r="U127" s="59">
        <v>12</v>
      </c>
      <c r="V127" s="59">
        <v>12</v>
      </c>
      <c r="W127" s="59">
        <v>13</v>
      </c>
      <c r="X127" s="59">
        <v>13</v>
      </c>
      <c r="Y127" s="59">
        <v>14</v>
      </c>
      <c r="Z127" s="59">
        <v>14</v>
      </c>
      <c r="AA127" s="65">
        <v>15</v>
      </c>
      <c r="AB127" s="1">
        <f t="shared" si="1"/>
        <v>124</v>
      </c>
      <c r="AE127" s="59">
        <v>115</v>
      </c>
    </row>
    <row r="128" spans="6:31" ht="15" customHeight="1" x14ac:dyDescent="0.25">
      <c r="F128" s="59">
        <v>1</v>
      </c>
      <c r="G128" s="64">
        <v>12</v>
      </c>
      <c r="H128" s="59">
        <v>12</v>
      </c>
      <c r="I128" s="59">
        <v>12</v>
      </c>
      <c r="J128" s="59">
        <v>12</v>
      </c>
      <c r="K128" s="59">
        <v>12</v>
      </c>
      <c r="L128" s="59">
        <v>12</v>
      </c>
      <c r="M128" s="59">
        <v>13</v>
      </c>
      <c r="N128" s="64">
        <v>13</v>
      </c>
      <c r="O128" s="59">
        <v>14</v>
      </c>
      <c r="P128" s="59">
        <v>14</v>
      </c>
      <c r="Q128" s="59">
        <v>13</v>
      </c>
      <c r="R128" s="59">
        <v>13</v>
      </c>
      <c r="S128" s="59">
        <v>13</v>
      </c>
      <c r="T128" s="65">
        <v>12</v>
      </c>
      <c r="U128" s="59">
        <v>9</v>
      </c>
      <c r="V128" s="59">
        <v>9</v>
      </c>
      <c r="W128" s="59">
        <v>10</v>
      </c>
      <c r="X128" s="59">
        <v>11</v>
      </c>
      <c r="Y128" s="59">
        <v>11</v>
      </c>
      <c r="Z128" s="59">
        <v>12</v>
      </c>
      <c r="AA128" s="65">
        <v>13</v>
      </c>
      <c r="AB128" s="1">
        <f t="shared" si="1"/>
        <v>125</v>
      </c>
      <c r="AE128" s="59">
        <v>115</v>
      </c>
    </row>
    <row r="129" spans="6:31" x14ac:dyDescent="0.25">
      <c r="F129" s="59">
        <v>2</v>
      </c>
      <c r="G129" s="64">
        <v>10</v>
      </c>
      <c r="H129" s="59">
        <v>10</v>
      </c>
      <c r="I129" s="59">
        <v>11</v>
      </c>
      <c r="J129" s="59">
        <v>11</v>
      </c>
      <c r="K129" s="59">
        <v>11</v>
      </c>
      <c r="L129" s="59">
        <v>11</v>
      </c>
      <c r="M129" s="59">
        <v>12</v>
      </c>
      <c r="N129" s="64">
        <v>12</v>
      </c>
      <c r="O129" s="59">
        <v>13</v>
      </c>
      <c r="P129" s="59">
        <v>13</v>
      </c>
      <c r="Q129" s="59">
        <v>12</v>
      </c>
      <c r="R129" s="59">
        <v>12</v>
      </c>
      <c r="S129" s="59">
        <v>12</v>
      </c>
      <c r="T129" s="65">
        <v>11</v>
      </c>
      <c r="U129" s="59">
        <v>7</v>
      </c>
      <c r="V129" s="59">
        <v>8</v>
      </c>
      <c r="W129" s="59">
        <v>9</v>
      </c>
      <c r="X129" s="59">
        <v>10</v>
      </c>
      <c r="Y129" s="59">
        <v>10</v>
      </c>
      <c r="Z129" s="59">
        <v>11</v>
      </c>
      <c r="AA129" s="65">
        <v>12</v>
      </c>
      <c r="AB129" s="1">
        <f t="shared" si="1"/>
        <v>126</v>
      </c>
      <c r="AE129" s="59">
        <v>116</v>
      </c>
    </row>
    <row r="130" spans="6:31" x14ac:dyDescent="0.25">
      <c r="F130" s="59">
        <v>3</v>
      </c>
      <c r="G130" s="64">
        <v>9</v>
      </c>
      <c r="H130" s="59">
        <v>9</v>
      </c>
      <c r="I130" s="59">
        <v>10</v>
      </c>
      <c r="J130" s="59">
        <v>10</v>
      </c>
      <c r="K130" s="59">
        <v>11</v>
      </c>
      <c r="L130" s="59">
        <v>11</v>
      </c>
      <c r="M130" s="59">
        <v>11</v>
      </c>
      <c r="N130" s="64">
        <v>11</v>
      </c>
      <c r="O130" s="59">
        <v>12</v>
      </c>
      <c r="P130" s="59">
        <v>12</v>
      </c>
      <c r="Q130" s="59">
        <v>11</v>
      </c>
      <c r="R130" s="59">
        <v>11</v>
      </c>
      <c r="S130" s="59">
        <v>11</v>
      </c>
      <c r="T130" s="65">
        <v>10</v>
      </c>
      <c r="U130" s="59">
        <v>6</v>
      </c>
      <c r="V130" s="59">
        <v>7</v>
      </c>
      <c r="W130" s="59">
        <v>8</v>
      </c>
      <c r="X130" s="59">
        <v>9</v>
      </c>
      <c r="Y130" s="59">
        <v>10</v>
      </c>
      <c r="Z130" s="59">
        <v>10</v>
      </c>
      <c r="AA130" s="65">
        <v>11</v>
      </c>
      <c r="AB130" s="1">
        <f t="shared" si="1"/>
        <v>127</v>
      </c>
      <c r="AE130" s="59">
        <v>117</v>
      </c>
    </row>
    <row r="131" spans="6:31" x14ac:dyDescent="0.25">
      <c r="F131" s="59">
        <v>4</v>
      </c>
      <c r="G131" s="64">
        <v>9</v>
      </c>
      <c r="H131" s="59">
        <v>9</v>
      </c>
      <c r="I131" s="59">
        <v>9</v>
      </c>
      <c r="J131" s="59">
        <v>10</v>
      </c>
      <c r="K131" s="59">
        <v>10</v>
      </c>
      <c r="L131" s="59">
        <v>10</v>
      </c>
      <c r="M131" s="59">
        <v>11</v>
      </c>
      <c r="N131" s="64">
        <v>10</v>
      </c>
      <c r="O131" s="59">
        <v>11</v>
      </c>
      <c r="P131" s="59">
        <v>11</v>
      </c>
      <c r="Q131" s="59">
        <v>11</v>
      </c>
      <c r="R131" s="59">
        <v>11</v>
      </c>
      <c r="S131" s="59">
        <v>10</v>
      </c>
      <c r="T131" s="65">
        <v>10</v>
      </c>
      <c r="U131" s="59">
        <v>5</v>
      </c>
      <c r="V131" s="59">
        <v>6</v>
      </c>
      <c r="W131" s="59">
        <v>7</v>
      </c>
      <c r="X131" s="59">
        <v>8</v>
      </c>
      <c r="Y131" s="59">
        <v>9</v>
      </c>
      <c r="Z131" s="59">
        <v>9</v>
      </c>
      <c r="AA131" s="65">
        <v>10</v>
      </c>
      <c r="AB131" s="1">
        <f t="shared" si="1"/>
        <v>128</v>
      </c>
      <c r="AE131" s="59">
        <v>117</v>
      </c>
    </row>
    <row r="132" spans="6:31" x14ac:dyDescent="0.25">
      <c r="F132" s="59">
        <v>5</v>
      </c>
      <c r="G132" s="64">
        <v>8</v>
      </c>
      <c r="H132" s="59">
        <v>8</v>
      </c>
      <c r="I132" s="59">
        <v>9</v>
      </c>
      <c r="J132" s="59">
        <v>9</v>
      </c>
      <c r="K132" s="59">
        <v>10</v>
      </c>
      <c r="L132" s="59">
        <v>10</v>
      </c>
      <c r="M132" s="59">
        <v>10</v>
      </c>
      <c r="N132" s="64">
        <v>10</v>
      </c>
      <c r="O132" s="59">
        <v>10</v>
      </c>
      <c r="P132" s="59">
        <v>10</v>
      </c>
      <c r="Q132" s="59">
        <v>10</v>
      </c>
      <c r="R132" s="59">
        <v>10</v>
      </c>
      <c r="S132" s="59">
        <v>10</v>
      </c>
      <c r="T132" s="65">
        <v>9</v>
      </c>
      <c r="U132" s="59">
        <v>5</v>
      </c>
      <c r="V132" s="59">
        <v>6</v>
      </c>
      <c r="W132" s="59">
        <v>7</v>
      </c>
      <c r="X132" s="59">
        <v>7</v>
      </c>
      <c r="Y132" s="59">
        <v>8</v>
      </c>
      <c r="Z132" s="59">
        <v>9</v>
      </c>
      <c r="AA132" s="65">
        <v>9</v>
      </c>
      <c r="AB132" s="1">
        <f t="shared" si="1"/>
        <v>129</v>
      </c>
      <c r="AE132" s="59">
        <v>118</v>
      </c>
    </row>
    <row r="133" spans="6:31" x14ac:dyDescent="0.25">
      <c r="F133" s="59">
        <v>6</v>
      </c>
      <c r="G133" s="64">
        <v>7</v>
      </c>
      <c r="H133" s="59">
        <v>8</v>
      </c>
      <c r="I133" s="59">
        <v>8</v>
      </c>
      <c r="J133" s="59">
        <v>9</v>
      </c>
      <c r="K133" s="59">
        <v>9</v>
      </c>
      <c r="L133" s="59">
        <v>9</v>
      </c>
      <c r="M133" s="59">
        <v>10</v>
      </c>
      <c r="N133" s="64">
        <v>9</v>
      </c>
      <c r="O133" s="59">
        <v>10</v>
      </c>
      <c r="P133" s="59">
        <v>10</v>
      </c>
      <c r="Q133" s="59">
        <v>10</v>
      </c>
      <c r="R133" s="59">
        <v>10</v>
      </c>
      <c r="S133" s="59">
        <v>9</v>
      </c>
      <c r="T133" s="65">
        <v>9</v>
      </c>
      <c r="U133" s="59">
        <v>4</v>
      </c>
      <c r="V133" s="59">
        <v>5</v>
      </c>
      <c r="W133" s="59">
        <v>6</v>
      </c>
      <c r="X133" s="59">
        <v>7</v>
      </c>
      <c r="Y133" s="59">
        <v>8</v>
      </c>
      <c r="Z133" s="59">
        <v>8</v>
      </c>
      <c r="AA133" s="65">
        <v>9</v>
      </c>
      <c r="AB133" s="1">
        <f t="shared" si="1"/>
        <v>130</v>
      </c>
      <c r="AE133" s="59">
        <v>119</v>
      </c>
    </row>
    <row r="134" spans="6:31" x14ac:dyDescent="0.25">
      <c r="F134" s="59">
        <v>7</v>
      </c>
      <c r="G134" s="64">
        <v>7</v>
      </c>
      <c r="H134" s="59">
        <v>7</v>
      </c>
      <c r="I134" s="59">
        <v>8</v>
      </c>
      <c r="J134" s="59">
        <v>8</v>
      </c>
      <c r="K134" s="59">
        <v>9</v>
      </c>
      <c r="L134" s="59">
        <v>9</v>
      </c>
      <c r="M134" s="59">
        <v>9</v>
      </c>
      <c r="N134" s="64">
        <v>9</v>
      </c>
      <c r="O134" s="59">
        <v>9</v>
      </c>
      <c r="P134" s="59">
        <v>9</v>
      </c>
      <c r="Q134" s="59">
        <v>9</v>
      </c>
      <c r="R134" s="59">
        <v>9</v>
      </c>
      <c r="S134" s="59">
        <v>9</v>
      </c>
      <c r="T134" s="65">
        <v>8</v>
      </c>
      <c r="U134" s="59">
        <v>4</v>
      </c>
      <c r="V134" s="59">
        <v>5</v>
      </c>
      <c r="W134" s="59">
        <v>6</v>
      </c>
      <c r="X134" s="59">
        <v>6</v>
      </c>
      <c r="Y134" s="59">
        <v>7</v>
      </c>
      <c r="Z134" s="59">
        <v>8</v>
      </c>
      <c r="AA134" s="65">
        <v>8</v>
      </c>
      <c r="AB134" s="1">
        <f t="shared" si="1"/>
        <v>131</v>
      </c>
      <c r="AE134" s="59">
        <v>119</v>
      </c>
    </row>
    <row r="135" spans="6:31" x14ac:dyDescent="0.25">
      <c r="F135" s="59">
        <v>8</v>
      </c>
      <c r="G135" s="64">
        <v>6</v>
      </c>
      <c r="H135" s="59">
        <v>7</v>
      </c>
      <c r="I135" s="59">
        <v>7</v>
      </c>
      <c r="J135" s="59">
        <v>8</v>
      </c>
      <c r="K135" s="59">
        <v>8</v>
      </c>
      <c r="L135" s="59">
        <v>8</v>
      </c>
      <c r="M135" s="59">
        <v>9</v>
      </c>
      <c r="N135" s="64">
        <v>8</v>
      </c>
      <c r="O135" s="59">
        <v>9</v>
      </c>
      <c r="P135" s="59">
        <v>9</v>
      </c>
      <c r="Q135" s="59">
        <v>9</v>
      </c>
      <c r="R135" s="59">
        <v>9</v>
      </c>
      <c r="S135" s="59">
        <v>8</v>
      </c>
      <c r="T135" s="65">
        <v>8</v>
      </c>
      <c r="U135" s="59">
        <v>3</v>
      </c>
      <c r="V135" s="59">
        <v>4</v>
      </c>
      <c r="W135" s="59">
        <v>5</v>
      </c>
      <c r="X135" s="59">
        <v>6</v>
      </c>
      <c r="Y135" s="59">
        <v>7</v>
      </c>
      <c r="Z135" s="59">
        <v>7</v>
      </c>
      <c r="AA135" s="65">
        <v>8</v>
      </c>
      <c r="AB135" s="1">
        <f t="shared" si="1"/>
        <v>132</v>
      </c>
      <c r="AE135" s="59">
        <v>120</v>
      </c>
    </row>
    <row r="136" spans="6:31" x14ac:dyDescent="0.25">
      <c r="F136" s="59">
        <v>9</v>
      </c>
      <c r="G136" s="64">
        <v>6</v>
      </c>
      <c r="H136" s="59">
        <v>6</v>
      </c>
      <c r="I136" s="59">
        <v>7</v>
      </c>
      <c r="J136" s="59">
        <v>7</v>
      </c>
      <c r="K136" s="59">
        <v>8</v>
      </c>
      <c r="L136" s="59">
        <v>8</v>
      </c>
      <c r="M136" s="59">
        <v>8</v>
      </c>
      <c r="N136" s="64">
        <v>8</v>
      </c>
      <c r="O136" s="59">
        <v>8</v>
      </c>
      <c r="P136" s="59">
        <v>8</v>
      </c>
      <c r="Q136" s="59">
        <v>8</v>
      </c>
      <c r="R136" s="59">
        <v>8</v>
      </c>
      <c r="S136" s="59">
        <v>8</v>
      </c>
      <c r="T136" s="65">
        <v>7</v>
      </c>
      <c r="U136" s="59">
        <v>3</v>
      </c>
      <c r="V136" s="59">
        <v>4</v>
      </c>
      <c r="W136" s="59">
        <v>5</v>
      </c>
      <c r="X136" s="59">
        <v>6</v>
      </c>
      <c r="Y136" s="59">
        <v>6</v>
      </c>
      <c r="Z136" s="59">
        <v>7</v>
      </c>
      <c r="AA136" s="65">
        <v>7</v>
      </c>
      <c r="AB136" s="1">
        <f t="shared" si="1"/>
        <v>133</v>
      </c>
      <c r="AE136" s="59">
        <v>121</v>
      </c>
    </row>
    <row r="137" spans="6:31" x14ac:dyDescent="0.25">
      <c r="F137" s="59">
        <v>10</v>
      </c>
      <c r="G137" s="64">
        <v>6</v>
      </c>
      <c r="H137" s="59">
        <v>6</v>
      </c>
      <c r="I137" s="59">
        <v>6</v>
      </c>
      <c r="J137" s="59">
        <v>7</v>
      </c>
      <c r="K137" s="59">
        <v>7</v>
      </c>
      <c r="L137" s="59">
        <v>8</v>
      </c>
      <c r="M137" s="59">
        <v>8</v>
      </c>
      <c r="N137" s="64">
        <v>7</v>
      </c>
      <c r="O137" s="59">
        <v>8</v>
      </c>
      <c r="P137" s="59">
        <v>8</v>
      </c>
      <c r="Q137" s="59">
        <v>8</v>
      </c>
      <c r="R137" s="59">
        <v>8</v>
      </c>
      <c r="S137" s="59">
        <v>7</v>
      </c>
      <c r="T137" s="65">
        <v>7</v>
      </c>
      <c r="U137" s="59">
        <v>2</v>
      </c>
      <c r="V137" s="59">
        <v>3</v>
      </c>
      <c r="W137" s="59">
        <v>4</v>
      </c>
      <c r="X137" s="59">
        <v>5</v>
      </c>
      <c r="Y137" s="59">
        <v>6</v>
      </c>
      <c r="Z137" s="59">
        <v>6</v>
      </c>
      <c r="AA137" s="65">
        <v>7</v>
      </c>
      <c r="AB137" s="1">
        <f t="shared" ref="AB137:AB193" si="2">AB136+1</f>
        <v>134</v>
      </c>
      <c r="AE137" s="59">
        <v>121</v>
      </c>
    </row>
    <row r="138" spans="6:31" x14ac:dyDescent="0.25">
      <c r="F138" s="59">
        <v>11</v>
      </c>
      <c r="G138" s="64">
        <v>5</v>
      </c>
      <c r="H138" s="59">
        <v>6</v>
      </c>
      <c r="I138" s="59">
        <v>6</v>
      </c>
      <c r="J138" s="59">
        <v>6</v>
      </c>
      <c r="K138" s="59">
        <v>7</v>
      </c>
      <c r="L138" s="59">
        <v>7</v>
      </c>
      <c r="M138" s="59">
        <v>8</v>
      </c>
      <c r="N138" s="64">
        <v>7</v>
      </c>
      <c r="O138" s="59">
        <v>7</v>
      </c>
      <c r="P138" s="59">
        <v>8</v>
      </c>
      <c r="Q138" s="59">
        <v>8</v>
      </c>
      <c r="R138" s="59">
        <v>7</v>
      </c>
      <c r="S138" s="59">
        <v>7</v>
      </c>
      <c r="T138" s="65">
        <v>7</v>
      </c>
      <c r="U138" s="59">
        <v>2</v>
      </c>
      <c r="V138" s="59">
        <v>3</v>
      </c>
      <c r="W138" s="59">
        <v>4</v>
      </c>
      <c r="X138" s="59">
        <v>5</v>
      </c>
      <c r="Y138" s="59">
        <v>5</v>
      </c>
      <c r="Z138" s="59">
        <v>6</v>
      </c>
      <c r="AA138" s="65">
        <v>6</v>
      </c>
      <c r="AB138" s="1">
        <f t="shared" si="2"/>
        <v>135</v>
      </c>
      <c r="AE138" s="59">
        <v>122</v>
      </c>
    </row>
    <row r="139" spans="6:31" x14ac:dyDescent="0.25">
      <c r="F139" s="59">
        <v>12</v>
      </c>
      <c r="G139" s="64">
        <v>5</v>
      </c>
      <c r="H139" s="59">
        <v>5</v>
      </c>
      <c r="I139" s="59">
        <v>6</v>
      </c>
      <c r="J139" s="59">
        <v>6</v>
      </c>
      <c r="K139" s="59">
        <v>6</v>
      </c>
      <c r="L139" s="59">
        <v>7</v>
      </c>
      <c r="M139" s="59">
        <v>7</v>
      </c>
      <c r="N139" s="64">
        <v>7</v>
      </c>
      <c r="O139" s="59">
        <v>7</v>
      </c>
      <c r="P139" s="59">
        <v>7</v>
      </c>
      <c r="Q139" s="59">
        <v>7</v>
      </c>
      <c r="R139" s="59">
        <v>7</v>
      </c>
      <c r="S139" s="59">
        <v>7</v>
      </c>
      <c r="T139" s="65">
        <v>6</v>
      </c>
      <c r="U139" s="59">
        <v>2</v>
      </c>
      <c r="V139" s="59">
        <v>3</v>
      </c>
      <c r="W139" s="59">
        <v>4</v>
      </c>
      <c r="X139" s="59">
        <v>4</v>
      </c>
      <c r="Y139" s="59">
        <v>5</v>
      </c>
      <c r="Z139" s="59">
        <v>5</v>
      </c>
      <c r="AA139" s="65">
        <v>6</v>
      </c>
      <c r="AB139" s="1">
        <f t="shared" si="2"/>
        <v>136</v>
      </c>
      <c r="AE139" s="59">
        <v>122</v>
      </c>
    </row>
    <row r="140" spans="6:31" x14ac:dyDescent="0.25">
      <c r="F140" s="59">
        <v>13</v>
      </c>
      <c r="G140" s="64">
        <v>5</v>
      </c>
      <c r="H140" s="59">
        <v>5</v>
      </c>
      <c r="I140" s="59">
        <v>5</v>
      </c>
      <c r="J140" s="59">
        <v>6</v>
      </c>
      <c r="K140" s="59">
        <v>6</v>
      </c>
      <c r="L140" s="59">
        <v>7</v>
      </c>
      <c r="M140" s="59">
        <v>7</v>
      </c>
      <c r="N140" s="64">
        <v>6</v>
      </c>
      <c r="O140" s="59">
        <v>7</v>
      </c>
      <c r="P140" s="59">
        <v>7</v>
      </c>
      <c r="Q140" s="59">
        <v>7</v>
      </c>
      <c r="R140" s="59">
        <v>7</v>
      </c>
      <c r="S140" s="59">
        <v>6</v>
      </c>
      <c r="T140" s="65">
        <v>6</v>
      </c>
      <c r="U140" s="59">
        <v>1</v>
      </c>
      <c r="V140" s="59">
        <v>2</v>
      </c>
      <c r="W140" s="59">
        <v>3</v>
      </c>
      <c r="X140" s="59">
        <v>4</v>
      </c>
      <c r="Y140" s="59">
        <v>4</v>
      </c>
      <c r="Z140" s="59">
        <v>5</v>
      </c>
      <c r="AA140" s="65">
        <v>5</v>
      </c>
      <c r="AB140" s="1">
        <f t="shared" si="2"/>
        <v>137</v>
      </c>
      <c r="AE140" s="59">
        <v>123</v>
      </c>
    </row>
    <row r="141" spans="6:31" x14ac:dyDescent="0.25">
      <c r="F141" s="59">
        <v>14</v>
      </c>
      <c r="G141" s="64">
        <v>5</v>
      </c>
      <c r="H141" s="59">
        <v>5</v>
      </c>
      <c r="I141" s="59">
        <v>5</v>
      </c>
      <c r="J141" s="59">
        <v>5</v>
      </c>
      <c r="K141" s="59">
        <v>6</v>
      </c>
      <c r="L141" s="59">
        <v>6</v>
      </c>
      <c r="M141" s="59">
        <v>7</v>
      </c>
      <c r="N141" s="64">
        <v>6</v>
      </c>
      <c r="O141" s="59">
        <v>6</v>
      </c>
      <c r="P141" s="59">
        <v>7</v>
      </c>
      <c r="Q141" s="59">
        <v>7</v>
      </c>
      <c r="R141" s="59">
        <v>6</v>
      </c>
      <c r="S141" s="59">
        <v>6</v>
      </c>
      <c r="T141" s="65">
        <v>6</v>
      </c>
      <c r="U141" s="59">
        <v>1</v>
      </c>
      <c r="V141" s="59">
        <v>2</v>
      </c>
      <c r="W141" s="59">
        <v>3</v>
      </c>
      <c r="X141" s="59">
        <v>4</v>
      </c>
      <c r="Y141" s="59">
        <v>4</v>
      </c>
      <c r="Z141" s="59">
        <v>4</v>
      </c>
      <c r="AA141" s="65">
        <v>5</v>
      </c>
      <c r="AB141" s="1">
        <f t="shared" si="2"/>
        <v>138</v>
      </c>
      <c r="AE141" s="59">
        <v>123</v>
      </c>
    </row>
    <row r="142" spans="6:31" x14ac:dyDescent="0.25">
      <c r="F142" s="59">
        <v>15</v>
      </c>
      <c r="G142" s="64">
        <v>4</v>
      </c>
      <c r="H142" s="59">
        <v>5</v>
      </c>
      <c r="I142" s="59">
        <v>5</v>
      </c>
      <c r="J142" s="59">
        <v>5</v>
      </c>
      <c r="K142" s="59">
        <v>5</v>
      </c>
      <c r="L142" s="59">
        <v>6</v>
      </c>
      <c r="M142" s="59">
        <v>6</v>
      </c>
      <c r="N142" s="64">
        <v>6</v>
      </c>
      <c r="O142" s="59">
        <v>6</v>
      </c>
      <c r="P142" s="59">
        <v>6</v>
      </c>
      <c r="Q142" s="59">
        <v>6</v>
      </c>
      <c r="R142" s="59">
        <v>6</v>
      </c>
      <c r="S142" s="59">
        <v>6</v>
      </c>
      <c r="T142" s="65">
        <v>6</v>
      </c>
      <c r="U142" s="59">
        <v>1</v>
      </c>
      <c r="V142" s="59">
        <v>2</v>
      </c>
      <c r="W142" s="59">
        <v>2</v>
      </c>
      <c r="X142" s="59">
        <v>3</v>
      </c>
      <c r="Y142" s="59">
        <v>4</v>
      </c>
      <c r="Z142" s="59">
        <v>4</v>
      </c>
      <c r="AA142" s="65">
        <v>4</v>
      </c>
      <c r="AB142" s="1">
        <f t="shared" si="2"/>
        <v>139</v>
      </c>
      <c r="AE142" s="59">
        <v>124</v>
      </c>
    </row>
    <row r="143" spans="6:31" x14ac:dyDescent="0.25">
      <c r="F143" s="59">
        <v>16</v>
      </c>
      <c r="G143" s="64">
        <v>4</v>
      </c>
      <c r="H143" s="59">
        <v>4</v>
      </c>
      <c r="I143" s="59">
        <v>5</v>
      </c>
      <c r="J143" s="59">
        <v>5</v>
      </c>
      <c r="K143" s="59">
        <v>5</v>
      </c>
      <c r="L143" s="59">
        <v>6</v>
      </c>
      <c r="M143" s="59">
        <v>6</v>
      </c>
      <c r="N143" s="64">
        <v>5</v>
      </c>
      <c r="O143" s="59">
        <v>6</v>
      </c>
      <c r="P143" s="59">
        <v>6</v>
      </c>
      <c r="Q143" s="59">
        <v>6</v>
      </c>
      <c r="R143" s="59">
        <v>6</v>
      </c>
      <c r="S143" s="59">
        <v>6</v>
      </c>
      <c r="T143" s="65">
        <v>5</v>
      </c>
      <c r="U143" s="59">
        <v>1</v>
      </c>
      <c r="V143" s="59">
        <v>1</v>
      </c>
      <c r="W143" s="59">
        <v>2</v>
      </c>
      <c r="X143" s="59">
        <v>3</v>
      </c>
      <c r="Y143" s="59">
        <v>3</v>
      </c>
      <c r="Z143" s="59">
        <v>4</v>
      </c>
      <c r="AA143" s="65">
        <v>4</v>
      </c>
      <c r="AB143" s="1">
        <f t="shared" si="2"/>
        <v>140</v>
      </c>
      <c r="AE143" s="59">
        <v>125</v>
      </c>
    </row>
    <row r="144" spans="6:31" x14ac:dyDescent="0.25">
      <c r="F144" s="59">
        <v>17</v>
      </c>
      <c r="G144" s="64">
        <v>4</v>
      </c>
      <c r="H144" s="59">
        <v>4</v>
      </c>
      <c r="I144" s="59">
        <v>4</v>
      </c>
      <c r="J144" s="59">
        <v>5</v>
      </c>
      <c r="K144" s="59">
        <v>5</v>
      </c>
      <c r="L144" s="59">
        <v>5</v>
      </c>
      <c r="M144" s="59">
        <v>6</v>
      </c>
      <c r="N144" s="64">
        <v>5</v>
      </c>
      <c r="O144" s="59">
        <v>6</v>
      </c>
      <c r="P144" s="59">
        <v>6</v>
      </c>
      <c r="Q144" s="59">
        <v>6</v>
      </c>
      <c r="R144" s="59">
        <v>6</v>
      </c>
      <c r="S144" s="59">
        <v>5</v>
      </c>
      <c r="T144" s="65">
        <v>5</v>
      </c>
      <c r="U144" s="59">
        <v>1</v>
      </c>
      <c r="V144" s="59">
        <v>1</v>
      </c>
      <c r="W144" s="59">
        <v>2</v>
      </c>
      <c r="X144" s="59">
        <v>2</v>
      </c>
      <c r="Y144" s="59">
        <v>3</v>
      </c>
      <c r="Z144" s="59">
        <v>3</v>
      </c>
      <c r="AA144" s="65">
        <v>4</v>
      </c>
      <c r="AB144" s="1">
        <f t="shared" si="2"/>
        <v>141</v>
      </c>
      <c r="AE144" s="59">
        <v>125</v>
      </c>
    </row>
    <row r="145" spans="6:31" x14ac:dyDescent="0.25">
      <c r="F145" s="59">
        <v>18</v>
      </c>
      <c r="G145" s="64">
        <v>4</v>
      </c>
      <c r="H145" s="59">
        <v>4</v>
      </c>
      <c r="I145" s="59">
        <v>4</v>
      </c>
      <c r="J145" s="59">
        <v>4</v>
      </c>
      <c r="K145" s="59">
        <v>5</v>
      </c>
      <c r="L145" s="59">
        <v>5</v>
      </c>
      <c r="M145" s="59">
        <v>5</v>
      </c>
      <c r="N145" s="64">
        <v>5</v>
      </c>
      <c r="O145" s="59">
        <v>5</v>
      </c>
      <c r="P145" s="59">
        <v>6</v>
      </c>
      <c r="Q145" s="59">
        <v>5</v>
      </c>
      <c r="R145" s="59">
        <v>5</v>
      </c>
      <c r="S145" s="59">
        <v>5</v>
      </c>
      <c r="T145" s="65">
        <v>5</v>
      </c>
      <c r="U145" s="59">
        <v>1</v>
      </c>
      <c r="V145" s="59">
        <v>1</v>
      </c>
      <c r="W145" s="59">
        <v>1</v>
      </c>
      <c r="X145" s="59">
        <v>2</v>
      </c>
      <c r="Y145" s="59">
        <v>2</v>
      </c>
      <c r="Z145" s="59">
        <v>3</v>
      </c>
      <c r="AA145" s="65">
        <v>3</v>
      </c>
      <c r="AB145" s="1">
        <f t="shared" si="2"/>
        <v>142</v>
      </c>
      <c r="AE145" s="59">
        <v>126</v>
      </c>
    </row>
    <row r="146" spans="6:31" x14ac:dyDescent="0.25">
      <c r="F146" s="59">
        <v>19</v>
      </c>
      <c r="G146" s="64">
        <v>4</v>
      </c>
      <c r="H146" s="59">
        <v>4</v>
      </c>
      <c r="I146" s="59">
        <v>4</v>
      </c>
      <c r="J146" s="59">
        <v>4</v>
      </c>
      <c r="K146" s="59">
        <v>4</v>
      </c>
      <c r="L146" s="59">
        <v>5</v>
      </c>
      <c r="M146" s="59">
        <v>5</v>
      </c>
      <c r="N146" s="64">
        <v>5</v>
      </c>
      <c r="O146" s="59">
        <v>5</v>
      </c>
      <c r="P146" s="59">
        <v>5</v>
      </c>
      <c r="Q146" s="59">
        <v>5</v>
      </c>
      <c r="R146" s="59">
        <v>5</v>
      </c>
      <c r="S146" s="59">
        <v>5</v>
      </c>
      <c r="T146" s="65">
        <v>5</v>
      </c>
      <c r="U146" s="59">
        <v>1</v>
      </c>
      <c r="V146" s="59">
        <v>1</v>
      </c>
      <c r="W146" s="59">
        <v>1</v>
      </c>
      <c r="X146" s="59">
        <v>2</v>
      </c>
      <c r="Y146" s="59">
        <v>2</v>
      </c>
      <c r="Z146" s="59">
        <v>2</v>
      </c>
      <c r="AA146" s="65">
        <v>3</v>
      </c>
      <c r="AB146" s="1">
        <f t="shared" si="2"/>
        <v>143</v>
      </c>
      <c r="AE146" s="59">
        <v>127</v>
      </c>
    </row>
    <row r="147" spans="6:31" x14ac:dyDescent="0.25">
      <c r="F147" s="59">
        <v>20</v>
      </c>
      <c r="G147" s="64">
        <v>3</v>
      </c>
      <c r="H147" s="59">
        <v>4</v>
      </c>
      <c r="I147" s="59">
        <v>4</v>
      </c>
      <c r="J147" s="59">
        <v>4</v>
      </c>
      <c r="K147" s="59">
        <v>4</v>
      </c>
      <c r="L147" s="59">
        <v>5</v>
      </c>
      <c r="M147" s="59">
        <v>5</v>
      </c>
      <c r="N147" s="64">
        <v>4</v>
      </c>
      <c r="O147" s="59">
        <v>5</v>
      </c>
      <c r="P147" s="59">
        <v>5</v>
      </c>
      <c r="Q147" s="59">
        <v>5</v>
      </c>
      <c r="R147" s="59">
        <v>5</v>
      </c>
      <c r="S147" s="59">
        <v>5</v>
      </c>
      <c r="T147" s="65">
        <v>5</v>
      </c>
      <c r="U147" s="59">
        <v>1</v>
      </c>
      <c r="V147" s="59">
        <v>1</v>
      </c>
      <c r="W147" s="59">
        <v>1</v>
      </c>
      <c r="X147" s="59">
        <v>1</v>
      </c>
      <c r="Y147" s="59">
        <v>2</v>
      </c>
      <c r="Z147" s="59">
        <v>2</v>
      </c>
      <c r="AA147" s="65">
        <v>2</v>
      </c>
      <c r="AB147" s="1">
        <f t="shared" si="2"/>
        <v>144</v>
      </c>
      <c r="AE147" s="59">
        <v>128</v>
      </c>
    </row>
    <row r="148" spans="6:31" x14ac:dyDescent="0.25">
      <c r="F148" s="59">
        <v>21</v>
      </c>
      <c r="G148" s="64">
        <v>3</v>
      </c>
      <c r="H148" s="59">
        <v>3</v>
      </c>
      <c r="I148" s="59">
        <v>4</v>
      </c>
      <c r="J148" s="59">
        <v>4</v>
      </c>
      <c r="K148" s="59">
        <v>4</v>
      </c>
      <c r="L148" s="59">
        <v>4</v>
      </c>
      <c r="M148" s="59">
        <v>5</v>
      </c>
      <c r="N148" s="64">
        <v>4</v>
      </c>
      <c r="O148" s="59">
        <v>5</v>
      </c>
      <c r="P148" s="59">
        <v>5</v>
      </c>
      <c r="Q148" s="59">
        <v>5</v>
      </c>
      <c r="R148" s="59">
        <v>5</v>
      </c>
      <c r="S148" s="59">
        <v>5</v>
      </c>
      <c r="T148" s="65">
        <v>4</v>
      </c>
      <c r="U148" s="59">
        <v>1</v>
      </c>
      <c r="V148" s="59">
        <v>1</v>
      </c>
      <c r="W148" s="59">
        <v>1</v>
      </c>
      <c r="X148" s="59">
        <v>1</v>
      </c>
      <c r="Y148" s="59">
        <v>1</v>
      </c>
      <c r="Z148" s="59">
        <v>2</v>
      </c>
      <c r="AA148" s="65">
        <v>2</v>
      </c>
      <c r="AB148" s="1">
        <f t="shared" si="2"/>
        <v>145</v>
      </c>
      <c r="AE148" s="59">
        <v>129</v>
      </c>
    </row>
    <row r="149" spans="6:31" x14ac:dyDescent="0.25">
      <c r="F149" s="59">
        <v>22</v>
      </c>
      <c r="G149" s="64">
        <v>3</v>
      </c>
      <c r="H149" s="59">
        <v>3</v>
      </c>
      <c r="I149" s="59">
        <v>3</v>
      </c>
      <c r="J149" s="59">
        <v>4</v>
      </c>
      <c r="K149" s="59">
        <v>4</v>
      </c>
      <c r="L149" s="59">
        <v>4</v>
      </c>
      <c r="M149" s="59">
        <v>4</v>
      </c>
      <c r="N149" s="64">
        <v>4</v>
      </c>
      <c r="O149" s="59">
        <v>4</v>
      </c>
      <c r="P149" s="59">
        <v>5</v>
      </c>
      <c r="Q149" s="59">
        <v>4</v>
      </c>
      <c r="R149" s="59">
        <v>5</v>
      </c>
      <c r="S149" s="59">
        <v>4</v>
      </c>
      <c r="T149" s="65">
        <v>4</v>
      </c>
      <c r="U149" s="59">
        <v>1</v>
      </c>
      <c r="V149" s="59">
        <v>1</v>
      </c>
      <c r="W149" s="59">
        <v>1</v>
      </c>
      <c r="X149" s="59">
        <v>1</v>
      </c>
      <c r="Y149" s="59">
        <v>1</v>
      </c>
      <c r="Z149" s="59">
        <v>1</v>
      </c>
      <c r="AA149" s="65">
        <v>2</v>
      </c>
      <c r="AB149" s="1">
        <f t="shared" si="2"/>
        <v>146</v>
      </c>
      <c r="AE149" s="59">
        <v>129</v>
      </c>
    </row>
    <row r="150" spans="6:31" x14ac:dyDescent="0.25">
      <c r="F150" s="59">
        <v>23</v>
      </c>
      <c r="G150" s="64">
        <v>3</v>
      </c>
      <c r="H150" s="59">
        <v>3</v>
      </c>
      <c r="I150" s="59">
        <v>3</v>
      </c>
      <c r="J150" s="59">
        <v>3</v>
      </c>
      <c r="K150" s="59">
        <v>4</v>
      </c>
      <c r="L150" s="59">
        <v>4</v>
      </c>
      <c r="M150" s="59">
        <v>4</v>
      </c>
      <c r="N150" s="64">
        <v>4</v>
      </c>
      <c r="O150" s="59">
        <v>4</v>
      </c>
      <c r="P150" s="59">
        <v>4</v>
      </c>
      <c r="Q150" s="59">
        <v>4</v>
      </c>
      <c r="R150" s="59">
        <v>4</v>
      </c>
      <c r="S150" s="59">
        <v>4</v>
      </c>
      <c r="T150" s="65">
        <v>4</v>
      </c>
      <c r="U150" s="59">
        <v>1</v>
      </c>
      <c r="V150" s="59">
        <v>1</v>
      </c>
      <c r="W150" s="59">
        <v>1</v>
      </c>
      <c r="X150" s="59">
        <v>1</v>
      </c>
      <c r="Y150" s="59">
        <v>1</v>
      </c>
      <c r="Z150" s="59">
        <v>1</v>
      </c>
      <c r="AA150" s="65">
        <v>1</v>
      </c>
      <c r="AB150" s="1">
        <f t="shared" si="2"/>
        <v>147</v>
      </c>
      <c r="AE150" s="59">
        <v>130</v>
      </c>
    </row>
    <row r="151" spans="6:31" x14ac:dyDescent="0.25">
      <c r="F151" s="59">
        <v>24</v>
      </c>
      <c r="G151" s="64">
        <v>2</v>
      </c>
      <c r="H151" s="59">
        <v>3</v>
      </c>
      <c r="I151" s="59">
        <v>3</v>
      </c>
      <c r="J151" s="59">
        <v>3</v>
      </c>
      <c r="K151" s="59">
        <v>3</v>
      </c>
      <c r="L151" s="59">
        <v>4</v>
      </c>
      <c r="M151" s="59">
        <v>4</v>
      </c>
      <c r="N151" s="64">
        <v>3</v>
      </c>
      <c r="O151" s="59">
        <v>4</v>
      </c>
      <c r="P151" s="59">
        <v>4</v>
      </c>
      <c r="Q151" s="59">
        <v>4</v>
      </c>
      <c r="R151" s="59">
        <v>4</v>
      </c>
      <c r="S151" s="59">
        <v>4</v>
      </c>
      <c r="T151" s="65">
        <v>4</v>
      </c>
      <c r="U151" s="59">
        <v>1</v>
      </c>
      <c r="V151" s="59">
        <v>1</v>
      </c>
      <c r="W151" s="59">
        <v>1</v>
      </c>
      <c r="X151" s="59">
        <v>1</v>
      </c>
      <c r="Y151" s="59">
        <v>1</v>
      </c>
      <c r="Z151" s="59">
        <v>1</v>
      </c>
      <c r="AA151" s="65">
        <v>1</v>
      </c>
      <c r="AB151" s="1">
        <f t="shared" si="2"/>
        <v>148</v>
      </c>
      <c r="AE151" s="59">
        <v>131</v>
      </c>
    </row>
    <row r="152" spans="6:31" x14ac:dyDescent="0.25">
      <c r="F152" s="59">
        <v>25</v>
      </c>
      <c r="G152" s="64">
        <v>2</v>
      </c>
      <c r="H152" s="59">
        <v>2</v>
      </c>
      <c r="I152" s="59">
        <v>3</v>
      </c>
      <c r="J152" s="59">
        <v>3</v>
      </c>
      <c r="K152" s="59">
        <v>3</v>
      </c>
      <c r="L152" s="59">
        <v>4</v>
      </c>
      <c r="M152" s="59">
        <v>4</v>
      </c>
      <c r="N152" s="64">
        <v>3</v>
      </c>
      <c r="O152" s="59">
        <v>4</v>
      </c>
      <c r="P152" s="59">
        <v>4</v>
      </c>
      <c r="Q152" s="59">
        <v>4</v>
      </c>
      <c r="R152" s="59">
        <v>4</v>
      </c>
      <c r="S152" s="59">
        <v>4</v>
      </c>
      <c r="T152" s="65">
        <v>3</v>
      </c>
      <c r="U152" s="59">
        <v>1</v>
      </c>
      <c r="V152" s="59">
        <v>1</v>
      </c>
      <c r="W152" s="59">
        <v>1</v>
      </c>
      <c r="X152" s="59">
        <v>1</v>
      </c>
      <c r="Y152" s="59">
        <v>1</v>
      </c>
      <c r="Z152" s="59">
        <v>1</v>
      </c>
      <c r="AA152" s="65">
        <v>1</v>
      </c>
      <c r="AB152" s="1">
        <f t="shared" si="2"/>
        <v>149</v>
      </c>
      <c r="AE152" s="59">
        <v>132</v>
      </c>
    </row>
    <row r="153" spans="6:31" x14ac:dyDescent="0.25">
      <c r="F153" s="59">
        <v>26</v>
      </c>
      <c r="G153" s="64">
        <v>2</v>
      </c>
      <c r="H153" s="59">
        <v>2</v>
      </c>
      <c r="I153" s="59">
        <v>2</v>
      </c>
      <c r="J153" s="59">
        <v>3</v>
      </c>
      <c r="K153" s="59">
        <v>3</v>
      </c>
      <c r="L153" s="59">
        <v>3</v>
      </c>
      <c r="M153" s="59">
        <v>4</v>
      </c>
      <c r="N153" s="64">
        <v>3</v>
      </c>
      <c r="O153" s="59">
        <v>3</v>
      </c>
      <c r="P153" s="59">
        <v>4</v>
      </c>
      <c r="Q153" s="59">
        <v>4</v>
      </c>
      <c r="R153" s="59">
        <v>4</v>
      </c>
      <c r="S153" s="59">
        <v>3</v>
      </c>
      <c r="T153" s="65">
        <v>3</v>
      </c>
      <c r="U153" s="59">
        <v>1</v>
      </c>
      <c r="V153" s="59">
        <v>1</v>
      </c>
      <c r="W153" s="59">
        <v>1</v>
      </c>
      <c r="X153" s="59">
        <v>1</v>
      </c>
      <c r="Y153" s="59">
        <v>1</v>
      </c>
      <c r="Z153" s="59">
        <v>1</v>
      </c>
      <c r="AA153" s="65">
        <v>1</v>
      </c>
      <c r="AB153" s="1">
        <f t="shared" si="2"/>
        <v>150</v>
      </c>
      <c r="AE153" s="59">
        <v>132</v>
      </c>
    </row>
    <row r="154" spans="6:31" x14ac:dyDescent="0.25">
      <c r="F154" s="59">
        <v>27</v>
      </c>
      <c r="G154" s="64">
        <v>2</v>
      </c>
      <c r="H154" s="59">
        <v>2</v>
      </c>
      <c r="I154" s="59">
        <v>2</v>
      </c>
      <c r="J154" s="59">
        <v>2</v>
      </c>
      <c r="K154" s="59">
        <v>3</v>
      </c>
      <c r="L154" s="59">
        <v>3</v>
      </c>
      <c r="M154" s="59">
        <v>3</v>
      </c>
      <c r="N154" s="64">
        <v>3</v>
      </c>
      <c r="O154" s="59">
        <v>3</v>
      </c>
      <c r="P154" s="59">
        <v>3</v>
      </c>
      <c r="Q154" s="59">
        <v>3</v>
      </c>
      <c r="R154" s="59">
        <v>3</v>
      </c>
      <c r="S154" s="59">
        <v>3</v>
      </c>
      <c r="T154" s="65">
        <v>3</v>
      </c>
      <c r="U154" s="59">
        <v>1</v>
      </c>
      <c r="V154" s="59">
        <v>1</v>
      </c>
      <c r="W154" s="59">
        <v>1</v>
      </c>
      <c r="X154" s="59">
        <v>1</v>
      </c>
      <c r="Y154" s="59">
        <v>1</v>
      </c>
      <c r="Z154" s="59">
        <v>1</v>
      </c>
      <c r="AA154" s="65">
        <v>1</v>
      </c>
      <c r="AB154" s="1">
        <f t="shared" si="2"/>
        <v>151</v>
      </c>
      <c r="AE154" s="59">
        <v>133</v>
      </c>
    </row>
    <row r="155" spans="6:31" x14ac:dyDescent="0.25">
      <c r="F155" s="59">
        <v>28</v>
      </c>
      <c r="G155" s="64">
        <v>1</v>
      </c>
      <c r="H155" s="59">
        <v>2</v>
      </c>
      <c r="I155" s="59">
        <v>2</v>
      </c>
      <c r="J155" s="59">
        <v>2</v>
      </c>
      <c r="K155" s="59">
        <v>2</v>
      </c>
      <c r="L155" s="59">
        <v>3</v>
      </c>
      <c r="M155" s="59">
        <v>3</v>
      </c>
      <c r="N155" s="64">
        <v>2</v>
      </c>
      <c r="O155" s="59">
        <v>3</v>
      </c>
      <c r="P155" s="59">
        <v>3</v>
      </c>
      <c r="Q155" s="59">
        <v>3</v>
      </c>
      <c r="R155" s="59">
        <v>3</v>
      </c>
      <c r="S155" s="59">
        <v>3</v>
      </c>
      <c r="T155" s="65">
        <v>3</v>
      </c>
      <c r="U155" s="59">
        <v>1</v>
      </c>
      <c r="V155" s="59">
        <v>1</v>
      </c>
      <c r="W155" s="59">
        <v>1</v>
      </c>
      <c r="X155" s="59">
        <v>1</v>
      </c>
      <c r="Y155" s="59">
        <v>1</v>
      </c>
      <c r="Z155" s="59">
        <v>1</v>
      </c>
      <c r="AA155" s="65">
        <v>1</v>
      </c>
      <c r="AB155" s="1">
        <f t="shared" si="2"/>
        <v>152</v>
      </c>
      <c r="AE155" s="59">
        <v>134</v>
      </c>
    </row>
    <row r="156" spans="6:31" x14ac:dyDescent="0.25">
      <c r="F156" s="59">
        <v>29</v>
      </c>
      <c r="G156" s="64">
        <v>1</v>
      </c>
      <c r="H156" s="59">
        <v>1</v>
      </c>
      <c r="I156" s="59">
        <v>2</v>
      </c>
      <c r="J156" s="59">
        <v>2</v>
      </c>
      <c r="K156" s="59">
        <v>2</v>
      </c>
      <c r="L156" s="59">
        <v>3</v>
      </c>
      <c r="M156" s="59">
        <v>3</v>
      </c>
      <c r="N156" s="64">
        <v>2</v>
      </c>
      <c r="O156" s="59">
        <v>3</v>
      </c>
      <c r="P156" s="59">
        <v>3</v>
      </c>
      <c r="Q156" s="59">
        <v>3</v>
      </c>
      <c r="R156" s="59">
        <v>3</v>
      </c>
      <c r="S156" s="59">
        <v>3</v>
      </c>
      <c r="T156" s="65">
        <v>2</v>
      </c>
      <c r="U156" s="59">
        <v>1</v>
      </c>
      <c r="V156" s="59">
        <v>1</v>
      </c>
      <c r="W156" s="59">
        <v>1</v>
      </c>
      <c r="X156" s="59">
        <v>1</v>
      </c>
      <c r="Y156" s="59">
        <v>1</v>
      </c>
      <c r="Z156" s="59">
        <v>1</v>
      </c>
      <c r="AA156" s="65">
        <v>1</v>
      </c>
      <c r="AB156" s="1">
        <f t="shared" si="2"/>
        <v>153</v>
      </c>
      <c r="AE156" s="59">
        <v>135</v>
      </c>
    </row>
    <row r="157" spans="6:31" x14ac:dyDescent="0.25">
      <c r="F157" s="59">
        <v>30</v>
      </c>
      <c r="G157" s="64">
        <v>1</v>
      </c>
      <c r="H157" s="59">
        <v>1</v>
      </c>
      <c r="I157" s="59">
        <v>1</v>
      </c>
      <c r="J157" s="59">
        <v>2</v>
      </c>
      <c r="K157" s="59">
        <v>2</v>
      </c>
      <c r="L157" s="59">
        <v>2</v>
      </c>
      <c r="M157" s="59">
        <v>3</v>
      </c>
      <c r="N157" s="64">
        <v>2</v>
      </c>
      <c r="O157" s="59">
        <v>2</v>
      </c>
      <c r="P157" s="59">
        <v>3</v>
      </c>
      <c r="Q157" s="59">
        <v>3</v>
      </c>
      <c r="R157" s="59">
        <v>3</v>
      </c>
      <c r="S157" s="59">
        <v>2</v>
      </c>
      <c r="T157" s="65">
        <v>2</v>
      </c>
      <c r="U157" s="59">
        <v>1</v>
      </c>
      <c r="V157" s="59">
        <v>1</v>
      </c>
      <c r="W157" s="59">
        <v>1</v>
      </c>
      <c r="X157" s="59">
        <v>1</v>
      </c>
      <c r="Y157" s="59">
        <v>1</v>
      </c>
      <c r="Z157" s="59">
        <v>1</v>
      </c>
      <c r="AA157" s="65">
        <v>1</v>
      </c>
      <c r="AB157" s="1">
        <f t="shared" si="2"/>
        <v>154</v>
      </c>
      <c r="AE157" s="59">
        <v>135</v>
      </c>
    </row>
    <row r="158" spans="6:31" x14ac:dyDescent="0.25">
      <c r="F158" s="59">
        <v>31</v>
      </c>
      <c r="G158" s="64">
        <v>1</v>
      </c>
      <c r="H158" s="59">
        <v>1</v>
      </c>
      <c r="I158" s="59">
        <v>1</v>
      </c>
      <c r="J158" s="59">
        <v>1</v>
      </c>
      <c r="K158" s="59">
        <v>2</v>
      </c>
      <c r="L158" s="59">
        <v>2</v>
      </c>
      <c r="M158" s="59">
        <v>2</v>
      </c>
      <c r="N158" s="64">
        <v>2</v>
      </c>
      <c r="O158" s="59">
        <v>2</v>
      </c>
      <c r="P158" s="59">
        <v>2</v>
      </c>
      <c r="Q158" s="59">
        <v>3</v>
      </c>
      <c r="R158" s="59">
        <v>2</v>
      </c>
      <c r="S158" s="59">
        <v>2</v>
      </c>
      <c r="T158" s="65">
        <v>2</v>
      </c>
      <c r="U158" s="59">
        <v>1</v>
      </c>
      <c r="V158" s="59">
        <v>1</v>
      </c>
      <c r="W158" s="59">
        <v>1</v>
      </c>
      <c r="X158" s="59">
        <v>1</v>
      </c>
      <c r="Y158" s="59">
        <v>1</v>
      </c>
      <c r="Z158" s="59">
        <v>1</v>
      </c>
      <c r="AA158" s="65">
        <v>1</v>
      </c>
      <c r="AB158" s="1">
        <f t="shared" si="2"/>
        <v>155</v>
      </c>
      <c r="AE158" s="59">
        <v>136</v>
      </c>
    </row>
    <row r="159" spans="6:31" x14ac:dyDescent="0.25">
      <c r="F159" s="59">
        <v>32</v>
      </c>
      <c r="G159" s="64">
        <v>1</v>
      </c>
      <c r="H159" s="59">
        <v>1</v>
      </c>
      <c r="I159" s="59">
        <v>1</v>
      </c>
      <c r="J159" s="59">
        <v>1</v>
      </c>
      <c r="K159" s="59">
        <v>1</v>
      </c>
      <c r="L159" s="59">
        <v>2</v>
      </c>
      <c r="M159" s="59">
        <v>2</v>
      </c>
      <c r="N159" s="64">
        <v>2</v>
      </c>
      <c r="O159" s="59">
        <v>2</v>
      </c>
      <c r="P159" s="59">
        <v>2</v>
      </c>
      <c r="Q159" s="59">
        <v>2</v>
      </c>
      <c r="R159" s="59">
        <v>2</v>
      </c>
      <c r="S159" s="59">
        <v>2</v>
      </c>
      <c r="T159" s="65">
        <v>2</v>
      </c>
      <c r="U159" s="59">
        <v>1</v>
      </c>
      <c r="V159" s="59">
        <v>1</v>
      </c>
      <c r="W159" s="59">
        <v>1</v>
      </c>
      <c r="X159" s="59">
        <v>1</v>
      </c>
      <c r="Y159" s="59">
        <v>1</v>
      </c>
      <c r="Z159" s="59">
        <v>1</v>
      </c>
      <c r="AA159" s="65">
        <v>1</v>
      </c>
      <c r="AB159" s="1">
        <f t="shared" si="2"/>
        <v>156</v>
      </c>
      <c r="AE159" s="59">
        <v>137</v>
      </c>
    </row>
    <row r="160" spans="6:31" x14ac:dyDescent="0.25">
      <c r="F160" s="59">
        <v>33</v>
      </c>
      <c r="G160" s="64">
        <v>1</v>
      </c>
      <c r="H160" s="59">
        <v>1</v>
      </c>
      <c r="I160" s="59">
        <v>1</v>
      </c>
      <c r="J160" s="59">
        <v>1</v>
      </c>
      <c r="K160" s="59">
        <v>1</v>
      </c>
      <c r="L160" s="59">
        <v>2</v>
      </c>
      <c r="M160" s="59">
        <v>2</v>
      </c>
      <c r="N160" s="64">
        <v>1</v>
      </c>
      <c r="O160" s="59">
        <v>2</v>
      </c>
      <c r="P160" s="59">
        <v>2</v>
      </c>
      <c r="Q160" s="59">
        <v>2</v>
      </c>
      <c r="R160" s="59">
        <v>2</v>
      </c>
      <c r="S160" s="59">
        <v>2</v>
      </c>
      <c r="T160" s="65">
        <v>2</v>
      </c>
      <c r="U160" s="59">
        <v>1</v>
      </c>
      <c r="V160" s="59">
        <v>1</v>
      </c>
      <c r="W160" s="59">
        <v>1</v>
      </c>
      <c r="X160" s="59">
        <v>1</v>
      </c>
      <c r="Y160" s="59">
        <v>1</v>
      </c>
      <c r="Z160" s="59">
        <v>1</v>
      </c>
      <c r="AA160" s="65">
        <v>1</v>
      </c>
      <c r="AB160" s="1">
        <f t="shared" si="2"/>
        <v>157</v>
      </c>
      <c r="AE160" s="59">
        <v>138</v>
      </c>
    </row>
    <row r="161" spans="6:31" x14ac:dyDescent="0.25">
      <c r="F161" s="59">
        <v>34</v>
      </c>
      <c r="G161" s="64">
        <v>1</v>
      </c>
      <c r="H161" s="59">
        <v>1</v>
      </c>
      <c r="I161" s="59">
        <v>1</v>
      </c>
      <c r="J161" s="59">
        <v>1</v>
      </c>
      <c r="K161" s="59">
        <v>1</v>
      </c>
      <c r="L161" s="59">
        <v>1</v>
      </c>
      <c r="M161" s="59">
        <v>2</v>
      </c>
      <c r="N161" s="64">
        <v>1</v>
      </c>
      <c r="O161" s="59">
        <v>2</v>
      </c>
      <c r="P161" s="59">
        <v>2</v>
      </c>
      <c r="Q161" s="59">
        <v>2</v>
      </c>
      <c r="R161" s="59">
        <v>2</v>
      </c>
      <c r="S161" s="59">
        <v>2</v>
      </c>
      <c r="T161" s="65">
        <v>1</v>
      </c>
      <c r="U161" s="59">
        <v>1</v>
      </c>
      <c r="V161" s="59">
        <v>1</v>
      </c>
      <c r="W161" s="59">
        <v>1</v>
      </c>
      <c r="X161" s="59">
        <v>1</v>
      </c>
      <c r="Y161" s="59">
        <v>1</v>
      </c>
      <c r="Z161" s="59">
        <v>1</v>
      </c>
      <c r="AA161" s="65">
        <v>1</v>
      </c>
      <c r="AB161" s="1">
        <f t="shared" si="2"/>
        <v>158</v>
      </c>
      <c r="AE161" s="59">
        <v>139</v>
      </c>
    </row>
    <row r="162" spans="6:31" x14ac:dyDescent="0.25">
      <c r="F162" s="59">
        <v>35</v>
      </c>
      <c r="G162" s="64">
        <v>1</v>
      </c>
      <c r="H162" s="59">
        <v>1</v>
      </c>
      <c r="I162" s="59">
        <v>1</v>
      </c>
      <c r="J162" s="59">
        <v>1</v>
      </c>
      <c r="K162" s="59">
        <v>1</v>
      </c>
      <c r="L162" s="59">
        <v>1</v>
      </c>
      <c r="M162" s="59">
        <v>1</v>
      </c>
      <c r="N162" s="64">
        <v>1</v>
      </c>
      <c r="O162" s="59">
        <v>1</v>
      </c>
      <c r="P162" s="59">
        <v>2</v>
      </c>
      <c r="Q162" s="59">
        <v>2</v>
      </c>
      <c r="R162" s="59">
        <v>2</v>
      </c>
      <c r="S162" s="59">
        <v>1</v>
      </c>
      <c r="T162" s="65">
        <v>1</v>
      </c>
      <c r="U162" s="59">
        <v>1</v>
      </c>
      <c r="V162" s="59">
        <v>1</v>
      </c>
      <c r="W162" s="59">
        <v>1</v>
      </c>
      <c r="X162" s="59">
        <v>1</v>
      </c>
      <c r="Y162" s="59">
        <v>1</v>
      </c>
      <c r="Z162" s="59">
        <v>1</v>
      </c>
      <c r="AA162" s="65">
        <v>1</v>
      </c>
      <c r="AB162" s="1">
        <f t="shared" si="2"/>
        <v>159</v>
      </c>
      <c r="AE162" s="59">
        <v>140</v>
      </c>
    </row>
    <row r="163" spans="6:31" x14ac:dyDescent="0.25">
      <c r="F163" s="59">
        <v>36</v>
      </c>
      <c r="G163" s="64">
        <v>1</v>
      </c>
      <c r="H163" s="59">
        <v>1</v>
      </c>
      <c r="I163" s="59">
        <v>1</v>
      </c>
      <c r="J163" s="59">
        <v>1</v>
      </c>
      <c r="K163" s="59">
        <v>1</v>
      </c>
      <c r="L163" s="59">
        <v>1</v>
      </c>
      <c r="M163" s="59">
        <v>1</v>
      </c>
      <c r="N163" s="64">
        <v>1</v>
      </c>
      <c r="O163" s="59">
        <v>1</v>
      </c>
      <c r="P163" s="59">
        <v>1</v>
      </c>
      <c r="Q163" s="59">
        <v>2</v>
      </c>
      <c r="R163" s="59">
        <v>1</v>
      </c>
      <c r="S163" s="59">
        <v>1</v>
      </c>
      <c r="T163" s="65">
        <v>1</v>
      </c>
      <c r="U163" s="59">
        <v>1</v>
      </c>
      <c r="V163" s="59">
        <v>1</v>
      </c>
      <c r="W163" s="59">
        <v>1</v>
      </c>
      <c r="X163" s="59">
        <v>1</v>
      </c>
      <c r="Y163" s="59">
        <v>1</v>
      </c>
      <c r="Z163" s="59">
        <v>1</v>
      </c>
      <c r="AA163" s="65">
        <v>1</v>
      </c>
      <c r="AB163" s="1">
        <f t="shared" si="2"/>
        <v>160</v>
      </c>
      <c r="AE163" s="59">
        <v>141</v>
      </c>
    </row>
    <row r="164" spans="6:31" x14ac:dyDescent="0.25">
      <c r="F164" s="59">
        <v>37</v>
      </c>
      <c r="G164" s="66">
        <v>1</v>
      </c>
      <c r="H164" s="67">
        <v>1</v>
      </c>
      <c r="I164" s="67">
        <v>1</v>
      </c>
      <c r="J164" s="67">
        <v>1</v>
      </c>
      <c r="K164" s="67">
        <v>1</v>
      </c>
      <c r="L164" s="67">
        <v>1</v>
      </c>
      <c r="M164" s="67">
        <v>1</v>
      </c>
      <c r="N164" s="66">
        <v>1</v>
      </c>
      <c r="O164" s="67">
        <v>1</v>
      </c>
      <c r="P164" s="67">
        <v>1</v>
      </c>
      <c r="Q164" s="67">
        <v>1</v>
      </c>
      <c r="R164" s="67">
        <v>1</v>
      </c>
      <c r="S164" s="67">
        <v>1</v>
      </c>
      <c r="T164" s="68">
        <v>1</v>
      </c>
      <c r="U164" s="67">
        <v>1</v>
      </c>
      <c r="V164" s="67">
        <v>1</v>
      </c>
      <c r="W164" s="67">
        <v>1</v>
      </c>
      <c r="X164" s="67">
        <v>1</v>
      </c>
      <c r="Y164" s="67">
        <v>1</v>
      </c>
      <c r="Z164" s="67">
        <v>1</v>
      </c>
      <c r="AA164" s="68">
        <v>1</v>
      </c>
      <c r="AB164" s="1">
        <f t="shared" si="2"/>
        <v>161</v>
      </c>
      <c r="AE164" s="59">
        <v>141</v>
      </c>
    </row>
    <row r="165" spans="6:31" x14ac:dyDescent="0.25"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AB165" s="1">
        <f t="shared" si="2"/>
        <v>162</v>
      </c>
      <c r="AE165" s="59">
        <v>142</v>
      </c>
    </row>
    <row r="166" spans="6:31" ht="15.75" x14ac:dyDescent="0.25">
      <c r="G166" s="117" t="s">
        <v>258</v>
      </c>
      <c r="H166" s="118"/>
      <c r="I166" s="118"/>
      <c r="J166" s="118"/>
      <c r="K166" s="118"/>
      <c r="L166" s="118"/>
      <c r="M166" s="119"/>
      <c r="N166" s="69"/>
      <c r="O166" s="69"/>
      <c r="P166" s="117" t="s">
        <v>264</v>
      </c>
      <c r="Q166" s="118"/>
      <c r="R166" s="118"/>
      <c r="S166" s="118"/>
      <c r="T166" s="118"/>
      <c r="U166" s="118"/>
      <c r="V166" s="119"/>
      <c r="W166" s="69"/>
      <c r="X166" s="69"/>
      <c r="Y166" s="69"/>
      <c r="AB166" s="1">
        <f t="shared" si="2"/>
        <v>163</v>
      </c>
      <c r="AE166" s="59">
        <v>143</v>
      </c>
    </row>
    <row r="167" spans="6:31" x14ac:dyDescent="0.25">
      <c r="F167" s="60" t="s">
        <v>14</v>
      </c>
      <c r="G167" s="62" t="s">
        <v>224</v>
      </c>
      <c r="H167" s="60" t="s">
        <v>239</v>
      </c>
      <c r="I167" s="60" t="s">
        <v>240</v>
      </c>
      <c r="J167" s="60" t="s">
        <v>241</v>
      </c>
      <c r="K167" s="60" t="s">
        <v>117</v>
      </c>
      <c r="L167" s="60" t="s">
        <v>242</v>
      </c>
      <c r="M167" s="63" t="s">
        <v>243</v>
      </c>
      <c r="N167" s="69"/>
      <c r="O167" s="60" t="s">
        <v>36</v>
      </c>
      <c r="P167" s="62" t="s">
        <v>224</v>
      </c>
      <c r="Q167" s="60" t="s">
        <v>239</v>
      </c>
      <c r="R167" s="60" t="s">
        <v>240</v>
      </c>
      <c r="S167" s="60" t="s">
        <v>241</v>
      </c>
      <c r="T167" s="60" t="s">
        <v>117</v>
      </c>
      <c r="U167" s="60" t="s">
        <v>242</v>
      </c>
      <c r="V167" s="63" t="s">
        <v>243</v>
      </c>
      <c r="W167" s="69"/>
      <c r="X167" s="69"/>
      <c r="Y167" s="69"/>
      <c r="AB167" s="1">
        <f t="shared" si="2"/>
        <v>164</v>
      </c>
      <c r="AE167" s="59">
        <v>144</v>
      </c>
    </row>
    <row r="168" spans="6:31" ht="15" customHeight="1" x14ac:dyDescent="0.25">
      <c r="F168" s="59">
        <v>100</v>
      </c>
      <c r="G168" s="64">
        <v>13</v>
      </c>
      <c r="H168" s="59">
        <v>13</v>
      </c>
      <c r="I168" s="59">
        <v>14</v>
      </c>
      <c r="J168" s="59">
        <v>15</v>
      </c>
      <c r="K168" s="59">
        <v>15</v>
      </c>
      <c r="L168" s="59">
        <v>16</v>
      </c>
      <c r="M168" s="65">
        <v>17</v>
      </c>
      <c r="N168" s="69"/>
      <c r="O168" s="59">
        <v>16</v>
      </c>
      <c r="P168" s="81">
        <v>100</v>
      </c>
      <c r="Q168" s="82">
        <v>100</v>
      </c>
      <c r="R168" s="82">
        <v>100</v>
      </c>
      <c r="S168" s="82">
        <v>100</v>
      </c>
      <c r="T168" s="82">
        <v>100</v>
      </c>
      <c r="U168" s="82">
        <v>100</v>
      </c>
      <c r="V168" s="83">
        <v>100</v>
      </c>
      <c r="W168" s="69"/>
      <c r="X168" s="69"/>
      <c r="Y168" s="69"/>
      <c r="AB168" s="1">
        <f t="shared" si="2"/>
        <v>165</v>
      </c>
      <c r="AE168" s="59">
        <v>145</v>
      </c>
    </row>
    <row r="169" spans="6:31" ht="15" customHeight="1" x14ac:dyDescent="0.25">
      <c r="F169" s="59">
        <f>F168-1</f>
        <v>99</v>
      </c>
      <c r="G169" s="64">
        <v>12</v>
      </c>
      <c r="H169" s="59">
        <v>12</v>
      </c>
      <c r="I169" s="59">
        <v>13</v>
      </c>
      <c r="J169" s="59">
        <v>13</v>
      </c>
      <c r="K169" s="59">
        <v>14</v>
      </c>
      <c r="L169" s="59">
        <v>15</v>
      </c>
      <c r="M169" s="65">
        <v>16</v>
      </c>
      <c r="N169" s="69"/>
      <c r="O169" s="59">
        <v>15</v>
      </c>
      <c r="P169" s="81">
        <v>5</v>
      </c>
      <c r="Q169" s="82">
        <v>4</v>
      </c>
      <c r="R169" s="82">
        <v>3</v>
      </c>
      <c r="S169" s="82">
        <v>6</v>
      </c>
      <c r="T169" s="82">
        <v>6</v>
      </c>
      <c r="U169" s="82">
        <v>10</v>
      </c>
      <c r="V169" s="83">
        <v>26</v>
      </c>
      <c r="W169" s="69"/>
      <c r="X169" s="69"/>
      <c r="Y169" s="69"/>
      <c r="AB169" s="1">
        <f t="shared" si="2"/>
        <v>166</v>
      </c>
      <c r="AE169" s="59">
        <v>145</v>
      </c>
    </row>
    <row r="170" spans="6:31" x14ac:dyDescent="0.25">
      <c r="F170" s="59">
        <f t="shared" ref="F170:F223" si="3">F169-1</f>
        <v>98</v>
      </c>
      <c r="G170" s="64">
        <v>11</v>
      </c>
      <c r="H170" s="59">
        <v>11</v>
      </c>
      <c r="I170" s="59">
        <v>12</v>
      </c>
      <c r="J170" s="59">
        <v>12</v>
      </c>
      <c r="K170" s="59">
        <v>13</v>
      </c>
      <c r="L170" s="59">
        <v>14</v>
      </c>
      <c r="M170" s="65">
        <v>15</v>
      </c>
      <c r="N170" s="69"/>
      <c r="O170" s="59">
        <v>14</v>
      </c>
      <c r="P170" s="81">
        <v>0</v>
      </c>
      <c r="Q170" s="82">
        <v>0</v>
      </c>
      <c r="R170" s="82">
        <v>0</v>
      </c>
      <c r="S170" s="82">
        <v>0</v>
      </c>
      <c r="T170" s="82">
        <v>0</v>
      </c>
      <c r="U170" s="82">
        <v>0</v>
      </c>
      <c r="V170" s="83">
        <v>10</v>
      </c>
      <c r="W170" s="69"/>
      <c r="X170" s="69"/>
      <c r="Y170" s="69"/>
      <c r="AB170" s="1">
        <f t="shared" si="2"/>
        <v>167</v>
      </c>
      <c r="AE170" s="59">
        <v>146</v>
      </c>
    </row>
    <row r="171" spans="6:31" x14ac:dyDescent="0.25">
      <c r="F171" s="59">
        <f t="shared" si="3"/>
        <v>97</v>
      </c>
      <c r="G171" s="64">
        <v>11</v>
      </c>
      <c r="H171" s="59">
        <v>11</v>
      </c>
      <c r="I171" s="59">
        <v>11</v>
      </c>
      <c r="J171" s="59">
        <v>12</v>
      </c>
      <c r="K171" s="59">
        <v>13</v>
      </c>
      <c r="L171" s="59">
        <v>13</v>
      </c>
      <c r="M171" s="65">
        <v>14</v>
      </c>
      <c r="N171" s="69"/>
      <c r="O171" s="59">
        <v>13</v>
      </c>
      <c r="P171" s="81">
        <v>0</v>
      </c>
      <c r="Q171" s="82">
        <v>0</v>
      </c>
      <c r="R171" s="82">
        <v>0</v>
      </c>
      <c r="S171" s="82">
        <v>0</v>
      </c>
      <c r="T171" s="82">
        <v>0</v>
      </c>
      <c r="U171" s="82">
        <v>0</v>
      </c>
      <c r="V171" s="83">
        <v>3</v>
      </c>
      <c r="W171" s="69"/>
      <c r="X171" s="69"/>
      <c r="Y171" s="69"/>
      <c r="AB171" s="1">
        <f t="shared" si="2"/>
        <v>168</v>
      </c>
      <c r="AE171" s="59">
        <v>147</v>
      </c>
    </row>
    <row r="172" spans="6:31" x14ac:dyDescent="0.25">
      <c r="F172" s="59">
        <f t="shared" si="3"/>
        <v>96</v>
      </c>
      <c r="G172" s="64">
        <v>10</v>
      </c>
      <c r="H172" s="59">
        <v>10</v>
      </c>
      <c r="I172" s="59">
        <v>10</v>
      </c>
      <c r="J172" s="59">
        <v>11</v>
      </c>
      <c r="K172" s="59">
        <v>12</v>
      </c>
      <c r="L172" s="59">
        <v>12</v>
      </c>
      <c r="M172" s="65">
        <v>13</v>
      </c>
      <c r="N172" s="69"/>
      <c r="O172" s="59">
        <v>12</v>
      </c>
      <c r="P172" s="84">
        <v>0</v>
      </c>
      <c r="Q172" s="85">
        <v>0</v>
      </c>
      <c r="R172" s="85">
        <v>0</v>
      </c>
      <c r="S172" s="85">
        <v>0</v>
      </c>
      <c r="T172" s="85">
        <v>0</v>
      </c>
      <c r="U172" s="85">
        <v>0</v>
      </c>
      <c r="V172" s="86">
        <v>0</v>
      </c>
      <c r="W172" s="69"/>
      <c r="X172" s="69"/>
      <c r="Y172" s="69"/>
      <c r="AB172" s="1">
        <f t="shared" si="2"/>
        <v>169</v>
      </c>
      <c r="AE172" s="59">
        <v>148</v>
      </c>
    </row>
    <row r="173" spans="6:31" x14ac:dyDescent="0.25">
      <c r="F173" s="59">
        <f t="shared" si="3"/>
        <v>95</v>
      </c>
      <c r="G173" s="64">
        <v>10</v>
      </c>
      <c r="H173" s="59">
        <v>10</v>
      </c>
      <c r="I173" s="59">
        <v>10</v>
      </c>
      <c r="J173" s="59">
        <v>11</v>
      </c>
      <c r="K173" s="59">
        <v>12</v>
      </c>
      <c r="L173" s="59">
        <v>12</v>
      </c>
      <c r="M173" s="65">
        <v>13</v>
      </c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AB173" s="1">
        <f t="shared" si="2"/>
        <v>170</v>
      </c>
      <c r="AE173" s="59">
        <v>149</v>
      </c>
    </row>
    <row r="174" spans="6:31" x14ac:dyDescent="0.25">
      <c r="F174" s="59">
        <f t="shared" si="3"/>
        <v>94</v>
      </c>
      <c r="G174" s="64">
        <v>9</v>
      </c>
      <c r="H174" s="59">
        <v>9</v>
      </c>
      <c r="I174" s="59">
        <v>9</v>
      </c>
      <c r="J174" s="59">
        <v>10</v>
      </c>
      <c r="K174" s="59">
        <v>11</v>
      </c>
      <c r="L174" s="59">
        <v>11</v>
      </c>
      <c r="M174" s="65">
        <v>12</v>
      </c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AB174" s="1">
        <f t="shared" si="2"/>
        <v>171</v>
      </c>
      <c r="AE174" s="59">
        <v>149</v>
      </c>
    </row>
    <row r="175" spans="6:31" x14ac:dyDescent="0.25">
      <c r="F175" s="59">
        <f t="shared" si="3"/>
        <v>93</v>
      </c>
      <c r="G175" s="64">
        <v>8</v>
      </c>
      <c r="H175" s="59">
        <v>9</v>
      </c>
      <c r="I175" s="59">
        <v>9</v>
      </c>
      <c r="J175" s="59">
        <v>10</v>
      </c>
      <c r="K175" s="59">
        <v>11</v>
      </c>
      <c r="L175" s="59">
        <v>11</v>
      </c>
      <c r="M175" s="65">
        <v>12</v>
      </c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AB175" s="1">
        <f t="shared" si="2"/>
        <v>172</v>
      </c>
      <c r="AE175" s="59">
        <v>150</v>
      </c>
    </row>
    <row r="176" spans="6:31" x14ac:dyDescent="0.25">
      <c r="F176" s="59">
        <f t="shared" si="3"/>
        <v>92</v>
      </c>
      <c r="G176" s="64">
        <v>7</v>
      </c>
      <c r="H176" s="59">
        <v>8</v>
      </c>
      <c r="I176" s="59">
        <v>9</v>
      </c>
      <c r="J176" s="59">
        <v>10</v>
      </c>
      <c r="K176" s="59">
        <v>10</v>
      </c>
      <c r="L176" s="59">
        <v>11</v>
      </c>
      <c r="M176" s="65">
        <v>11</v>
      </c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AB176" s="1">
        <f t="shared" si="2"/>
        <v>173</v>
      </c>
      <c r="AE176" s="59">
        <v>151</v>
      </c>
    </row>
    <row r="177" spans="6:31" x14ac:dyDescent="0.25">
      <c r="F177" s="59">
        <f t="shared" si="3"/>
        <v>91</v>
      </c>
      <c r="G177" s="64">
        <v>7</v>
      </c>
      <c r="H177" s="59">
        <v>8</v>
      </c>
      <c r="I177" s="59">
        <v>9</v>
      </c>
      <c r="J177" s="59">
        <v>9</v>
      </c>
      <c r="K177" s="59">
        <v>10</v>
      </c>
      <c r="L177" s="59">
        <v>11</v>
      </c>
      <c r="M177" s="65">
        <v>11</v>
      </c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AB177" s="1">
        <f t="shared" si="2"/>
        <v>174</v>
      </c>
      <c r="AE177" s="59">
        <v>152</v>
      </c>
    </row>
    <row r="178" spans="6:31" x14ac:dyDescent="0.25">
      <c r="F178" s="59">
        <f t="shared" si="3"/>
        <v>90</v>
      </c>
      <c r="G178" s="64">
        <v>7</v>
      </c>
      <c r="H178" s="59">
        <v>7</v>
      </c>
      <c r="I178" s="59">
        <v>8</v>
      </c>
      <c r="J178" s="59">
        <v>9</v>
      </c>
      <c r="K178" s="59">
        <v>10</v>
      </c>
      <c r="L178" s="59">
        <v>10</v>
      </c>
      <c r="M178" s="65">
        <v>11</v>
      </c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AB178" s="1">
        <f t="shared" si="2"/>
        <v>175</v>
      </c>
      <c r="AE178" s="59">
        <v>153</v>
      </c>
    </row>
    <row r="179" spans="6:31" x14ac:dyDescent="0.25">
      <c r="F179" s="59">
        <f t="shared" si="3"/>
        <v>89</v>
      </c>
      <c r="G179" s="64">
        <v>7</v>
      </c>
      <c r="H179" s="59">
        <v>7</v>
      </c>
      <c r="I179" s="59">
        <v>8</v>
      </c>
      <c r="J179" s="59">
        <v>9</v>
      </c>
      <c r="K179" s="59">
        <v>10</v>
      </c>
      <c r="L179" s="59">
        <v>10</v>
      </c>
      <c r="M179" s="65">
        <v>11</v>
      </c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AB179" s="1">
        <f t="shared" si="2"/>
        <v>176</v>
      </c>
      <c r="AE179" s="59">
        <v>153</v>
      </c>
    </row>
    <row r="180" spans="6:31" x14ac:dyDescent="0.25">
      <c r="F180" s="59">
        <f t="shared" si="3"/>
        <v>88</v>
      </c>
      <c r="G180" s="64">
        <v>6</v>
      </c>
      <c r="H180" s="59">
        <v>7</v>
      </c>
      <c r="I180" s="59">
        <v>8</v>
      </c>
      <c r="J180" s="59">
        <v>8</v>
      </c>
      <c r="K180" s="59">
        <v>9</v>
      </c>
      <c r="L180" s="59">
        <v>10</v>
      </c>
      <c r="M180" s="65">
        <v>10</v>
      </c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AB180" s="1">
        <f t="shared" si="2"/>
        <v>177</v>
      </c>
      <c r="AE180" s="59">
        <v>154</v>
      </c>
    </row>
    <row r="181" spans="6:31" x14ac:dyDescent="0.25">
      <c r="F181" s="59">
        <f t="shared" si="3"/>
        <v>87</v>
      </c>
      <c r="G181" s="64">
        <v>6</v>
      </c>
      <c r="H181" s="59">
        <v>7</v>
      </c>
      <c r="I181" s="59">
        <v>8</v>
      </c>
      <c r="J181" s="59">
        <v>8</v>
      </c>
      <c r="K181" s="59">
        <v>9</v>
      </c>
      <c r="L181" s="59">
        <v>10</v>
      </c>
      <c r="M181" s="65">
        <v>10</v>
      </c>
      <c r="AB181" s="1">
        <f t="shared" si="2"/>
        <v>178</v>
      </c>
      <c r="AE181" s="59">
        <v>155</v>
      </c>
    </row>
    <row r="182" spans="6:31" x14ac:dyDescent="0.25">
      <c r="F182" s="59">
        <f t="shared" si="3"/>
        <v>86</v>
      </c>
      <c r="G182" s="64">
        <v>6</v>
      </c>
      <c r="H182" s="59">
        <v>6</v>
      </c>
      <c r="I182" s="59">
        <v>7</v>
      </c>
      <c r="J182" s="59">
        <v>8</v>
      </c>
      <c r="K182" s="59">
        <v>9</v>
      </c>
      <c r="L182" s="59">
        <v>9</v>
      </c>
      <c r="M182" s="65">
        <v>10</v>
      </c>
      <c r="AB182" s="1">
        <f t="shared" si="2"/>
        <v>179</v>
      </c>
      <c r="AE182" s="59">
        <v>156</v>
      </c>
    </row>
    <row r="183" spans="6:31" x14ac:dyDescent="0.25">
      <c r="F183" s="59">
        <f t="shared" si="3"/>
        <v>85</v>
      </c>
      <c r="G183" s="64">
        <v>5</v>
      </c>
      <c r="H183" s="59">
        <v>6</v>
      </c>
      <c r="I183" s="59">
        <v>7</v>
      </c>
      <c r="J183" s="59">
        <v>8</v>
      </c>
      <c r="K183" s="59">
        <v>9</v>
      </c>
      <c r="L183" s="59">
        <v>9</v>
      </c>
      <c r="M183" s="65">
        <v>10</v>
      </c>
      <c r="AB183" s="1">
        <f t="shared" si="2"/>
        <v>180</v>
      </c>
      <c r="AE183" s="59">
        <v>157</v>
      </c>
    </row>
    <row r="184" spans="6:31" x14ac:dyDescent="0.25">
      <c r="F184" s="59">
        <f t="shared" si="3"/>
        <v>84</v>
      </c>
      <c r="G184" s="64">
        <v>5</v>
      </c>
      <c r="H184" s="59">
        <v>6</v>
      </c>
      <c r="I184" s="59">
        <v>7</v>
      </c>
      <c r="J184" s="59">
        <v>8</v>
      </c>
      <c r="K184" s="59">
        <v>8</v>
      </c>
      <c r="L184" s="59">
        <v>9</v>
      </c>
      <c r="M184" s="65">
        <v>10</v>
      </c>
      <c r="AB184" s="1">
        <f t="shared" si="2"/>
        <v>181</v>
      </c>
      <c r="AE184" s="59">
        <v>157</v>
      </c>
    </row>
    <row r="185" spans="6:31" x14ac:dyDescent="0.25">
      <c r="F185" s="59">
        <f t="shared" si="3"/>
        <v>83</v>
      </c>
      <c r="G185" s="64">
        <v>5</v>
      </c>
      <c r="H185" s="59">
        <v>6</v>
      </c>
      <c r="I185" s="59">
        <v>7</v>
      </c>
      <c r="J185" s="59">
        <v>7</v>
      </c>
      <c r="K185" s="59">
        <v>8</v>
      </c>
      <c r="L185" s="59">
        <v>9</v>
      </c>
      <c r="M185" s="65">
        <v>9</v>
      </c>
      <c r="AB185" s="1">
        <f t="shared" si="2"/>
        <v>182</v>
      </c>
      <c r="AE185" s="59">
        <v>158</v>
      </c>
    </row>
    <row r="186" spans="6:31" x14ac:dyDescent="0.25">
      <c r="F186" s="59">
        <f t="shared" si="3"/>
        <v>82</v>
      </c>
      <c r="G186" s="64">
        <v>5</v>
      </c>
      <c r="H186" s="59">
        <v>6</v>
      </c>
      <c r="I186" s="59">
        <v>7</v>
      </c>
      <c r="J186" s="59">
        <v>7</v>
      </c>
      <c r="K186" s="59">
        <v>8</v>
      </c>
      <c r="L186" s="59">
        <v>8</v>
      </c>
      <c r="M186" s="65">
        <v>9</v>
      </c>
      <c r="AB186" s="1">
        <f t="shared" si="2"/>
        <v>183</v>
      </c>
      <c r="AE186" s="59">
        <v>159</v>
      </c>
    </row>
    <row r="187" spans="6:31" x14ac:dyDescent="0.25">
      <c r="F187" s="59">
        <f t="shared" si="3"/>
        <v>81</v>
      </c>
      <c r="G187" s="64">
        <v>4</v>
      </c>
      <c r="H187" s="59">
        <v>5</v>
      </c>
      <c r="I187" s="59">
        <v>6</v>
      </c>
      <c r="J187" s="59">
        <v>7</v>
      </c>
      <c r="K187" s="59">
        <v>7</v>
      </c>
      <c r="L187" s="59">
        <v>8</v>
      </c>
      <c r="M187" s="65">
        <v>9</v>
      </c>
      <c r="AB187" s="1">
        <f t="shared" si="2"/>
        <v>184</v>
      </c>
      <c r="AE187" s="59">
        <v>160</v>
      </c>
    </row>
    <row r="188" spans="6:31" x14ac:dyDescent="0.25">
      <c r="F188" s="59">
        <f t="shared" si="3"/>
        <v>80</v>
      </c>
      <c r="G188" s="64">
        <v>4</v>
      </c>
      <c r="H188" s="59">
        <v>5</v>
      </c>
      <c r="I188" s="59">
        <v>6</v>
      </c>
      <c r="J188" s="59">
        <v>7</v>
      </c>
      <c r="K188" s="59">
        <v>7</v>
      </c>
      <c r="L188" s="59">
        <v>8</v>
      </c>
      <c r="M188" s="65">
        <v>9</v>
      </c>
      <c r="AB188" s="1">
        <f t="shared" si="2"/>
        <v>185</v>
      </c>
      <c r="AE188" s="59">
        <v>160</v>
      </c>
    </row>
    <row r="189" spans="6:31" x14ac:dyDescent="0.25">
      <c r="F189" s="59">
        <f t="shared" si="3"/>
        <v>79</v>
      </c>
      <c r="G189" s="64">
        <v>4</v>
      </c>
      <c r="H189" s="59">
        <v>5</v>
      </c>
      <c r="I189" s="59">
        <v>6</v>
      </c>
      <c r="J189" s="59">
        <v>6</v>
      </c>
      <c r="K189" s="59">
        <v>7</v>
      </c>
      <c r="L189" s="59">
        <v>7</v>
      </c>
      <c r="M189" s="65">
        <v>8</v>
      </c>
      <c r="AB189" s="1">
        <f t="shared" si="2"/>
        <v>186</v>
      </c>
      <c r="AE189" s="59">
        <v>160</v>
      </c>
    </row>
    <row r="190" spans="6:31" x14ac:dyDescent="0.25">
      <c r="F190" s="59">
        <f t="shared" si="3"/>
        <v>78</v>
      </c>
      <c r="G190" s="64">
        <v>4</v>
      </c>
      <c r="H190" s="59">
        <v>5</v>
      </c>
      <c r="I190" s="59">
        <v>6</v>
      </c>
      <c r="J190" s="59">
        <v>6</v>
      </c>
      <c r="K190" s="59">
        <v>7</v>
      </c>
      <c r="L190" s="59">
        <v>7</v>
      </c>
      <c r="M190" s="65">
        <v>8</v>
      </c>
      <c r="AB190" s="1">
        <f t="shared" si="2"/>
        <v>187</v>
      </c>
      <c r="AE190" s="59">
        <v>160</v>
      </c>
    </row>
    <row r="191" spans="6:31" x14ac:dyDescent="0.25">
      <c r="F191" s="59">
        <f t="shared" si="3"/>
        <v>77</v>
      </c>
      <c r="G191" s="64">
        <v>3</v>
      </c>
      <c r="H191" s="59">
        <v>4</v>
      </c>
      <c r="I191" s="59">
        <v>5</v>
      </c>
      <c r="J191" s="59">
        <v>6</v>
      </c>
      <c r="K191" s="59">
        <v>6</v>
      </c>
      <c r="L191" s="59">
        <v>7</v>
      </c>
      <c r="M191" s="65">
        <v>8</v>
      </c>
      <c r="AB191" s="1">
        <f t="shared" si="2"/>
        <v>188</v>
      </c>
      <c r="AE191" s="59">
        <v>160</v>
      </c>
    </row>
    <row r="192" spans="6:31" x14ac:dyDescent="0.25">
      <c r="F192" s="59">
        <f t="shared" si="3"/>
        <v>76</v>
      </c>
      <c r="G192" s="64">
        <v>3</v>
      </c>
      <c r="H192" s="59">
        <v>4</v>
      </c>
      <c r="I192" s="59">
        <v>5</v>
      </c>
      <c r="J192" s="59">
        <v>6</v>
      </c>
      <c r="K192" s="59">
        <v>6</v>
      </c>
      <c r="L192" s="59">
        <v>7</v>
      </c>
      <c r="M192" s="65">
        <v>8</v>
      </c>
      <c r="AB192" s="1">
        <f t="shared" si="2"/>
        <v>189</v>
      </c>
      <c r="AE192" s="59">
        <v>160</v>
      </c>
    </row>
    <row r="193" spans="6:31" x14ac:dyDescent="0.25">
      <c r="F193" s="59">
        <f t="shared" si="3"/>
        <v>75</v>
      </c>
      <c r="G193" s="64">
        <v>3</v>
      </c>
      <c r="H193" s="59">
        <v>4</v>
      </c>
      <c r="I193" s="59">
        <v>5</v>
      </c>
      <c r="J193" s="59">
        <v>5</v>
      </c>
      <c r="K193" s="59">
        <v>6</v>
      </c>
      <c r="L193" s="59">
        <v>6</v>
      </c>
      <c r="M193" s="65">
        <v>7</v>
      </c>
      <c r="AB193" s="1">
        <f t="shared" si="2"/>
        <v>190</v>
      </c>
      <c r="AE193" s="59">
        <v>160</v>
      </c>
    </row>
    <row r="194" spans="6:31" x14ac:dyDescent="0.25">
      <c r="F194" s="59">
        <f t="shared" si="3"/>
        <v>74</v>
      </c>
      <c r="G194" s="64">
        <v>3</v>
      </c>
      <c r="H194" s="59">
        <v>4</v>
      </c>
      <c r="I194" s="59">
        <v>5</v>
      </c>
      <c r="J194" s="59">
        <v>5</v>
      </c>
      <c r="K194" s="59">
        <v>6</v>
      </c>
      <c r="L194" s="59">
        <v>6</v>
      </c>
      <c r="M194" s="65">
        <v>7</v>
      </c>
    </row>
    <row r="195" spans="6:31" x14ac:dyDescent="0.25">
      <c r="F195" s="59">
        <f t="shared" si="3"/>
        <v>73</v>
      </c>
      <c r="G195" s="64">
        <v>2</v>
      </c>
      <c r="H195" s="59">
        <v>3</v>
      </c>
      <c r="I195" s="59">
        <v>4</v>
      </c>
      <c r="J195" s="59">
        <v>5</v>
      </c>
      <c r="K195" s="59">
        <v>5</v>
      </c>
      <c r="L195" s="59">
        <v>6</v>
      </c>
      <c r="M195" s="65">
        <v>7</v>
      </c>
    </row>
    <row r="196" spans="6:31" x14ac:dyDescent="0.25">
      <c r="F196" s="59">
        <f t="shared" si="3"/>
        <v>72</v>
      </c>
      <c r="G196" s="64">
        <v>2</v>
      </c>
      <c r="H196" s="59">
        <v>3</v>
      </c>
      <c r="I196" s="59">
        <v>4</v>
      </c>
      <c r="J196" s="59">
        <v>5</v>
      </c>
      <c r="K196" s="59">
        <v>5</v>
      </c>
      <c r="L196" s="59">
        <v>6</v>
      </c>
      <c r="M196" s="65">
        <v>7</v>
      </c>
    </row>
    <row r="197" spans="6:31" x14ac:dyDescent="0.25">
      <c r="F197" s="59">
        <f t="shared" si="3"/>
        <v>71</v>
      </c>
      <c r="G197" s="64">
        <v>2</v>
      </c>
      <c r="H197" s="59">
        <v>3</v>
      </c>
      <c r="I197" s="59">
        <v>4</v>
      </c>
      <c r="J197" s="59">
        <v>4</v>
      </c>
      <c r="K197" s="59">
        <v>5</v>
      </c>
      <c r="L197" s="59">
        <v>6</v>
      </c>
      <c r="M197" s="65">
        <v>6</v>
      </c>
    </row>
    <row r="198" spans="6:31" x14ac:dyDescent="0.25">
      <c r="F198" s="59">
        <f t="shared" si="3"/>
        <v>70</v>
      </c>
      <c r="G198" s="64">
        <v>2</v>
      </c>
      <c r="H198" s="59">
        <v>3</v>
      </c>
      <c r="I198" s="59">
        <v>4</v>
      </c>
      <c r="J198" s="59">
        <v>4</v>
      </c>
      <c r="K198" s="59">
        <v>5</v>
      </c>
      <c r="L198" s="59">
        <v>5</v>
      </c>
      <c r="M198" s="65">
        <v>6</v>
      </c>
    </row>
    <row r="199" spans="6:31" x14ac:dyDescent="0.25">
      <c r="F199" s="59">
        <f t="shared" si="3"/>
        <v>69</v>
      </c>
      <c r="G199" s="64">
        <v>1</v>
      </c>
      <c r="H199" s="59">
        <v>2</v>
      </c>
      <c r="I199" s="59">
        <v>3</v>
      </c>
      <c r="J199" s="59">
        <v>4</v>
      </c>
      <c r="K199" s="59">
        <v>5</v>
      </c>
      <c r="L199" s="59">
        <v>5</v>
      </c>
      <c r="M199" s="65">
        <v>6</v>
      </c>
    </row>
    <row r="200" spans="6:31" x14ac:dyDescent="0.25">
      <c r="F200" s="59">
        <f t="shared" si="3"/>
        <v>68</v>
      </c>
      <c r="G200" s="64">
        <v>1</v>
      </c>
      <c r="H200" s="59">
        <v>2</v>
      </c>
      <c r="I200" s="59">
        <v>3</v>
      </c>
      <c r="J200" s="59">
        <v>4</v>
      </c>
      <c r="K200" s="59">
        <v>5</v>
      </c>
      <c r="L200" s="59">
        <v>5</v>
      </c>
      <c r="M200" s="65">
        <v>6</v>
      </c>
    </row>
    <row r="201" spans="6:31" x14ac:dyDescent="0.25">
      <c r="F201" s="59">
        <f t="shared" si="3"/>
        <v>67</v>
      </c>
      <c r="G201" s="64">
        <v>1</v>
      </c>
      <c r="H201" s="59">
        <v>2</v>
      </c>
      <c r="I201" s="59">
        <v>3</v>
      </c>
      <c r="J201" s="59">
        <v>4</v>
      </c>
      <c r="K201" s="59">
        <v>4</v>
      </c>
      <c r="L201" s="59">
        <v>5</v>
      </c>
      <c r="M201" s="65">
        <v>5</v>
      </c>
    </row>
    <row r="202" spans="6:31" x14ac:dyDescent="0.25">
      <c r="F202" s="59">
        <f t="shared" si="3"/>
        <v>66</v>
      </c>
      <c r="G202" s="64">
        <v>1</v>
      </c>
      <c r="H202" s="59">
        <v>2</v>
      </c>
      <c r="I202" s="59">
        <v>3</v>
      </c>
      <c r="J202" s="59">
        <v>4</v>
      </c>
      <c r="K202" s="59">
        <v>4</v>
      </c>
      <c r="L202" s="59">
        <v>5</v>
      </c>
      <c r="M202" s="65">
        <v>5</v>
      </c>
    </row>
    <row r="203" spans="6:31" x14ac:dyDescent="0.25">
      <c r="F203" s="59">
        <f t="shared" si="3"/>
        <v>65</v>
      </c>
      <c r="G203" s="64">
        <v>1</v>
      </c>
      <c r="H203" s="59">
        <v>2</v>
      </c>
      <c r="I203" s="59">
        <v>2</v>
      </c>
      <c r="J203" s="59">
        <v>3</v>
      </c>
      <c r="K203" s="59">
        <v>4</v>
      </c>
      <c r="L203" s="59">
        <v>4</v>
      </c>
      <c r="M203" s="65">
        <v>5</v>
      </c>
      <c r="N203" s="69"/>
      <c r="O203" s="69"/>
      <c r="P203" s="69"/>
      <c r="Q203" s="69"/>
      <c r="R203" s="69"/>
      <c r="S203" s="69"/>
      <c r="T203" s="69"/>
      <c r="U203" s="69"/>
      <c r="V203" s="69"/>
      <c r="W203" s="69"/>
    </row>
    <row r="204" spans="6:31" x14ac:dyDescent="0.25">
      <c r="F204" s="59">
        <f t="shared" si="3"/>
        <v>64</v>
      </c>
      <c r="G204" s="64">
        <v>1</v>
      </c>
      <c r="H204" s="59">
        <v>2</v>
      </c>
      <c r="I204" s="59">
        <v>2</v>
      </c>
      <c r="J204" s="59">
        <v>3</v>
      </c>
      <c r="K204" s="59">
        <v>4</v>
      </c>
      <c r="L204" s="59">
        <v>4</v>
      </c>
      <c r="M204" s="65">
        <v>5</v>
      </c>
      <c r="N204" s="69"/>
      <c r="O204" s="69"/>
      <c r="P204" s="69"/>
      <c r="Q204" s="69"/>
      <c r="R204" s="69"/>
      <c r="S204" s="69"/>
      <c r="T204" s="69"/>
      <c r="U204" s="69"/>
      <c r="V204" s="69"/>
      <c r="W204" s="69"/>
    </row>
    <row r="205" spans="6:31" x14ac:dyDescent="0.25">
      <c r="F205" s="59">
        <f t="shared" si="3"/>
        <v>63</v>
      </c>
      <c r="G205" s="64">
        <v>1</v>
      </c>
      <c r="H205" s="59">
        <v>1</v>
      </c>
      <c r="I205" s="59">
        <v>2</v>
      </c>
      <c r="J205" s="59">
        <v>3</v>
      </c>
      <c r="K205" s="59">
        <v>4</v>
      </c>
      <c r="L205" s="59">
        <v>4</v>
      </c>
      <c r="M205" s="65">
        <v>5</v>
      </c>
      <c r="N205" s="69"/>
      <c r="O205" s="69"/>
      <c r="P205" s="69"/>
      <c r="Q205" s="69"/>
      <c r="R205" s="69"/>
      <c r="S205" s="69"/>
      <c r="T205" s="69"/>
      <c r="U205" s="69"/>
      <c r="V205" s="69"/>
      <c r="W205" s="69"/>
    </row>
    <row r="206" spans="6:31" x14ac:dyDescent="0.25">
      <c r="F206" s="59">
        <f t="shared" si="3"/>
        <v>62</v>
      </c>
      <c r="G206" s="64">
        <v>1</v>
      </c>
      <c r="H206" s="64">
        <v>1</v>
      </c>
      <c r="I206" s="59">
        <v>2</v>
      </c>
      <c r="J206" s="59">
        <v>3</v>
      </c>
      <c r="K206" s="59">
        <v>4</v>
      </c>
      <c r="L206" s="59">
        <v>4</v>
      </c>
      <c r="M206" s="65">
        <v>4</v>
      </c>
      <c r="N206" s="69"/>
      <c r="O206" s="69"/>
      <c r="P206" s="69"/>
      <c r="Q206" s="69"/>
      <c r="R206" s="69"/>
      <c r="S206" s="69"/>
      <c r="T206" s="69"/>
      <c r="U206" s="69"/>
      <c r="V206" s="69"/>
      <c r="W206" s="69"/>
    </row>
    <row r="207" spans="6:31" x14ac:dyDescent="0.25">
      <c r="F207" s="59">
        <f t="shared" si="3"/>
        <v>61</v>
      </c>
      <c r="G207" s="64">
        <v>1</v>
      </c>
      <c r="H207" s="64">
        <v>1</v>
      </c>
      <c r="I207" s="59">
        <v>2</v>
      </c>
      <c r="J207" s="59">
        <v>3</v>
      </c>
      <c r="K207" s="59">
        <v>3</v>
      </c>
      <c r="L207" s="59">
        <v>4</v>
      </c>
      <c r="M207" s="65">
        <v>4</v>
      </c>
      <c r="N207" s="69"/>
      <c r="O207" s="69"/>
      <c r="P207" s="69"/>
      <c r="Q207" s="69"/>
      <c r="R207" s="69"/>
      <c r="S207" s="69"/>
      <c r="T207" s="69"/>
      <c r="U207" s="69"/>
      <c r="V207" s="69"/>
      <c r="W207" s="69"/>
    </row>
    <row r="208" spans="6:31" x14ac:dyDescent="0.25">
      <c r="F208" s="59">
        <f t="shared" si="3"/>
        <v>60</v>
      </c>
      <c r="G208" s="64">
        <v>1</v>
      </c>
      <c r="H208" s="64">
        <v>1</v>
      </c>
      <c r="I208" s="59">
        <v>2</v>
      </c>
      <c r="J208" s="59">
        <v>3</v>
      </c>
      <c r="K208" s="59">
        <v>3</v>
      </c>
      <c r="L208" s="59">
        <v>4</v>
      </c>
      <c r="M208" s="65">
        <v>4</v>
      </c>
      <c r="N208" s="69"/>
      <c r="O208" s="69"/>
      <c r="P208" s="69"/>
      <c r="Q208" s="69"/>
      <c r="R208" s="69"/>
      <c r="S208" s="69"/>
      <c r="T208" s="69"/>
      <c r="U208" s="69"/>
      <c r="V208" s="69"/>
      <c r="W208" s="69"/>
    </row>
    <row r="209" spans="6:23" ht="15" customHeight="1" x14ac:dyDescent="0.25">
      <c r="F209" s="59">
        <f t="shared" si="3"/>
        <v>59</v>
      </c>
      <c r="G209" s="64">
        <v>1</v>
      </c>
      <c r="H209" s="64">
        <v>1</v>
      </c>
      <c r="I209" s="59">
        <v>2</v>
      </c>
      <c r="J209" s="59">
        <v>2</v>
      </c>
      <c r="K209" s="59">
        <v>3</v>
      </c>
      <c r="L209" s="59">
        <v>4</v>
      </c>
      <c r="M209" s="65">
        <v>4</v>
      </c>
      <c r="N209" s="69"/>
      <c r="O209" s="69"/>
      <c r="P209" s="69"/>
      <c r="Q209" s="69"/>
      <c r="R209" s="69"/>
      <c r="S209" s="69"/>
      <c r="T209" s="69"/>
      <c r="U209" s="69"/>
      <c r="V209" s="69"/>
      <c r="W209" s="69"/>
    </row>
    <row r="210" spans="6:23" ht="15" customHeight="1" x14ac:dyDescent="0.25">
      <c r="F210" s="59">
        <f t="shared" si="3"/>
        <v>58</v>
      </c>
      <c r="G210" s="64">
        <v>1</v>
      </c>
      <c r="H210" s="64">
        <v>1</v>
      </c>
      <c r="I210" s="59">
        <v>1</v>
      </c>
      <c r="J210" s="59">
        <v>2</v>
      </c>
      <c r="K210" s="59">
        <v>3</v>
      </c>
      <c r="L210" s="59">
        <v>3</v>
      </c>
      <c r="M210" s="65">
        <v>4</v>
      </c>
      <c r="N210" s="69"/>
      <c r="O210" s="69"/>
      <c r="P210" s="69"/>
      <c r="Q210" s="69"/>
      <c r="R210" s="69"/>
      <c r="S210" s="69"/>
      <c r="T210" s="69"/>
      <c r="U210" s="69"/>
      <c r="V210" s="69"/>
      <c r="W210" s="69"/>
    </row>
    <row r="211" spans="6:23" x14ac:dyDescent="0.25">
      <c r="F211" s="59">
        <f t="shared" si="3"/>
        <v>57</v>
      </c>
      <c r="G211" s="64">
        <v>1</v>
      </c>
      <c r="H211" s="64">
        <v>1</v>
      </c>
      <c r="I211" s="59">
        <v>1</v>
      </c>
      <c r="J211" s="59">
        <v>2</v>
      </c>
      <c r="K211" s="59">
        <v>3</v>
      </c>
      <c r="L211" s="59">
        <v>3</v>
      </c>
      <c r="M211" s="65">
        <v>4</v>
      </c>
      <c r="N211" s="69"/>
      <c r="O211" s="69"/>
      <c r="P211" s="69"/>
      <c r="Q211" s="69"/>
      <c r="R211" s="69"/>
      <c r="S211" s="69"/>
      <c r="T211" s="69"/>
      <c r="U211" s="69"/>
      <c r="V211" s="69"/>
      <c r="W211" s="69"/>
    </row>
    <row r="212" spans="6:23" x14ac:dyDescent="0.25">
      <c r="F212" s="59">
        <f t="shared" si="3"/>
        <v>56</v>
      </c>
      <c r="G212" s="64">
        <v>1</v>
      </c>
      <c r="H212" s="64">
        <v>1</v>
      </c>
      <c r="I212" s="64">
        <v>1</v>
      </c>
      <c r="J212" s="59">
        <v>2</v>
      </c>
      <c r="K212" s="59">
        <v>3</v>
      </c>
      <c r="L212" s="59">
        <v>3</v>
      </c>
      <c r="M212" s="65">
        <v>3</v>
      </c>
      <c r="N212" s="69"/>
      <c r="O212" s="69"/>
      <c r="P212" s="69"/>
      <c r="Q212" s="69"/>
      <c r="R212" s="69"/>
      <c r="S212" s="69"/>
      <c r="T212" s="69"/>
      <c r="U212" s="69"/>
      <c r="V212" s="69"/>
      <c r="W212" s="69"/>
    </row>
    <row r="213" spans="6:23" x14ac:dyDescent="0.25">
      <c r="F213" s="59">
        <f t="shared" si="3"/>
        <v>55</v>
      </c>
      <c r="G213" s="64">
        <v>1</v>
      </c>
      <c r="H213" s="64">
        <v>1</v>
      </c>
      <c r="I213" s="64">
        <v>1</v>
      </c>
      <c r="J213" s="59">
        <v>2</v>
      </c>
      <c r="K213" s="59">
        <v>3</v>
      </c>
      <c r="L213" s="59">
        <v>3</v>
      </c>
      <c r="M213" s="65">
        <v>3</v>
      </c>
      <c r="N213" s="69"/>
      <c r="O213" s="69"/>
      <c r="P213" s="69"/>
      <c r="Q213" s="69"/>
      <c r="R213" s="69"/>
      <c r="S213" s="69"/>
      <c r="T213" s="69"/>
      <c r="U213" s="69"/>
      <c r="V213" s="69"/>
      <c r="W213" s="69"/>
    </row>
    <row r="214" spans="6:23" x14ac:dyDescent="0.25">
      <c r="F214" s="59">
        <f t="shared" si="3"/>
        <v>54</v>
      </c>
      <c r="G214" s="64">
        <v>1</v>
      </c>
      <c r="H214" s="64">
        <v>1</v>
      </c>
      <c r="I214" s="64">
        <v>1</v>
      </c>
      <c r="J214" s="59">
        <v>2</v>
      </c>
      <c r="K214" s="59">
        <v>2</v>
      </c>
      <c r="L214" s="59">
        <v>3</v>
      </c>
      <c r="M214" s="65">
        <v>3</v>
      </c>
      <c r="N214" s="69"/>
      <c r="O214" s="69"/>
      <c r="P214" s="69"/>
      <c r="Q214" s="69"/>
      <c r="R214" s="69"/>
      <c r="S214" s="69"/>
      <c r="T214" s="69"/>
      <c r="U214" s="69"/>
      <c r="V214" s="69"/>
      <c r="W214" s="69"/>
    </row>
    <row r="215" spans="6:23" x14ac:dyDescent="0.25">
      <c r="F215" s="59">
        <f t="shared" si="3"/>
        <v>53</v>
      </c>
      <c r="G215" s="64">
        <v>1</v>
      </c>
      <c r="H215" s="64">
        <v>1</v>
      </c>
      <c r="I215" s="64">
        <v>1</v>
      </c>
      <c r="J215" s="59">
        <v>2</v>
      </c>
      <c r="K215" s="59">
        <v>2</v>
      </c>
      <c r="L215" s="59">
        <v>3</v>
      </c>
      <c r="M215" s="65">
        <v>3</v>
      </c>
      <c r="N215" s="69"/>
      <c r="O215" s="69"/>
      <c r="P215" s="69"/>
      <c r="Q215" s="69"/>
      <c r="R215" s="69"/>
      <c r="S215" s="69"/>
      <c r="T215" s="69"/>
      <c r="U215" s="69"/>
      <c r="V215" s="69"/>
      <c r="W215" s="69"/>
    </row>
    <row r="216" spans="6:23" x14ac:dyDescent="0.25">
      <c r="F216" s="59">
        <f t="shared" si="3"/>
        <v>52</v>
      </c>
      <c r="G216" s="64">
        <v>1</v>
      </c>
      <c r="H216" s="64">
        <v>1</v>
      </c>
      <c r="I216" s="64">
        <v>1</v>
      </c>
      <c r="J216" s="59">
        <v>1</v>
      </c>
      <c r="K216" s="59">
        <v>2</v>
      </c>
      <c r="L216" s="59">
        <v>2</v>
      </c>
      <c r="M216" s="65">
        <v>3</v>
      </c>
      <c r="N216" s="69"/>
      <c r="O216" s="69"/>
      <c r="P216" s="69"/>
      <c r="Q216" s="69"/>
      <c r="R216" s="69"/>
      <c r="S216" s="69"/>
      <c r="T216" s="69"/>
      <c r="U216" s="69"/>
      <c r="V216" s="69"/>
      <c r="W216" s="69"/>
    </row>
    <row r="217" spans="6:23" x14ac:dyDescent="0.25">
      <c r="F217" s="59">
        <f t="shared" si="3"/>
        <v>51</v>
      </c>
      <c r="G217" s="64">
        <v>1</v>
      </c>
      <c r="H217" s="64">
        <v>1</v>
      </c>
      <c r="I217" s="64">
        <v>1</v>
      </c>
      <c r="J217" s="64">
        <v>1</v>
      </c>
      <c r="K217" s="59">
        <v>2</v>
      </c>
      <c r="L217" s="59">
        <v>2</v>
      </c>
      <c r="M217" s="65">
        <v>3</v>
      </c>
      <c r="N217" s="69"/>
      <c r="O217" s="69"/>
      <c r="P217" s="69"/>
      <c r="Q217" s="69"/>
      <c r="R217" s="69"/>
      <c r="S217" s="69"/>
      <c r="T217" s="69"/>
      <c r="U217" s="69"/>
      <c r="V217" s="69"/>
      <c r="W217" s="69"/>
    </row>
    <row r="218" spans="6:23" x14ac:dyDescent="0.25">
      <c r="F218" s="59">
        <f t="shared" si="3"/>
        <v>50</v>
      </c>
      <c r="G218" s="64">
        <v>1</v>
      </c>
      <c r="H218" s="64">
        <v>1</v>
      </c>
      <c r="I218" s="64">
        <v>1</v>
      </c>
      <c r="J218" s="64">
        <v>1</v>
      </c>
      <c r="K218" s="59">
        <v>2</v>
      </c>
      <c r="L218" s="59">
        <v>2</v>
      </c>
      <c r="M218" s="65">
        <v>2</v>
      </c>
      <c r="N218" s="69"/>
      <c r="O218" s="69"/>
      <c r="P218" s="69"/>
      <c r="Q218" s="69"/>
      <c r="R218" s="69"/>
      <c r="S218" s="69"/>
      <c r="T218" s="69"/>
      <c r="U218" s="69"/>
      <c r="V218" s="69"/>
      <c r="W218" s="69"/>
    </row>
    <row r="219" spans="6:23" x14ac:dyDescent="0.25">
      <c r="F219" s="59">
        <f t="shared" si="3"/>
        <v>49</v>
      </c>
      <c r="G219" s="64">
        <v>1</v>
      </c>
      <c r="H219" s="64">
        <v>1</v>
      </c>
      <c r="I219" s="64">
        <v>1</v>
      </c>
      <c r="J219" s="64">
        <v>1</v>
      </c>
      <c r="K219" s="59">
        <v>2</v>
      </c>
      <c r="L219" s="59">
        <v>2</v>
      </c>
      <c r="M219" s="65">
        <v>2</v>
      </c>
      <c r="N219" s="69"/>
      <c r="O219" s="69"/>
      <c r="P219" s="69"/>
      <c r="Q219" s="69"/>
      <c r="R219" s="69"/>
      <c r="S219" s="69"/>
      <c r="T219" s="69"/>
      <c r="U219" s="69"/>
      <c r="V219" s="69"/>
      <c r="W219" s="69"/>
    </row>
    <row r="220" spans="6:23" x14ac:dyDescent="0.25">
      <c r="F220" s="59">
        <f t="shared" si="3"/>
        <v>48</v>
      </c>
      <c r="G220" s="64">
        <v>1</v>
      </c>
      <c r="H220" s="64">
        <v>1</v>
      </c>
      <c r="I220" s="64">
        <v>1</v>
      </c>
      <c r="J220" s="64">
        <v>1</v>
      </c>
      <c r="K220" s="59">
        <v>1</v>
      </c>
      <c r="L220" s="59">
        <v>2</v>
      </c>
      <c r="M220" s="65">
        <v>2</v>
      </c>
      <c r="N220" s="69"/>
      <c r="O220" s="69"/>
      <c r="P220" s="69"/>
      <c r="Q220" s="69"/>
      <c r="R220" s="69"/>
      <c r="S220" s="69"/>
      <c r="T220" s="69"/>
      <c r="U220" s="69"/>
      <c r="V220" s="69"/>
      <c r="W220" s="69"/>
    </row>
    <row r="221" spans="6:23" x14ac:dyDescent="0.25">
      <c r="F221" s="59">
        <f t="shared" si="3"/>
        <v>47</v>
      </c>
      <c r="G221" s="64">
        <v>1</v>
      </c>
      <c r="H221" s="64">
        <v>1</v>
      </c>
      <c r="I221" s="64">
        <v>1</v>
      </c>
      <c r="J221" s="64">
        <v>1</v>
      </c>
      <c r="K221" s="59">
        <v>1</v>
      </c>
      <c r="L221" s="59">
        <v>2</v>
      </c>
      <c r="M221" s="65">
        <v>2</v>
      </c>
      <c r="N221" s="69"/>
      <c r="O221" s="69"/>
      <c r="P221" s="69"/>
      <c r="Q221" s="69"/>
      <c r="R221" s="69"/>
      <c r="S221" s="69"/>
      <c r="T221" s="69"/>
      <c r="U221" s="69"/>
      <c r="V221" s="69"/>
      <c r="W221" s="69"/>
    </row>
    <row r="222" spans="6:23" x14ac:dyDescent="0.25">
      <c r="F222" s="59">
        <f t="shared" si="3"/>
        <v>46</v>
      </c>
      <c r="G222" s="64">
        <v>1</v>
      </c>
      <c r="H222" s="64">
        <v>1</v>
      </c>
      <c r="I222" s="64">
        <v>1</v>
      </c>
      <c r="J222" s="64">
        <v>1</v>
      </c>
      <c r="K222" s="59">
        <v>1</v>
      </c>
      <c r="L222" s="59">
        <v>1</v>
      </c>
      <c r="M222" s="65">
        <v>2</v>
      </c>
      <c r="N222" s="69"/>
      <c r="O222" s="69"/>
      <c r="P222" s="69"/>
      <c r="Q222" s="69"/>
      <c r="R222" s="69"/>
      <c r="S222" s="69"/>
      <c r="T222" s="69"/>
      <c r="U222" s="69"/>
      <c r="V222" s="69"/>
      <c r="W222" s="69"/>
    </row>
    <row r="223" spans="6:23" x14ac:dyDescent="0.25">
      <c r="F223" s="59">
        <f t="shared" si="3"/>
        <v>45</v>
      </c>
      <c r="G223" s="64">
        <v>1</v>
      </c>
      <c r="H223" s="64">
        <v>1</v>
      </c>
      <c r="I223" s="64">
        <v>1</v>
      </c>
      <c r="J223" s="64">
        <v>1</v>
      </c>
      <c r="K223" s="59">
        <v>1</v>
      </c>
      <c r="L223" s="59">
        <v>1</v>
      </c>
      <c r="M223" s="65">
        <v>2</v>
      </c>
      <c r="N223" s="69"/>
      <c r="O223" s="69"/>
      <c r="P223" s="69"/>
      <c r="Q223" s="69"/>
      <c r="R223" s="69"/>
      <c r="S223" s="69"/>
      <c r="T223" s="69"/>
      <c r="U223" s="69"/>
      <c r="V223" s="69"/>
      <c r="W223" s="69"/>
    </row>
    <row r="224" spans="6:23" x14ac:dyDescent="0.25">
      <c r="F224" s="59">
        <v>44</v>
      </c>
      <c r="G224" s="66">
        <v>1</v>
      </c>
      <c r="H224" s="66">
        <v>1</v>
      </c>
      <c r="I224" s="66">
        <v>1</v>
      </c>
      <c r="J224" s="66">
        <v>1</v>
      </c>
      <c r="K224" s="67">
        <v>1</v>
      </c>
      <c r="L224" s="67">
        <v>1</v>
      </c>
      <c r="M224" s="68">
        <v>1</v>
      </c>
      <c r="N224" s="69"/>
      <c r="O224" s="69"/>
      <c r="P224" s="69"/>
      <c r="Q224" s="69"/>
      <c r="R224" s="69"/>
      <c r="S224" s="69"/>
      <c r="T224" s="69"/>
      <c r="U224" s="69"/>
      <c r="V224" s="69"/>
      <c r="W224" s="69"/>
    </row>
    <row r="225" spans="6:23" x14ac:dyDescent="0.25"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</row>
    <row r="226" spans="6:23" x14ac:dyDescent="0.25"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</row>
    <row r="227" spans="6:23" x14ac:dyDescent="0.25"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</row>
    <row r="228" spans="6:23" x14ac:dyDescent="0.25"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</row>
    <row r="229" spans="6:23" x14ac:dyDescent="0.25"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</row>
    <row r="230" spans="6:23" x14ac:dyDescent="0.25"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</row>
    <row r="231" spans="6:23" x14ac:dyDescent="0.25"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</row>
    <row r="232" spans="6:23" x14ac:dyDescent="0.25"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</row>
    <row r="233" spans="6:23" x14ac:dyDescent="0.25"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</row>
    <row r="234" spans="6:23" x14ac:dyDescent="0.25"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</row>
    <row r="235" spans="6:23" x14ac:dyDescent="0.25"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</row>
    <row r="236" spans="6:23" x14ac:dyDescent="0.25"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</row>
    <row r="237" spans="6:23" x14ac:dyDescent="0.25"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</row>
    <row r="238" spans="6:23" x14ac:dyDescent="0.25"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</row>
    <row r="239" spans="6:23" x14ac:dyDescent="0.25"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</row>
    <row r="240" spans="6:23" x14ac:dyDescent="0.25"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</row>
    <row r="241" spans="6:23" x14ac:dyDescent="0.25"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</row>
    <row r="242" spans="6:23" x14ac:dyDescent="0.25"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</row>
    <row r="243" spans="6:23" x14ac:dyDescent="0.25"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</row>
    <row r="244" spans="6:23" x14ac:dyDescent="0.25"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</row>
    <row r="245" spans="6:23" x14ac:dyDescent="0.25"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</row>
    <row r="246" spans="6:23" x14ac:dyDescent="0.25"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</row>
    <row r="247" spans="6:23" x14ac:dyDescent="0.25"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</row>
    <row r="248" spans="6:23" x14ac:dyDescent="0.25"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</row>
    <row r="249" spans="6:23" x14ac:dyDescent="0.25"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</row>
    <row r="250" spans="6:23" ht="15" customHeight="1" x14ac:dyDescent="0.25"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</row>
    <row r="251" spans="6:23" ht="15" customHeight="1" x14ac:dyDescent="0.25"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</row>
    <row r="252" spans="6:23" x14ac:dyDescent="0.25"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</row>
    <row r="253" spans="6:23" x14ac:dyDescent="0.25"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</row>
    <row r="254" spans="6:23" x14ac:dyDescent="0.25"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</row>
    <row r="255" spans="6:23" x14ac:dyDescent="0.25"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</row>
    <row r="256" spans="6:23" x14ac:dyDescent="0.25"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</row>
    <row r="257" spans="6:23" x14ac:dyDescent="0.25"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</row>
    <row r="258" spans="6:23" x14ac:dyDescent="0.25"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</row>
    <row r="259" spans="6:23" x14ac:dyDescent="0.25"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</row>
    <row r="260" spans="6:23" x14ac:dyDescent="0.25"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</row>
    <row r="261" spans="6:23" x14ac:dyDescent="0.25"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</row>
    <row r="262" spans="6:23" x14ac:dyDescent="0.25"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</row>
    <row r="263" spans="6:23" x14ac:dyDescent="0.25"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</row>
    <row r="264" spans="6:23" x14ac:dyDescent="0.25"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</row>
    <row r="265" spans="6:23" x14ac:dyDescent="0.25"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</row>
    <row r="266" spans="6:23" x14ac:dyDescent="0.25"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</row>
    <row r="267" spans="6:23" x14ac:dyDescent="0.25"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</row>
    <row r="268" spans="6:23" x14ac:dyDescent="0.25"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</row>
    <row r="269" spans="6:23" x14ac:dyDescent="0.25"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</row>
    <row r="270" spans="6:23" x14ac:dyDescent="0.25"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</row>
    <row r="271" spans="6:23" x14ac:dyDescent="0.25"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</row>
    <row r="272" spans="6:23" x14ac:dyDescent="0.25"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</row>
    <row r="273" spans="6:23" x14ac:dyDescent="0.25"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</row>
    <row r="274" spans="6:23" x14ac:dyDescent="0.25"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</row>
    <row r="275" spans="6:23" x14ac:dyDescent="0.25"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</row>
    <row r="276" spans="6:23" x14ac:dyDescent="0.25"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</row>
    <row r="277" spans="6:23" x14ac:dyDescent="0.25"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</row>
    <row r="278" spans="6:23" x14ac:dyDescent="0.25"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</row>
    <row r="279" spans="6:23" x14ac:dyDescent="0.25"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</row>
    <row r="280" spans="6:23" x14ac:dyDescent="0.25"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</row>
    <row r="281" spans="6:23" x14ac:dyDescent="0.25"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</row>
    <row r="282" spans="6:23" x14ac:dyDescent="0.25"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</row>
    <row r="283" spans="6:23" x14ac:dyDescent="0.25"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</row>
    <row r="284" spans="6:23" x14ac:dyDescent="0.25"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</row>
    <row r="285" spans="6:23" x14ac:dyDescent="0.25"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</row>
    <row r="286" spans="6:23" x14ac:dyDescent="0.25"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</row>
    <row r="287" spans="6:23" x14ac:dyDescent="0.25"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</row>
    <row r="288" spans="6:23" x14ac:dyDescent="0.25"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</row>
    <row r="289" spans="6:23" x14ac:dyDescent="0.25"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</row>
    <row r="290" spans="6:23" x14ac:dyDescent="0.25"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</row>
    <row r="291" spans="6:23" x14ac:dyDescent="0.25"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</row>
    <row r="292" spans="6:23" x14ac:dyDescent="0.25"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</row>
  </sheetData>
  <sheetProtection password="CEE5" sheet="1" objects="1" scenarios="1"/>
  <mergeCells count="21">
    <mergeCell ref="N65:T65"/>
    <mergeCell ref="G85:M85"/>
    <mergeCell ref="G166:M166"/>
    <mergeCell ref="N85:T85"/>
    <mergeCell ref="P166:V166"/>
    <mergeCell ref="U85:AA85"/>
    <mergeCell ref="G125:M125"/>
    <mergeCell ref="N125:T125"/>
    <mergeCell ref="U125:AA125"/>
    <mergeCell ref="G65:M65"/>
    <mergeCell ref="A2:B2"/>
    <mergeCell ref="G25:M25"/>
    <mergeCell ref="N25:T25"/>
    <mergeCell ref="U25:AA25"/>
    <mergeCell ref="G45:M45"/>
    <mergeCell ref="N45:T45"/>
    <mergeCell ref="U45:AA45"/>
    <mergeCell ref="F1:AA2"/>
    <mergeCell ref="G5:M5"/>
    <mergeCell ref="N5:T5"/>
    <mergeCell ref="U5:AA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92"/>
  <sheetViews>
    <sheetView workbookViewId="0">
      <selection activeCell="M13" sqref="M13"/>
    </sheetView>
  </sheetViews>
  <sheetFormatPr defaultRowHeight="15" x14ac:dyDescent="0.25"/>
  <cols>
    <col min="2" max="2" width="10" customWidth="1"/>
    <col min="6" max="23" width="9.140625" style="57"/>
    <col min="24" max="30" width="9.140625" style="72"/>
  </cols>
  <sheetData>
    <row r="1" spans="1:31" ht="15" customHeight="1" x14ac:dyDescent="0.25">
      <c r="F1" s="124" t="s">
        <v>262</v>
      </c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</row>
    <row r="2" spans="1:31" ht="15" customHeight="1" x14ac:dyDescent="0.25">
      <c r="A2" s="116" t="s">
        <v>244</v>
      </c>
      <c r="B2" s="116"/>
      <c r="C2" s="47">
        <f>'Scores Summary'!C10</f>
        <v>41</v>
      </c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</row>
    <row r="3" spans="1:31" ht="15" customHeight="1" x14ac:dyDescent="0.35">
      <c r="A3" s="42" t="s">
        <v>245</v>
      </c>
      <c r="C3" s="47" t="str">
        <f>IF(C2="","",IF(C2&gt;90,"N/A",IF(C2&gt;=80,"80-90",IF(C2&gt;=70,"70-79",IF(C2&gt;=60,"60-69",IF(C2&gt;=45,"45-59",IF(C2&gt;=30,"30-44",IF(C2&gt;=20,"20-29",IF(C2&gt;=16,"16-19","N/A")))))))))</f>
        <v>30-44</v>
      </c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</row>
    <row r="4" spans="1:31" ht="15" customHeight="1" x14ac:dyDescent="0.35">
      <c r="C4" s="1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</row>
    <row r="5" spans="1:31" ht="15" customHeight="1" x14ac:dyDescent="0.25">
      <c r="C5" s="1" t="s">
        <v>36</v>
      </c>
      <c r="D5" s="1" t="s">
        <v>257</v>
      </c>
      <c r="G5" s="121" t="s">
        <v>248</v>
      </c>
      <c r="H5" s="122"/>
      <c r="I5" s="122"/>
      <c r="J5" s="122"/>
      <c r="K5" s="122"/>
      <c r="L5" s="122"/>
      <c r="M5" s="123"/>
      <c r="N5" s="121" t="s">
        <v>249</v>
      </c>
      <c r="O5" s="122"/>
      <c r="P5" s="122"/>
      <c r="Q5" s="122"/>
      <c r="R5" s="122"/>
      <c r="S5" s="122"/>
      <c r="T5" s="123"/>
      <c r="U5" s="121" t="s">
        <v>250</v>
      </c>
      <c r="V5" s="122"/>
      <c r="W5" s="122"/>
      <c r="X5" s="122"/>
      <c r="Y5" s="122"/>
      <c r="Z5" s="122"/>
      <c r="AA5" s="123"/>
    </row>
    <row r="6" spans="1:31" x14ac:dyDescent="0.25">
      <c r="A6" s="42" t="s">
        <v>180</v>
      </c>
      <c r="B6" s="42"/>
      <c r="C6" s="47">
        <f>'Scores Summary 3'!D16</f>
        <v>6</v>
      </c>
      <c r="D6" s="16">
        <f>VLOOKUP(C6,F6:AA23,(VLOOKUP(C3,A28:B35,2,FALSE)),FALSE)</f>
        <v>10</v>
      </c>
      <c r="F6" s="58" t="s">
        <v>14</v>
      </c>
      <c r="G6" s="74" t="s">
        <v>224</v>
      </c>
      <c r="H6" s="58" t="s">
        <v>239</v>
      </c>
      <c r="I6" s="58" t="s">
        <v>240</v>
      </c>
      <c r="J6" s="58" t="s">
        <v>241</v>
      </c>
      <c r="K6" s="58" t="s">
        <v>117</v>
      </c>
      <c r="L6" s="58" t="s">
        <v>242</v>
      </c>
      <c r="M6" s="75" t="s">
        <v>243</v>
      </c>
      <c r="N6" s="74" t="s">
        <v>224</v>
      </c>
      <c r="O6" s="58" t="s">
        <v>239</v>
      </c>
      <c r="P6" s="58" t="s">
        <v>240</v>
      </c>
      <c r="Q6" s="58" t="s">
        <v>241</v>
      </c>
      <c r="R6" s="58" t="s">
        <v>117</v>
      </c>
      <c r="S6" s="58" t="s">
        <v>242</v>
      </c>
      <c r="T6" s="75" t="s">
        <v>243</v>
      </c>
      <c r="U6" s="74" t="s">
        <v>224</v>
      </c>
      <c r="V6" s="58" t="s">
        <v>239</v>
      </c>
      <c r="W6" s="58" t="s">
        <v>240</v>
      </c>
      <c r="X6" s="58" t="s">
        <v>241</v>
      </c>
      <c r="Y6" s="58" t="s">
        <v>117</v>
      </c>
      <c r="Z6" s="58" t="s">
        <v>242</v>
      </c>
      <c r="AA6" s="75" t="s">
        <v>243</v>
      </c>
      <c r="AB6" s="58" t="s">
        <v>36</v>
      </c>
      <c r="AC6" s="58" t="s">
        <v>259</v>
      </c>
      <c r="AD6" s="58" t="s">
        <v>260</v>
      </c>
      <c r="AE6" s="60" t="s">
        <v>261</v>
      </c>
    </row>
    <row r="7" spans="1:31" x14ac:dyDescent="0.25">
      <c r="A7" s="42" t="s">
        <v>181</v>
      </c>
      <c r="B7" s="42"/>
      <c r="C7" s="47">
        <f>'Scores Summary 3'!D17</f>
        <v>8</v>
      </c>
      <c r="D7" s="16">
        <f>VLOOKUP(C7,F6:AA23,(VLOOKUP(C3,A28:B35,2,FALSE)+7),FALSE)</f>
        <v>9</v>
      </c>
      <c r="F7" s="57">
        <v>0</v>
      </c>
      <c r="G7" s="76">
        <v>1</v>
      </c>
      <c r="H7" s="57">
        <v>1</v>
      </c>
      <c r="I7" s="57">
        <v>1</v>
      </c>
      <c r="J7" s="57">
        <v>1</v>
      </c>
      <c r="K7" s="57">
        <v>1</v>
      </c>
      <c r="L7" s="57">
        <v>1</v>
      </c>
      <c r="M7" s="77">
        <v>2</v>
      </c>
      <c r="N7" s="76">
        <v>1</v>
      </c>
      <c r="O7" s="57">
        <v>1</v>
      </c>
      <c r="P7" s="57">
        <v>1</v>
      </c>
      <c r="Q7" s="57">
        <v>1</v>
      </c>
      <c r="R7" s="57">
        <v>1</v>
      </c>
      <c r="S7" s="57">
        <v>1</v>
      </c>
      <c r="T7" s="77">
        <v>1</v>
      </c>
      <c r="U7" s="76">
        <v>1</v>
      </c>
      <c r="V7" s="57">
        <v>1</v>
      </c>
      <c r="W7" s="57">
        <v>1</v>
      </c>
      <c r="X7" s="57">
        <v>1</v>
      </c>
      <c r="Y7" s="57">
        <v>1</v>
      </c>
      <c r="Z7" s="57">
        <v>1</v>
      </c>
      <c r="AA7" s="77">
        <v>1</v>
      </c>
      <c r="AB7" s="57">
        <v>4</v>
      </c>
      <c r="AD7" s="57">
        <v>45</v>
      </c>
    </row>
    <row r="8" spans="1:31" x14ac:dyDescent="0.25">
      <c r="A8" s="42" t="s">
        <v>182</v>
      </c>
      <c r="B8" s="42"/>
      <c r="C8" s="47">
        <f>'Scores Summary 3'!D18</f>
        <v>12</v>
      </c>
      <c r="D8" s="16">
        <f>VLOOKUP(C8,F6:AA23,(VLOOKUP(C3,A28:B35,2,FALSE)+14),FALSE)</f>
        <v>11</v>
      </c>
      <c r="F8" s="57">
        <v>1</v>
      </c>
      <c r="G8" s="76">
        <v>1</v>
      </c>
      <c r="H8" s="57">
        <v>1</v>
      </c>
      <c r="I8" s="57">
        <v>1</v>
      </c>
      <c r="J8" s="57">
        <v>2</v>
      </c>
      <c r="K8" s="57">
        <v>2</v>
      </c>
      <c r="L8" s="57">
        <v>2</v>
      </c>
      <c r="M8" s="77">
        <v>4</v>
      </c>
      <c r="N8" s="76">
        <v>1</v>
      </c>
      <c r="O8" s="57">
        <v>1</v>
      </c>
      <c r="P8" s="57">
        <v>1</v>
      </c>
      <c r="Q8" s="57">
        <v>1</v>
      </c>
      <c r="R8" s="57">
        <v>2</v>
      </c>
      <c r="S8" s="57">
        <v>2</v>
      </c>
      <c r="T8" s="77">
        <v>2</v>
      </c>
      <c r="U8" s="76">
        <v>1</v>
      </c>
      <c r="V8" s="57">
        <v>1</v>
      </c>
      <c r="W8" s="57">
        <v>1</v>
      </c>
      <c r="X8" s="57">
        <v>1</v>
      </c>
      <c r="Y8" s="57">
        <v>1</v>
      </c>
      <c r="Z8" s="57">
        <v>1</v>
      </c>
      <c r="AA8" s="77">
        <v>1</v>
      </c>
      <c r="AB8" s="57">
        <f>AB7+1</f>
        <v>5</v>
      </c>
      <c r="AC8" s="57">
        <v>45</v>
      </c>
      <c r="AD8" s="57">
        <v>47</v>
      </c>
    </row>
    <row r="9" spans="1:31" x14ac:dyDescent="0.25">
      <c r="A9" s="42" t="s">
        <v>183</v>
      </c>
      <c r="B9" s="42"/>
      <c r="C9" s="47">
        <f>'Scores Summary 3'!D19</f>
        <v>11</v>
      </c>
      <c r="D9" s="16">
        <f>VLOOKUP(C9,F26:AA43,(VLOOKUP(C3,A28:B35,2,FALSE)),FALSE)</f>
        <v>9</v>
      </c>
      <c r="F9" s="57">
        <v>2</v>
      </c>
      <c r="G9" s="76">
        <v>2</v>
      </c>
      <c r="H9" s="57">
        <v>2</v>
      </c>
      <c r="I9" s="57">
        <v>2</v>
      </c>
      <c r="J9" s="57">
        <v>4</v>
      </c>
      <c r="K9" s="57">
        <v>4</v>
      </c>
      <c r="L9" s="57">
        <v>4</v>
      </c>
      <c r="M9" s="77">
        <v>6</v>
      </c>
      <c r="N9" s="76">
        <v>2</v>
      </c>
      <c r="O9" s="57">
        <v>2</v>
      </c>
      <c r="P9" s="57">
        <v>2</v>
      </c>
      <c r="Q9" s="57">
        <v>2</v>
      </c>
      <c r="R9" s="57">
        <v>3</v>
      </c>
      <c r="S9" s="57">
        <v>3</v>
      </c>
      <c r="T9" s="77">
        <v>3</v>
      </c>
      <c r="U9" s="76">
        <v>1</v>
      </c>
      <c r="V9" s="57">
        <v>1</v>
      </c>
      <c r="W9" s="57">
        <v>1</v>
      </c>
      <c r="X9" s="57">
        <v>1</v>
      </c>
      <c r="Y9" s="57">
        <v>2</v>
      </c>
      <c r="Z9" s="57">
        <v>2</v>
      </c>
      <c r="AA9" s="77">
        <v>2</v>
      </c>
      <c r="AB9" s="57">
        <f t="shared" ref="AB9:AB72" si="0">AB8+1</f>
        <v>6</v>
      </c>
      <c r="AC9" s="57">
        <v>45</v>
      </c>
      <c r="AD9" s="57">
        <v>49</v>
      </c>
    </row>
    <row r="10" spans="1:31" x14ac:dyDescent="0.25">
      <c r="A10" s="42" t="s">
        <v>184</v>
      </c>
      <c r="B10" s="42"/>
      <c r="C10" s="47">
        <f>'Scores Summary 3'!D20</f>
        <v>12</v>
      </c>
      <c r="D10" s="16">
        <f>VLOOKUP(C10,F26:AA43,(VLOOKUP(C3,A28:B35,2,FALSE)+7),FALSE)</f>
        <v>9</v>
      </c>
      <c r="F10" s="57">
        <v>3</v>
      </c>
      <c r="G10" s="76">
        <v>4</v>
      </c>
      <c r="H10" s="57">
        <v>4</v>
      </c>
      <c r="I10" s="57">
        <v>4</v>
      </c>
      <c r="J10" s="57">
        <v>5</v>
      </c>
      <c r="K10" s="57">
        <v>6</v>
      </c>
      <c r="L10" s="57">
        <v>6</v>
      </c>
      <c r="M10" s="77">
        <v>8</v>
      </c>
      <c r="N10" s="76">
        <v>3</v>
      </c>
      <c r="O10" s="57">
        <v>3</v>
      </c>
      <c r="P10" s="57">
        <v>3</v>
      </c>
      <c r="Q10" s="57">
        <v>3</v>
      </c>
      <c r="R10" s="57">
        <v>4</v>
      </c>
      <c r="S10" s="57">
        <v>5</v>
      </c>
      <c r="T10" s="77">
        <v>5</v>
      </c>
      <c r="U10" s="76">
        <v>2</v>
      </c>
      <c r="V10" s="57">
        <v>1</v>
      </c>
      <c r="W10" s="57">
        <v>1</v>
      </c>
      <c r="X10" s="57">
        <v>2</v>
      </c>
      <c r="Y10" s="57">
        <v>3</v>
      </c>
      <c r="Z10" s="57">
        <v>4</v>
      </c>
      <c r="AA10" s="77">
        <v>4</v>
      </c>
      <c r="AB10" s="57">
        <f t="shared" si="0"/>
        <v>7</v>
      </c>
      <c r="AC10" s="57">
        <v>45</v>
      </c>
      <c r="AD10" s="57">
        <v>51</v>
      </c>
    </row>
    <row r="11" spans="1:31" x14ac:dyDescent="0.25">
      <c r="A11" s="42" t="s">
        <v>185</v>
      </c>
      <c r="B11" s="42"/>
      <c r="C11" s="47">
        <f>'Scores Summary 3'!D21</f>
        <v>7</v>
      </c>
      <c r="D11" s="16">
        <f>VLOOKUP(C11,F26:AA43,(VLOOKUP(C3,A28:B35,2,FALSE)+14),FALSE)</f>
        <v>13</v>
      </c>
      <c r="F11" s="57">
        <v>4</v>
      </c>
      <c r="G11" s="76">
        <v>6</v>
      </c>
      <c r="H11" s="57">
        <v>6</v>
      </c>
      <c r="I11" s="57">
        <v>6</v>
      </c>
      <c r="J11" s="57">
        <v>7</v>
      </c>
      <c r="K11" s="57">
        <v>8</v>
      </c>
      <c r="L11" s="57">
        <v>8</v>
      </c>
      <c r="M11" s="77">
        <v>10</v>
      </c>
      <c r="N11" s="76">
        <v>4</v>
      </c>
      <c r="O11" s="57">
        <v>4</v>
      </c>
      <c r="P11" s="57">
        <v>4</v>
      </c>
      <c r="Q11" s="57">
        <v>4</v>
      </c>
      <c r="R11" s="57">
        <v>5</v>
      </c>
      <c r="S11" s="57">
        <v>6</v>
      </c>
      <c r="T11" s="77">
        <v>7</v>
      </c>
      <c r="U11" s="76">
        <v>3</v>
      </c>
      <c r="V11" s="57">
        <v>2</v>
      </c>
      <c r="W11" s="57">
        <v>2</v>
      </c>
      <c r="X11" s="57">
        <v>3</v>
      </c>
      <c r="Y11" s="57">
        <v>4</v>
      </c>
      <c r="Z11" s="57">
        <v>5</v>
      </c>
      <c r="AA11" s="77">
        <v>5</v>
      </c>
      <c r="AB11" s="57">
        <f t="shared" si="0"/>
        <v>8</v>
      </c>
      <c r="AC11" s="57">
        <v>46</v>
      </c>
      <c r="AD11" s="57">
        <v>53</v>
      </c>
    </row>
    <row r="12" spans="1:31" x14ac:dyDescent="0.25">
      <c r="A12" s="42" t="s">
        <v>186</v>
      </c>
      <c r="B12" s="42"/>
      <c r="C12" s="47">
        <f>'Scores Summary 3'!D22</f>
        <v>7</v>
      </c>
      <c r="D12" s="16">
        <f>VLOOKUP(C12,F46:AA63,(VLOOKUP(C3,A28:B35,2,FALSE)),FALSE)</f>
        <v>7</v>
      </c>
      <c r="F12" s="57">
        <v>5</v>
      </c>
      <c r="G12" s="76">
        <v>8</v>
      </c>
      <c r="H12" s="57">
        <v>8</v>
      </c>
      <c r="I12" s="57">
        <v>8</v>
      </c>
      <c r="J12" s="57">
        <v>8</v>
      </c>
      <c r="K12" s="57">
        <v>10</v>
      </c>
      <c r="L12" s="57">
        <v>10</v>
      </c>
      <c r="M12" s="77">
        <v>12</v>
      </c>
      <c r="N12" s="76">
        <v>5</v>
      </c>
      <c r="O12" s="57">
        <v>5</v>
      </c>
      <c r="P12" s="57">
        <v>5</v>
      </c>
      <c r="Q12" s="57">
        <v>5</v>
      </c>
      <c r="R12" s="57">
        <v>6</v>
      </c>
      <c r="S12" s="57">
        <v>7</v>
      </c>
      <c r="T12" s="77">
        <v>8</v>
      </c>
      <c r="U12" s="76">
        <v>4</v>
      </c>
      <c r="V12" s="57">
        <v>3</v>
      </c>
      <c r="W12" s="57">
        <v>3</v>
      </c>
      <c r="X12" s="57">
        <v>4</v>
      </c>
      <c r="Y12" s="57">
        <v>5</v>
      </c>
      <c r="Z12" s="57">
        <v>6</v>
      </c>
      <c r="AA12" s="77">
        <v>6</v>
      </c>
      <c r="AB12" s="57">
        <f t="shared" si="0"/>
        <v>9</v>
      </c>
      <c r="AC12" s="57">
        <v>47</v>
      </c>
      <c r="AD12" s="57">
        <v>55</v>
      </c>
    </row>
    <row r="13" spans="1:31" x14ac:dyDescent="0.25">
      <c r="A13" s="42" t="s">
        <v>187</v>
      </c>
      <c r="B13" s="42"/>
      <c r="C13" s="47">
        <f>'Scores Summary 3'!D23</f>
        <v>7</v>
      </c>
      <c r="D13" s="16">
        <f>VLOOKUP(C13,F46:AA63,(VLOOKUP(C3,A28:B35,2,FALSE)+7),FALSE)</f>
        <v>6</v>
      </c>
      <c r="F13" s="57">
        <v>6</v>
      </c>
      <c r="G13" s="76">
        <v>10</v>
      </c>
      <c r="H13" s="57">
        <v>10</v>
      </c>
      <c r="I13" s="57">
        <v>10</v>
      </c>
      <c r="J13" s="57">
        <v>10</v>
      </c>
      <c r="K13" s="57">
        <v>11</v>
      </c>
      <c r="L13" s="57">
        <v>12</v>
      </c>
      <c r="M13" s="77">
        <v>14</v>
      </c>
      <c r="N13" s="76">
        <v>7</v>
      </c>
      <c r="O13" s="57">
        <v>6</v>
      </c>
      <c r="P13" s="57">
        <v>6</v>
      </c>
      <c r="Q13" s="57">
        <v>6</v>
      </c>
      <c r="R13" s="57">
        <v>7</v>
      </c>
      <c r="S13" s="57">
        <v>8</v>
      </c>
      <c r="T13" s="77">
        <v>10</v>
      </c>
      <c r="U13" s="76">
        <v>5</v>
      </c>
      <c r="V13" s="57">
        <v>4</v>
      </c>
      <c r="W13" s="57">
        <v>4</v>
      </c>
      <c r="X13" s="57">
        <v>5</v>
      </c>
      <c r="Y13" s="57">
        <v>6</v>
      </c>
      <c r="Z13" s="57">
        <v>7</v>
      </c>
      <c r="AA13" s="77">
        <v>8</v>
      </c>
      <c r="AB13" s="57">
        <f t="shared" si="0"/>
        <v>10</v>
      </c>
      <c r="AC13" s="57">
        <v>48</v>
      </c>
      <c r="AD13" s="57">
        <v>57</v>
      </c>
      <c r="AE13" s="59">
        <v>40</v>
      </c>
    </row>
    <row r="14" spans="1:31" x14ac:dyDescent="0.25">
      <c r="A14" s="42" t="s">
        <v>188</v>
      </c>
      <c r="B14" s="42"/>
      <c r="C14" s="47">
        <f>'Scores Summary 3'!D24</f>
        <v>9</v>
      </c>
      <c r="D14" s="16">
        <f>VLOOKUP(C14,F46:AA63,(VLOOKUP(C3,A28:B35,2,FALSE)+14),FALSE)</f>
        <v>8</v>
      </c>
      <c r="F14" s="57">
        <v>7</v>
      </c>
      <c r="G14" s="76">
        <v>11</v>
      </c>
      <c r="H14" s="57">
        <v>11</v>
      </c>
      <c r="I14" s="57">
        <v>11</v>
      </c>
      <c r="J14" s="57">
        <v>11</v>
      </c>
      <c r="K14" s="57">
        <v>13</v>
      </c>
      <c r="L14" s="57">
        <v>14</v>
      </c>
      <c r="M14" s="77">
        <v>15</v>
      </c>
      <c r="N14" s="76">
        <v>8</v>
      </c>
      <c r="O14" s="57">
        <v>8</v>
      </c>
      <c r="P14" s="57">
        <v>8</v>
      </c>
      <c r="Q14" s="57">
        <v>8</v>
      </c>
      <c r="R14" s="57">
        <v>9</v>
      </c>
      <c r="S14" s="57">
        <v>10</v>
      </c>
      <c r="T14" s="77">
        <v>11</v>
      </c>
      <c r="U14" s="76">
        <v>6</v>
      </c>
      <c r="V14" s="57">
        <v>5</v>
      </c>
      <c r="W14" s="57">
        <v>5</v>
      </c>
      <c r="X14" s="57">
        <v>6</v>
      </c>
      <c r="Y14" s="57">
        <v>7</v>
      </c>
      <c r="Z14" s="57">
        <v>8</v>
      </c>
      <c r="AA14" s="77">
        <v>10</v>
      </c>
      <c r="AB14" s="57">
        <f t="shared" si="0"/>
        <v>11</v>
      </c>
      <c r="AC14" s="57">
        <v>50</v>
      </c>
      <c r="AD14" s="57">
        <v>58</v>
      </c>
      <c r="AE14" s="59">
        <v>40</v>
      </c>
    </row>
    <row r="15" spans="1:31" x14ac:dyDescent="0.25">
      <c r="A15" s="42" t="s">
        <v>189</v>
      </c>
      <c r="B15" s="42"/>
      <c r="C15" s="47">
        <f>'Scores Summary 3'!D25</f>
        <v>9</v>
      </c>
      <c r="D15" s="16">
        <f>VLOOKUP(C15,F66:T83,(VLOOKUP(C3,A28:B35,2,FALSE)),FALSE)</f>
        <v>7</v>
      </c>
      <c r="F15" s="57">
        <v>8</v>
      </c>
      <c r="G15" s="76">
        <v>13</v>
      </c>
      <c r="H15" s="57">
        <v>13</v>
      </c>
      <c r="I15" s="57">
        <v>13</v>
      </c>
      <c r="J15" s="57">
        <v>13</v>
      </c>
      <c r="K15" s="57">
        <v>14</v>
      </c>
      <c r="L15" s="57">
        <v>15</v>
      </c>
      <c r="M15" s="77">
        <v>16</v>
      </c>
      <c r="N15" s="76">
        <v>9</v>
      </c>
      <c r="O15" s="57">
        <v>9</v>
      </c>
      <c r="P15" s="57">
        <v>9</v>
      </c>
      <c r="Q15" s="57">
        <v>9</v>
      </c>
      <c r="R15" s="57">
        <v>10</v>
      </c>
      <c r="S15" s="57">
        <v>11</v>
      </c>
      <c r="T15" s="77">
        <v>13</v>
      </c>
      <c r="U15" s="76">
        <v>7</v>
      </c>
      <c r="V15" s="57">
        <v>7</v>
      </c>
      <c r="W15" s="57">
        <v>7</v>
      </c>
      <c r="X15" s="57">
        <v>7</v>
      </c>
      <c r="Y15" s="57">
        <v>9</v>
      </c>
      <c r="Z15" s="57">
        <v>10</v>
      </c>
      <c r="AA15" s="77">
        <v>11</v>
      </c>
      <c r="AB15" s="57">
        <f t="shared" si="0"/>
        <v>12</v>
      </c>
      <c r="AC15" s="57">
        <v>51</v>
      </c>
      <c r="AD15" s="57">
        <v>59</v>
      </c>
      <c r="AE15" s="59">
        <v>40</v>
      </c>
    </row>
    <row r="16" spans="1:31" x14ac:dyDescent="0.25">
      <c r="A16" s="42" t="s">
        <v>190</v>
      </c>
      <c r="B16" s="42"/>
      <c r="C16" s="47">
        <f>'Scores Summary 3'!D26</f>
        <v>4</v>
      </c>
      <c r="D16" s="16">
        <f>IF(C16&gt;36,1,VLOOKUP(C16,F86:AA123,(VLOOKUP(C3,A28:B35,2,FALSE)),FALSE))</f>
        <v>6</v>
      </c>
      <c r="F16" s="57">
        <v>9</v>
      </c>
      <c r="G16" s="76">
        <v>15</v>
      </c>
      <c r="H16" s="57">
        <v>14</v>
      </c>
      <c r="I16" s="57">
        <v>14</v>
      </c>
      <c r="J16" s="57">
        <v>14</v>
      </c>
      <c r="K16" s="57">
        <v>15</v>
      </c>
      <c r="L16" s="57">
        <v>16</v>
      </c>
      <c r="M16" s="77">
        <v>17</v>
      </c>
      <c r="N16" s="76">
        <v>10</v>
      </c>
      <c r="O16" s="57">
        <v>10</v>
      </c>
      <c r="P16" s="57">
        <v>10</v>
      </c>
      <c r="Q16" s="57">
        <v>10</v>
      </c>
      <c r="R16" s="57">
        <v>11</v>
      </c>
      <c r="S16" s="57">
        <v>12</v>
      </c>
      <c r="T16" s="77">
        <v>14</v>
      </c>
      <c r="U16" s="76">
        <v>8</v>
      </c>
      <c r="V16" s="57">
        <v>8</v>
      </c>
      <c r="W16" s="57">
        <v>8</v>
      </c>
      <c r="X16" s="57">
        <v>8</v>
      </c>
      <c r="Y16" s="57">
        <v>10</v>
      </c>
      <c r="Z16" s="57">
        <v>11</v>
      </c>
      <c r="AA16" s="77">
        <v>12</v>
      </c>
      <c r="AB16" s="57">
        <f t="shared" si="0"/>
        <v>13</v>
      </c>
      <c r="AC16" s="57">
        <v>52</v>
      </c>
      <c r="AD16" s="57">
        <v>61</v>
      </c>
      <c r="AE16" s="59">
        <v>40</v>
      </c>
    </row>
    <row r="17" spans="1:31" x14ac:dyDescent="0.25">
      <c r="A17" s="42" t="s">
        <v>191</v>
      </c>
      <c r="B17" s="42"/>
      <c r="C17" s="47">
        <f>'Scores Summary 3'!D27</f>
        <v>3</v>
      </c>
      <c r="D17" s="16">
        <f>IF(C17&gt;26,1,VLOOKUP(C17,F86:AA123,(VLOOKUP(C3,A28:B35,2,FALSE)+7),FALSE))</f>
        <v>9</v>
      </c>
      <c r="F17" s="57">
        <v>10</v>
      </c>
      <c r="G17" s="76">
        <v>17</v>
      </c>
      <c r="H17" s="57">
        <v>15</v>
      </c>
      <c r="I17" s="57">
        <v>15</v>
      </c>
      <c r="J17" s="57">
        <v>15</v>
      </c>
      <c r="K17" s="57">
        <v>16</v>
      </c>
      <c r="L17" s="57">
        <v>17</v>
      </c>
      <c r="M17" s="77">
        <v>18</v>
      </c>
      <c r="N17" s="76">
        <v>12</v>
      </c>
      <c r="O17" s="57">
        <v>11</v>
      </c>
      <c r="P17" s="57">
        <v>11</v>
      </c>
      <c r="Q17" s="57">
        <v>11</v>
      </c>
      <c r="R17" s="57">
        <v>12</v>
      </c>
      <c r="S17" s="57">
        <v>14</v>
      </c>
      <c r="T17" s="77">
        <v>15</v>
      </c>
      <c r="U17" s="76">
        <v>9</v>
      </c>
      <c r="V17" s="57">
        <v>9</v>
      </c>
      <c r="W17" s="57">
        <v>9</v>
      </c>
      <c r="X17" s="57">
        <v>10</v>
      </c>
      <c r="Y17" s="57">
        <v>11</v>
      </c>
      <c r="Z17" s="57">
        <v>12</v>
      </c>
      <c r="AA17" s="77">
        <v>13</v>
      </c>
      <c r="AB17" s="57">
        <f t="shared" si="0"/>
        <v>14</v>
      </c>
      <c r="AC17" s="57">
        <v>54</v>
      </c>
      <c r="AD17" s="57">
        <v>63</v>
      </c>
      <c r="AE17" s="59">
        <v>40</v>
      </c>
    </row>
    <row r="18" spans="1:31" x14ac:dyDescent="0.25">
      <c r="A18" s="42" t="s">
        <v>192</v>
      </c>
      <c r="B18" s="42"/>
      <c r="C18" s="47">
        <f>'Scores Summary 3'!D28</f>
        <v>5</v>
      </c>
      <c r="D18" s="16">
        <f>IF(C18&gt;36,1,VLOOKUP(C18,F86:AA123,(VLOOKUP(C3,A28:B35,2,FALSE)+14),FALSE))</f>
        <v>6</v>
      </c>
      <c r="F18" s="57">
        <v>11</v>
      </c>
      <c r="G18" s="76">
        <v>18</v>
      </c>
      <c r="H18" s="57">
        <v>17</v>
      </c>
      <c r="I18" s="57">
        <v>16</v>
      </c>
      <c r="J18" s="57">
        <v>16</v>
      </c>
      <c r="K18" s="57">
        <v>17</v>
      </c>
      <c r="L18" s="57">
        <v>18</v>
      </c>
      <c r="M18" s="77">
        <v>19</v>
      </c>
      <c r="N18" s="76">
        <v>13</v>
      </c>
      <c r="O18" s="57">
        <v>12</v>
      </c>
      <c r="P18" s="57">
        <v>12</v>
      </c>
      <c r="Q18" s="57">
        <v>12</v>
      </c>
      <c r="R18" s="57">
        <v>13</v>
      </c>
      <c r="S18" s="57">
        <v>15</v>
      </c>
      <c r="T18" s="77">
        <v>16</v>
      </c>
      <c r="U18" s="76">
        <v>10</v>
      </c>
      <c r="V18" s="57">
        <v>10</v>
      </c>
      <c r="W18" s="57">
        <v>10</v>
      </c>
      <c r="X18" s="57">
        <v>11</v>
      </c>
      <c r="Y18" s="57">
        <v>12</v>
      </c>
      <c r="Z18" s="57">
        <v>13</v>
      </c>
      <c r="AA18" s="77">
        <v>14</v>
      </c>
      <c r="AB18" s="57">
        <f t="shared" si="0"/>
        <v>15</v>
      </c>
      <c r="AC18" s="57">
        <v>55</v>
      </c>
      <c r="AD18" s="57">
        <v>65</v>
      </c>
      <c r="AE18" s="59">
        <v>40</v>
      </c>
    </row>
    <row r="19" spans="1:31" x14ac:dyDescent="0.25">
      <c r="A19" s="42" t="s">
        <v>193</v>
      </c>
      <c r="B19" s="42"/>
      <c r="C19" s="47">
        <f>'Scores Summary 3'!D29</f>
        <v>8</v>
      </c>
      <c r="D19" s="16">
        <f>IF(C19&gt;37,1,VLOOKUP(C19,F126:AA164,(VLOOKUP(C3,A28:B35,2,FALSE)),FALSE))</f>
        <v>7</v>
      </c>
      <c r="F19" s="57">
        <v>12</v>
      </c>
      <c r="G19" s="76">
        <v>19</v>
      </c>
      <c r="H19" s="57">
        <v>18</v>
      </c>
      <c r="I19" s="57">
        <v>17</v>
      </c>
      <c r="J19" s="57">
        <v>17</v>
      </c>
      <c r="K19" s="57">
        <v>18</v>
      </c>
      <c r="L19" s="57">
        <v>19</v>
      </c>
      <c r="M19" s="77">
        <v>19</v>
      </c>
      <c r="N19" s="76">
        <v>14</v>
      </c>
      <c r="O19" s="57">
        <v>13</v>
      </c>
      <c r="P19" s="57">
        <v>13</v>
      </c>
      <c r="Q19" s="57">
        <v>13</v>
      </c>
      <c r="R19" s="57">
        <v>15</v>
      </c>
      <c r="S19" s="57">
        <v>16</v>
      </c>
      <c r="T19" s="77">
        <v>18</v>
      </c>
      <c r="U19" s="76">
        <v>11</v>
      </c>
      <c r="V19" s="57">
        <v>11</v>
      </c>
      <c r="W19" s="57">
        <v>11</v>
      </c>
      <c r="X19" s="57">
        <v>12</v>
      </c>
      <c r="Y19" s="57">
        <v>13</v>
      </c>
      <c r="Z19" s="57">
        <v>14</v>
      </c>
      <c r="AA19" s="77">
        <v>15</v>
      </c>
      <c r="AB19" s="57">
        <f t="shared" si="0"/>
        <v>16</v>
      </c>
      <c r="AC19" s="57">
        <v>57</v>
      </c>
      <c r="AD19" s="57">
        <v>67</v>
      </c>
      <c r="AE19" s="59">
        <v>40</v>
      </c>
    </row>
    <row r="20" spans="1:31" x14ac:dyDescent="0.25">
      <c r="A20" s="42" t="s">
        <v>194</v>
      </c>
      <c r="B20" s="42"/>
      <c r="C20" s="47">
        <f>'Scores Summary 3'!D30</f>
        <v>9</v>
      </c>
      <c r="D20" s="16">
        <f>IF(C20&gt;37,1,VLOOKUP(C20,F126:AA164,(VLOOKUP(C3,A28:B35,2,FALSE)+7),FALSE))</f>
        <v>8</v>
      </c>
      <c r="F20" s="57">
        <v>13</v>
      </c>
      <c r="G20" s="76">
        <v>19</v>
      </c>
      <c r="H20" s="57">
        <v>19</v>
      </c>
      <c r="I20" s="57">
        <v>18</v>
      </c>
      <c r="J20" s="57">
        <v>18</v>
      </c>
      <c r="K20" s="57">
        <v>19</v>
      </c>
      <c r="L20" s="57">
        <v>19</v>
      </c>
      <c r="M20" s="77">
        <v>19</v>
      </c>
      <c r="N20" s="76">
        <v>15</v>
      </c>
      <c r="O20" s="57">
        <v>15</v>
      </c>
      <c r="P20" s="57">
        <v>15</v>
      </c>
      <c r="Q20" s="57">
        <v>15</v>
      </c>
      <c r="R20" s="57">
        <v>16</v>
      </c>
      <c r="S20" s="57">
        <v>18</v>
      </c>
      <c r="T20" s="77">
        <v>19</v>
      </c>
      <c r="U20" s="76">
        <v>13</v>
      </c>
      <c r="V20" s="57">
        <v>12</v>
      </c>
      <c r="W20" s="57">
        <v>12</v>
      </c>
      <c r="X20" s="57">
        <v>13</v>
      </c>
      <c r="Y20" s="57">
        <v>14</v>
      </c>
      <c r="Z20" s="57">
        <v>15</v>
      </c>
      <c r="AA20" s="77">
        <v>16</v>
      </c>
      <c r="AB20" s="57">
        <f t="shared" si="0"/>
        <v>17</v>
      </c>
      <c r="AC20" s="57">
        <v>58</v>
      </c>
      <c r="AD20" s="57">
        <v>68</v>
      </c>
      <c r="AE20" s="59">
        <v>41</v>
      </c>
    </row>
    <row r="21" spans="1:31" x14ac:dyDescent="0.25">
      <c r="A21" s="42" t="s">
        <v>195</v>
      </c>
      <c r="B21" s="42"/>
      <c r="C21" s="47">
        <f>'Scores Summary 3'!D31</f>
        <v>12</v>
      </c>
      <c r="D21" s="16">
        <f>VLOOKUP(C21,F66:T83,(VLOOKUP(C3,A28:B35,2,FALSE)+7),FALSE)</f>
        <v>5</v>
      </c>
      <c r="F21" s="57">
        <v>14</v>
      </c>
      <c r="G21" s="76">
        <v>19</v>
      </c>
      <c r="H21" s="57">
        <v>19</v>
      </c>
      <c r="I21" s="57">
        <v>19</v>
      </c>
      <c r="J21" s="57">
        <v>19</v>
      </c>
      <c r="K21" s="57">
        <v>19</v>
      </c>
      <c r="L21" s="57">
        <v>19</v>
      </c>
      <c r="M21" s="77">
        <v>19</v>
      </c>
      <c r="N21" s="76">
        <v>16</v>
      </c>
      <c r="O21" s="57">
        <v>16</v>
      </c>
      <c r="P21" s="57">
        <v>16</v>
      </c>
      <c r="Q21" s="57">
        <v>16</v>
      </c>
      <c r="R21" s="57">
        <v>18</v>
      </c>
      <c r="S21" s="57">
        <v>19</v>
      </c>
      <c r="T21" s="77">
        <v>19</v>
      </c>
      <c r="U21" s="76">
        <v>15</v>
      </c>
      <c r="V21" s="57">
        <v>13</v>
      </c>
      <c r="W21" s="57">
        <v>13</v>
      </c>
      <c r="X21" s="57">
        <v>14</v>
      </c>
      <c r="Y21" s="57">
        <v>15</v>
      </c>
      <c r="Z21" s="57">
        <v>16</v>
      </c>
      <c r="AA21" s="77">
        <v>17</v>
      </c>
      <c r="AB21" s="57">
        <f t="shared" si="0"/>
        <v>18</v>
      </c>
      <c r="AC21" s="57">
        <v>60</v>
      </c>
      <c r="AD21" s="57">
        <v>69</v>
      </c>
      <c r="AE21" s="59">
        <v>42</v>
      </c>
    </row>
    <row r="22" spans="1:31" x14ac:dyDescent="0.25">
      <c r="A22" s="42" t="s">
        <v>196</v>
      </c>
      <c r="B22" s="42"/>
      <c r="C22" s="47">
        <f>'Scores Summary 3'!D32</f>
        <v>2</v>
      </c>
      <c r="D22" s="16">
        <f>IF(C22&gt;37,1,VLOOKUP(C22,F126:AA164,(VLOOKUP(C3,A28:B35,2,FALSE)+14),FALSE))</f>
        <v>9</v>
      </c>
      <c r="F22" s="57">
        <v>15</v>
      </c>
      <c r="G22" s="76">
        <v>19</v>
      </c>
      <c r="H22" s="57">
        <v>19</v>
      </c>
      <c r="I22" s="57">
        <v>19</v>
      </c>
      <c r="J22" s="57">
        <v>19</v>
      </c>
      <c r="K22" s="57">
        <v>19</v>
      </c>
      <c r="L22" s="57">
        <v>19</v>
      </c>
      <c r="M22" s="77">
        <v>19</v>
      </c>
      <c r="N22" s="76">
        <v>18</v>
      </c>
      <c r="O22" s="57">
        <v>18</v>
      </c>
      <c r="P22" s="57">
        <v>18</v>
      </c>
      <c r="Q22" s="57">
        <v>18</v>
      </c>
      <c r="R22" s="57">
        <v>19</v>
      </c>
      <c r="S22" s="57">
        <v>19</v>
      </c>
      <c r="T22" s="77">
        <v>19</v>
      </c>
      <c r="U22" s="76">
        <v>16</v>
      </c>
      <c r="V22" s="57">
        <v>15</v>
      </c>
      <c r="W22" s="57">
        <v>15</v>
      </c>
      <c r="X22" s="57">
        <v>15</v>
      </c>
      <c r="Y22" s="57">
        <v>16</v>
      </c>
      <c r="Z22" s="57">
        <v>17</v>
      </c>
      <c r="AA22" s="77">
        <v>18</v>
      </c>
      <c r="AB22" s="57">
        <f t="shared" si="0"/>
        <v>19</v>
      </c>
      <c r="AC22" s="57">
        <v>61</v>
      </c>
      <c r="AD22" s="57">
        <v>71</v>
      </c>
      <c r="AE22" s="59">
        <v>43</v>
      </c>
    </row>
    <row r="23" spans="1:31" x14ac:dyDescent="0.25">
      <c r="A23" s="42" t="s">
        <v>205</v>
      </c>
      <c r="B23" s="42"/>
      <c r="C23" s="47">
        <f>ROUND('Scores Summary 3'!D33,0)</f>
        <v>88</v>
      </c>
      <c r="D23" s="16">
        <f>IF(C23&lt;44,1,VLOOKUP(C23,F167:M224,(VLOOKUP(C3,A28:B35,2,FALSE)),FALSE))</f>
        <v>8</v>
      </c>
      <c r="F23" s="57">
        <v>16</v>
      </c>
      <c r="G23" s="78">
        <v>19</v>
      </c>
      <c r="H23" s="79">
        <v>19</v>
      </c>
      <c r="I23" s="79">
        <v>19</v>
      </c>
      <c r="J23" s="79">
        <v>19</v>
      </c>
      <c r="K23" s="79">
        <v>19</v>
      </c>
      <c r="L23" s="79">
        <v>19</v>
      </c>
      <c r="M23" s="80">
        <v>19</v>
      </c>
      <c r="N23" s="78">
        <v>19</v>
      </c>
      <c r="O23" s="79">
        <v>19</v>
      </c>
      <c r="P23" s="79">
        <v>19</v>
      </c>
      <c r="Q23" s="79">
        <v>19</v>
      </c>
      <c r="R23" s="79">
        <v>19</v>
      </c>
      <c r="S23" s="79">
        <v>19</v>
      </c>
      <c r="T23" s="80">
        <v>19</v>
      </c>
      <c r="U23" s="78">
        <v>17</v>
      </c>
      <c r="V23" s="79">
        <v>16</v>
      </c>
      <c r="W23" s="79">
        <v>16</v>
      </c>
      <c r="X23" s="79">
        <v>16</v>
      </c>
      <c r="Y23" s="79">
        <v>17</v>
      </c>
      <c r="Z23" s="79">
        <v>18</v>
      </c>
      <c r="AA23" s="80">
        <v>19</v>
      </c>
      <c r="AB23" s="57">
        <f t="shared" si="0"/>
        <v>20</v>
      </c>
      <c r="AC23" s="57">
        <v>63</v>
      </c>
      <c r="AD23" s="57">
        <v>72</v>
      </c>
      <c r="AE23" s="59">
        <v>44</v>
      </c>
    </row>
    <row r="24" spans="1:31" x14ac:dyDescent="0.25">
      <c r="A24" s="42" t="s">
        <v>202</v>
      </c>
      <c r="C24" s="47">
        <f>'Scores Summary 3'!D37</f>
        <v>48</v>
      </c>
      <c r="D24" s="16">
        <f>VLOOKUP(C24,AB6:AE193,2,FALSE)</f>
        <v>98</v>
      </c>
      <c r="AB24" s="57">
        <f t="shared" si="0"/>
        <v>21</v>
      </c>
      <c r="AC24" s="57">
        <v>64</v>
      </c>
      <c r="AD24" s="57">
        <v>74</v>
      </c>
      <c r="AE24" s="59">
        <v>45</v>
      </c>
    </row>
    <row r="25" spans="1:31" ht="15.75" x14ac:dyDescent="0.25">
      <c r="A25" s="42" t="s">
        <v>203</v>
      </c>
      <c r="B25" s="42"/>
      <c r="C25" s="47">
        <f>'Scores Summary 3'!D38</f>
        <v>28</v>
      </c>
      <c r="D25" s="16">
        <f>VLOOKUP(C25,AB6:AE193,3,FALSE)</f>
        <v>84</v>
      </c>
      <c r="G25" s="121" t="s">
        <v>251</v>
      </c>
      <c r="H25" s="122"/>
      <c r="I25" s="122"/>
      <c r="J25" s="122"/>
      <c r="K25" s="122"/>
      <c r="L25" s="122"/>
      <c r="M25" s="122"/>
      <c r="N25" s="121" t="s">
        <v>252</v>
      </c>
      <c r="O25" s="122"/>
      <c r="P25" s="122"/>
      <c r="Q25" s="122"/>
      <c r="R25" s="122"/>
      <c r="S25" s="122"/>
      <c r="T25" s="123"/>
      <c r="U25" s="122" t="s">
        <v>185</v>
      </c>
      <c r="V25" s="122"/>
      <c r="W25" s="122"/>
      <c r="X25" s="122"/>
      <c r="Y25" s="122"/>
      <c r="Z25" s="122"/>
      <c r="AA25" s="123"/>
      <c r="AB25" s="57">
        <f t="shared" si="0"/>
        <v>22</v>
      </c>
      <c r="AC25" s="57">
        <v>66</v>
      </c>
      <c r="AD25" s="57">
        <v>75</v>
      </c>
      <c r="AE25" s="59">
        <v>45</v>
      </c>
    </row>
    <row r="26" spans="1:31" x14ac:dyDescent="0.25">
      <c r="A26" s="42" t="s">
        <v>204</v>
      </c>
      <c r="C26" s="47">
        <f>'Scores Summary 3'!D39</f>
        <v>89</v>
      </c>
      <c r="D26" s="16">
        <f>VLOOKUP(C26,AB6:AE193,4,FALSE)</f>
        <v>94</v>
      </c>
      <c r="F26" s="58" t="s">
        <v>14</v>
      </c>
      <c r="G26" s="74" t="s">
        <v>224</v>
      </c>
      <c r="H26" s="58" t="s">
        <v>239</v>
      </c>
      <c r="I26" s="58" t="s">
        <v>240</v>
      </c>
      <c r="J26" s="58" t="s">
        <v>241</v>
      </c>
      <c r="K26" s="58" t="s">
        <v>117</v>
      </c>
      <c r="L26" s="58" t="s">
        <v>242</v>
      </c>
      <c r="M26" s="58" t="s">
        <v>243</v>
      </c>
      <c r="N26" s="74" t="s">
        <v>224</v>
      </c>
      <c r="O26" s="58" t="s">
        <v>239</v>
      </c>
      <c r="P26" s="58" t="s">
        <v>240</v>
      </c>
      <c r="Q26" s="58" t="s">
        <v>241</v>
      </c>
      <c r="R26" s="58" t="s">
        <v>117</v>
      </c>
      <c r="S26" s="58" t="s">
        <v>242</v>
      </c>
      <c r="T26" s="75" t="s">
        <v>243</v>
      </c>
      <c r="U26" s="58" t="s">
        <v>224</v>
      </c>
      <c r="V26" s="58" t="s">
        <v>239</v>
      </c>
      <c r="W26" s="58" t="s">
        <v>240</v>
      </c>
      <c r="X26" s="58" t="s">
        <v>241</v>
      </c>
      <c r="Y26" s="58" t="s">
        <v>117</v>
      </c>
      <c r="Z26" s="58" t="s">
        <v>242</v>
      </c>
      <c r="AA26" s="75" t="s">
        <v>243</v>
      </c>
      <c r="AB26" s="57">
        <f t="shared" si="0"/>
        <v>23</v>
      </c>
      <c r="AC26" s="57">
        <v>67</v>
      </c>
      <c r="AD26" s="57">
        <v>77</v>
      </c>
      <c r="AE26" s="59">
        <v>46</v>
      </c>
    </row>
    <row r="27" spans="1:31" x14ac:dyDescent="0.25">
      <c r="F27" s="57">
        <v>0</v>
      </c>
      <c r="G27" s="76">
        <v>1</v>
      </c>
      <c r="H27" s="57">
        <v>1</v>
      </c>
      <c r="I27" s="57">
        <v>1</v>
      </c>
      <c r="J27" s="57">
        <v>1</v>
      </c>
      <c r="K27" s="57">
        <v>1</v>
      </c>
      <c r="L27" s="57">
        <v>1</v>
      </c>
      <c r="M27" s="57">
        <v>1</v>
      </c>
      <c r="N27" s="76">
        <v>1</v>
      </c>
      <c r="O27" s="57">
        <v>1</v>
      </c>
      <c r="P27" s="57">
        <v>1</v>
      </c>
      <c r="Q27" s="57">
        <v>1</v>
      </c>
      <c r="R27" s="57">
        <v>1</v>
      </c>
      <c r="S27" s="57">
        <v>1</v>
      </c>
      <c r="T27" s="77">
        <v>1</v>
      </c>
      <c r="U27" s="57">
        <v>1</v>
      </c>
      <c r="V27" s="57">
        <v>1</v>
      </c>
      <c r="W27" s="57">
        <v>1</v>
      </c>
      <c r="X27" s="57">
        <v>1</v>
      </c>
      <c r="Y27" s="57">
        <v>3</v>
      </c>
      <c r="Z27" s="57">
        <v>3</v>
      </c>
      <c r="AA27" s="77">
        <v>3</v>
      </c>
      <c r="AB27" s="57">
        <f t="shared" si="0"/>
        <v>24</v>
      </c>
      <c r="AC27" s="57">
        <v>69</v>
      </c>
      <c r="AD27" s="57">
        <v>79</v>
      </c>
      <c r="AE27" s="59">
        <v>47</v>
      </c>
    </row>
    <row r="28" spans="1:31" x14ac:dyDescent="0.25">
      <c r="A28" s="70" t="s">
        <v>56</v>
      </c>
      <c r="B28" s="70" t="s">
        <v>226</v>
      </c>
      <c r="C28" s="71"/>
      <c r="D28" s="71"/>
      <c r="F28" s="57">
        <v>1</v>
      </c>
      <c r="G28" s="76">
        <v>1</v>
      </c>
      <c r="H28" s="57">
        <v>1</v>
      </c>
      <c r="I28" s="57">
        <v>1</v>
      </c>
      <c r="J28" s="57">
        <v>1</v>
      </c>
      <c r="K28" s="57">
        <v>1</v>
      </c>
      <c r="L28" s="57">
        <v>1</v>
      </c>
      <c r="M28" s="57">
        <v>2</v>
      </c>
      <c r="N28" s="76">
        <v>1</v>
      </c>
      <c r="O28" s="57">
        <v>1</v>
      </c>
      <c r="P28" s="57">
        <v>1</v>
      </c>
      <c r="Q28" s="57">
        <v>1</v>
      </c>
      <c r="R28" s="57">
        <v>1</v>
      </c>
      <c r="S28" s="57">
        <v>1</v>
      </c>
      <c r="T28" s="77">
        <v>2</v>
      </c>
      <c r="U28" s="57">
        <v>2</v>
      </c>
      <c r="V28" s="57">
        <v>2</v>
      </c>
      <c r="W28" s="57">
        <v>2</v>
      </c>
      <c r="X28" s="57">
        <v>2</v>
      </c>
      <c r="Y28" s="57">
        <v>5</v>
      </c>
      <c r="Z28" s="57">
        <v>5</v>
      </c>
      <c r="AA28" s="77">
        <v>5</v>
      </c>
      <c r="AB28" s="57">
        <f t="shared" si="0"/>
        <v>25</v>
      </c>
      <c r="AC28" s="57">
        <v>70</v>
      </c>
      <c r="AD28" s="57">
        <v>80</v>
      </c>
      <c r="AE28" s="59">
        <v>48</v>
      </c>
    </row>
    <row r="29" spans="1:31" x14ac:dyDescent="0.25">
      <c r="A29" s="20" t="s">
        <v>224</v>
      </c>
      <c r="B29" s="1">
        <v>2</v>
      </c>
      <c r="F29" s="57">
        <v>2</v>
      </c>
      <c r="G29" s="76">
        <v>1</v>
      </c>
      <c r="H29" s="57">
        <v>1</v>
      </c>
      <c r="I29" s="57">
        <v>1</v>
      </c>
      <c r="J29" s="57">
        <v>1</v>
      </c>
      <c r="K29" s="57">
        <v>1</v>
      </c>
      <c r="L29" s="57">
        <v>2</v>
      </c>
      <c r="M29" s="57">
        <v>3</v>
      </c>
      <c r="N29" s="76">
        <v>1</v>
      </c>
      <c r="O29" s="57">
        <v>1</v>
      </c>
      <c r="P29" s="57">
        <v>1</v>
      </c>
      <c r="Q29" s="57">
        <v>1</v>
      </c>
      <c r="R29" s="57">
        <v>1</v>
      </c>
      <c r="S29" s="57">
        <v>2</v>
      </c>
      <c r="T29" s="77">
        <v>3</v>
      </c>
      <c r="U29" s="57">
        <v>4</v>
      </c>
      <c r="V29" s="57">
        <v>4</v>
      </c>
      <c r="W29" s="57">
        <v>4</v>
      </c>
      <c r="X29" s="57">
        <v>4</v>
      </c>
      <c r="Y29" s="57">
        <v>6</v>
      </c>
      <c r="Z29" s="57">
        <v>6</v>
      </c>
      <c r="AA29" s="77">
        <v>7</v>
      </c>
      <c r="AB29" s="57">
        <f t="shared" si="0"/>
        <v>26</v>
      </c>
      <c r="AC29" s="57">
        <v>71</v>
      </c>
      <c r="AD29" s="57">
        <v>81</v>
      </c>
      <c r="AE29" s="59">
        <v>49</v>
      </c>
    </row>
    <row r="30" spans="1:31" x14ac:dyDescent="0.25">
      <c r="A30" s="20" t="s">
        <v>239</v>
      </c>
      <c r="B30" s="1">
        <v>3</v>
      </c>
      <c r="F30" s="57">
        <v>3</v>
      </c>
      <c r="G30" s="76">
        <v>1</v>
      </c>
      <c r="H30" s="57">
        <v>1</v>
      </c>
      <c r="I30" s="57">
        <v>1</v>
      </c>
      <c r="J30" s="57">
        <v>1</v>
      </c>
      <c r="K30" s="57">
        <v>2</v>
      </c>
      <c r="L30" s="57">
        <v>3</v>
      </c>
      <c r="M30" s="57">
        <v>4</v>
      </c>
      <c r="N30" s="76">
        <v>1</v>
      </c>
      <c r="O30" s="57">
        <v>1</v>
      </c>
      <c r="P30" s="57">
        <v>1</v>
      </c>
      <c r="Q30" s="57">
        <v>1</v>
      </c>
      <c r="R30" s="57">
        <v>2</v>
      </c>
      <c r="S30" s="57">
        <v>3</v>
      </c>
      <c r="T30" s="77">
        <v>4</v>
      </c>
      <c r="U30" s="57">
        <v>6</v>
      </c>
      <c r="V30" s="57">
        <v>6</v>
      </c>
      <c r="W30" s="57">
        <v>6</v>
      </c>
      <c r="X30" s="57">
        <v>6</v>
      </c>
      <c r="Y30" s="57">
        <v>7</v>
      </c>
      <c r="Z30" s="57">
        <v>7</v>
      </c>
      <c r="AA30" s="77">
        <v>9</v>
      </c>
      <c r="AB30" s="57">
        <f t="shared" si="0"/>
        <v>27</v>
      </c>
      <c r="AC30" s="57">
        <v>72</v>
      </c>
      <c r="AD30" s="57">
        <v>83</v>
      </c>
      <c r="AE30" s="59">
        <v>50</v>
      </c>
    </row>
    <row r="31" spans="1:31" x14ac:dyDescent="0.25">
      <c r="A31" s="20" t="s">
        <v>240</v>
      </c>
      <c r="B31" s="1">
        <v>4</v>
      </c>
      <c r="F31" s="57">
        <v>4</v>
      </c>
      <c r="G31" s="76">
        <v>2</v>
      </c>
      <c r="H31" s="57">
        <v>2</v>
      </c>
      <c r="I31" s="57">
        <v>2</v>
      </c>
      <c r="J31" s="57">
        <v>2</v>
      </c>
      <c r="K31" s="57">
        <v>3</v>
      </c>
      <c r="L31" s="57">
        <v>4</v>
      </c>
      <c r="M31" s="57">
        <v>5</v>
      </c>
      <c r="N31" s="76">
        <v>1</v>
      </c>
      <c r="O31" s="57">
        <v>1</v>
      </c>
      <c r="P31" s="57">
        <v>1</v>
      </c>
      <c r="Q31" s="57">
        <v>2</v>
      </c>
      <c r="R31" s="57">
        <v>3</v>
      </c>
      <c r="S31" s="57">
        <v>4</v>
      </c>
      <c r="T31" s="77">
        <v>5</v>
      </c>
      <c r="U31" s="57">
        <v>7</v>
      </c>
      <c r="V31" s="57">
        <v>7</v>
      </c>
      <c r="W31" s="57">
        <v>8</v>
      </c>
      <c r="X31" s="57">
        <v>8</v>
      </c>
      <c r="Y31" s="57">
        <v>9</v>
      </c>
      <c r="Z31" s="57">
        <v>9</v>
      </c>
      <c r="AA31" s="77">
        <v>11</v>
      </c>
      <c r="AB31" s="57">
        <f t="shared" si="0"/>
        <v>28</v>
      </c>
      <c r="AC31" s="57">
        <v>73</v>
      </c>
      <c r="AD31" s="57">
        <v>84</v>
      </c>
      <c r="AE31" s="59">
        <v>50</v>
      </c>
    </row>
    <row r="32" spans="1:31" x14ac:dyDescent="0.25">
      <c r="A32" s="20" t="s">
        <v>241</v>
      </c>
      <c r="B32" s="1">
        <v>5</v>
      </c>
      <c r="F32" s="57">
        <v>5</v>
      </c>
      <c r="G32" s="76">
        <v>3</v>
      </c>
      <c r="H32" s="57">
        <v>3</v>
      </c>
      <c r="I32" s="57">
        <v>3</v>
      </c>
      <c r="J32" s="57">
        <v>3</v>
      </c>
      <c r="K32" s="57">
        <v>4</v>
      </c>
      <c r="L32" s="57">
        <v>5</v>
      </c>
      <c r="M32" s="57">
        <v>6</v>
      </c>
      <c r="N32" s="76">
        <v>2</v>
      </c>
      <c r="O32" s="57">
        <v>2</v>
      </c>
      <c r="P32" s="57">
        <v>2</v>
      </c>
      <c r="Q32" s="57">
        <v>3</v>
      </c>
      <c r="R32" s="57">
        <v>4</v>
      </c>
      <c r="S32" s="57">
        <v>5</v>
      </c>
      <c r="T32" s="77">
        <v>6</v>
      </c>
      <c r="U32" s="57">
        <v>9</v>
      </c>
      <c r="V32" s="57">
        <v>9</v>
      </c>
      <c r="W32" s="57">
        <v>10</v>
      </c>
      <c r="X32" s="57">
        <v>10</v>
      </c>
      <c r="Y32" s="57">
        <v>11</v>
      </c>
      <c r="Z32" s="57">
        <v>11</v>
      </c>
      <c r="AA32" s="77">
        <v>13</v>
      </c>
      <c r="AB32" s="57">
        <f t="shared" si="0"/>
        <v>29</v>
      </c>
      <c r="AC32" s="57">
        <v>75</v>
      </c>
      <c r="AD32" s="57">
        <v>86</v>
      </c>
      <c r="AE32" s="59">
        <v>51</v>
      </c>
    </row>
    <row r="33" spans="1:31" x14ac:dyDescent="0.25">
      <c r="A33" s="20" t="s">
        <v>117</v>
      </c>
      <c r="B33" s="1">
        <v>6</v>
      </c>
      <c r="F33" s="57">
        <v>6</v>
      </c>
      <c r="G33" s="76">
        <v>4</v>
      </c>
      <c r="H33" s="57">
        <v>4</v>
      </c>
      <c r="I33" s="57">
        <v>4</v>
      </c>
      <c r="J33" s="57">
        <v>4</v>
      </c>
      <c r="K33" s="57">
        <v>5</v>
      </c>
      <c r="L33" s="57">
        <v>6</v>
      </c>
      <c r="M33" s="57">
        <v>7</v>
      </c>
      <c r="N33" s="76">
        <v>3</v>
      </c>
      <c r="O33" s="57">
        <v>3</v>
      </c>
      <c r="P33" s="57">
        <v>3</v>
      </c>
      <c r="Q33" s="57">
        <v>4</v>
      </c>
      <c r="R33" s="57">
        <v>5</v>
      </c>
      <c r="S33" s="57">
        <v>6</v>
      </c>
      <c r="T33" s="77">
        <v>7</v>
      </c>
      <c r="U33" s="57">
        <v>11</v>
      </c>
      <c r="V33" s="57">
        <v>10</v>
      </c>
      <c r="W33" s="57">
        <v>11</v>
      </c>
      <c r="X33" s="57">
        <v>11</v>
      </c>
      <c r="Y33" s="57">
        <v>13</v>
      </c>
      <c r="Z33" s="57">
        <v>13</v>
      </c>
      <c r="AA33" s="77">
        <v>14</v>
      </c>
      <c r="AB33" s="57">
        <f t="shared" si="0"/>
        <v>30</v>
      </c>
      <c r="AC33" s="57">
        <v>76</v>
      </c>
      <c r="AD33" s="57">
        <v>87</v>
      </c>
      <c r="AE33" s="59">
        <v>52</v>
      </c>
    </row>
    <row r="34" spans="1:31" x14ac:dyDescent="0.25">
      <c r="A34" s="20" t="s">
        <v>242</v>
      </c>
      <c r="B34" s="1">
        <v>7</v>
      </c>
      <c r="F34" s="57">
        <v>7</v>
      </c>
      <c r="G34" s="76">
        <v>5</v>
      </c>
      <c r="H34" s="57">
        <v>5</v>
      </c>
      <c r="I34" s="57">
        <v>5</v>
      </c>
      <c r="J34" s="57">
        <v>5</v>
      </c>
      <c r="K34" s="57">
        <v>6</v>
      </c>
      <c r="L34" s="57">
        <v>7</v>
      </c>
      <c r="M34" s="57">
        <v>8</v>
      </c>
      <c r="N34" s="76">
        <v>4</v>
      </c>
      <c r="O34" s="57">
        <v>4</v>
      </c>
      <c r="P34" s="57">
        <v>4</v>
      </c>
      <c r="Q34" s="57">
        <v>5</v>
      </c>
      <c r="R34" s="57">
        <v>6</v>
      </c>
      <c r="S34" s="57">
        <v>7</v>
      </c>
      <c r="T34" s="77">
        <v>8</v>
      </c>
      <c r="U34" s="57">
        <v>13</v>
      </c>
      <c r="V34" s="57">
        <v>11</v>
      </c>
      <c r="W34" s="57">
        <v>13</v>
      </c>
      <c r="X34" s="57">
        <v>13</v>
      </c>
      <c r="Y34" s="57">
        <v>14</v>
      </c>
      <c r="Z34" s="57">
        <v>14</v>
      </c>
      <c r="AA34" s="77">
        <v>16</v>
      </c>
      <c r="AB34" s="57">
        <f t="shared" si="0"/>
        <v>31</v>
      </c>
      <c r="AC34" s="57">
        <v>77</v>
      </c>
      <c r="AD34" s="57">
        <v>89</v>
      </c>
      <c r="AE34" s="59">
        <v>53</v>
      </c>
    </row>
    <row r="35" spans="1:31" x14ac:dyDescent="0.25">
      <c r="A35" s="20" t="s">
        <v>243</v>
      </c>
      <c r="B35" s="1">
        <v>8</v>
      </c>
      <c r="F35" s="57">
        <v>8</v>
      </c>
      <c r="G35" s="76">
        <v>6</v>
      </c>
      <c r="H35" s="57">
        <v>6</v>
      </c>
      <c r="I35" s="57">
        <v>6</v>
      </c>
      <c r="J35" s="57">
        <v>6</v>
      </c>
      <c r="K35" s="57">
        <v>7</v>
      </c>
      <c r="L35" s="57">
        <v>8</v>
      </c>
      <c r="M35" s="57">
        <v>9</v>
      </c>
      <c r="N35" s="76">
        <v>5</v>
      </c>
      <c r="O35" s="57">
        <v>5</v>
      </c>
      <c r="P35" s="57">
        <v>5</v>
      </c>
      <c r="Q35" s="57">
        <v>6</v>
      </c>
      <c r="R35" s="57">
        <v>7</v>
      </c>
      <c r="S35" s="57">
        <v>8</v>
      </c>
      <c r="T35" s="77">
        <v>9</v>
      </c>
      <c r="U35" s="57">
        <v>14</v>
      </c>
      <c r="V35" s="57">
        <v>13</v>
      </c>
      <c r="W35" s="57">
        <v>14</v>
      </c>
      <c r="X35" s="57">
        <v>14</v>
      </c>
      <c r="Y35" s="57">
        <v>16</v>
      </c>
      <c r="Z35" s="57">
        <v>16</v>
      </c>
      <c r="AA35" s="77">
        <v>17</v>
      </c>
      <c r="AB35" s="57">
        <f t="shared" si="0"/>
        <v>32</v>
      </c>
      <c r="AC35" s="57">
        <v>79</v>
      </c>
      <c r="AD35" s="57">
        <v>90</v>
      </c>
      <c r="AE35" s="59">
        <v>53</v>
      </c>
    </row>
    <row r="36" spans="1:31" x14ac:dyDescent="0.25">
      <c r="F36" s="57">
        <v>9</v>
      </c>
      <c r="G36" s="76">
        <v>7</v>
      </c>
      <c r="H36" s="57">
        <v>7</v>
      </c>
      <c r="I36" s="57">
        <v>7</v>
      </c>
      <c r="J36" s="57">
        <v>7</v>
      </c>
      <c r="K36" s="57">
        <v>8</v>
      </c>
      <c r="L36" s="57">
        <v>9</v>
      </c>
      <c r="M36" s="57">
        <v>10</v>
      </c>
      <c r="N36" s="76">
        <v>6</v>
      </c>
      <c r="O36" s="57">
        <v>6</v>
      </c>
      <c r="P36" s="57">
        <v>6</v>
      </c>
      <c r="Q36" s="57">
        <v>7</v>
      </c>
      <c r="R36" s="57">
        <v>8</v>
      </c>
      <c r="S36" s="57">
        <v>9</v>
      </c>
      <c r="T36" s="77">
        <v>10</v>
      </c>
      <c r="U36" s="57">
        <v>15</v>
      </c>
      <c r="V36" s="57">
        <v>14</v>
      </c>
      <c r="W36" s="57">
        <v>15</v>
      </c>
      <c r="X36" s="57">
        <v>16</v>
      </c>
      <c r="Y36" s="57">
        <v>17</v>
      </c>
      <c r="Z36" s="57">
        <v>17</v>
      </c>
      <c r="AA36" s="77">
        <v>18</v>
      </c>
      <c r="AB36" s="57">
        <f t="shared" si="0"/>
        <v>33</v>
      </c>
      <c r="AC36" s="57">
        <v>80</v>
      </c>
      <c r="AD36" s="57">
        <v>92</v>
      </c>
      <c r="AE36" s="59">
        <v>54</v>
      </c>
    </row>
    <row r="37" spans="1:31" x14ac:dyDescent="0.25">
      <c r="F37" s="57">
        <v>10</v>
      </c>
      <c r="G37" s="76">
        <v>8</v>
      </c>
      <c r="H37" s="57">
        <v>8</v>
      </c>
      <c r="I37" s="57">
        <v>8</v>
      </c>
      <c r="J37" s="57">
        <v>8</v>
      </c>
      <c r="K37" s="57">
        <v>10</v>
      </c>
      <c r="L37" s="57">
        <v>10</v>
      </c>
      <c r="M37" s="57">
        <v>12</v>
      </c>
      <c r="N37" s="76">
        <v>7</v>
      </c>
      <c r="O37" s="57">
        <v>7</v>
      </c>
      <c r="P37" s="57">
        <v>7</v>
      </c>
      <c r="Q37" s="57">
        <v>8</v>
      </c>
      <c r="R37" s="57">
        <v>9</v>
      </c>
      <c r="S37" s="57">
        <v>10</v>
      </c>
      <c r="T37" s="77">
        <v>11</v>
      </c>
      <c r="U37" s="57">
        <v>16</v>
      </c>
      <c r="V37" s="57">
        <v>15</v>
      </c>
      <c r="W37" s="57">
        <v>16</v>
      </c>
      <c r="X37" s="57">
        <v>17</v>
      </c>
      <c r="Y37" s="57">
        <v>18</v>
      </c>
      <c r="Z37" s="57">
        <v>18</v>
      </c>
      <c r="AA37" s="77">
        <v>19</v>
      </c>
      <c r="AB37" s="57">
        <f t="shared" si="0"/>
        <v>34</v>
      </c>
      <c r="AC37" s="57">
        <v>81</v>
      </c>
      <c r="AD37" s="57">
        <v>93</v>
      </c>
      <c r="AE37" s="59">
        <v>55</v>
      </c>
    </row>
    <row r="38" spans="1:31" x14ac:dyDescent="0.25">
      <c r="F38" s="57">
        <v>11</v>
      </c>
      <c r="G38" s="76">
        <v>9</v>
      </c>
      <c r="H38" s="57">
        <v>9</v>
      </c>
      <c r="I38" s="57">
        <v>9</v>
      </c>
      <c r="J38" s="57">
        <v>10</v>
      </c>
      <c r="K38" s="57">
        <v>11</v>
      </c>
      <c r="L38" s="57">
        <v>12</v>
      </c>
      <c r="M38" s="57">
        <v>13</v>
      </c>
      <c r="N38" s="76">
        <v>8</v>
      </c>
      <c r="O38" s="57">
        <v>8</v>
      </c>
      <c r="P38" s="57">
        <v>8</v>
      </c>
      <c r="Q38" s="57">
        <v>9</v>
      </c>
      <c r="R38" s="57">
        <v>10</v>
      </c>
      <c r="S38" s="57">
        <v>11</v>
      </c>
      <c r="T38" s="77">
        <v>12</v>
      </c>
      <c r="U38" s="57">
        <v>17</v>
      </c>
      <c r="V38" s="57">
        <v>16</v>
      </c>
      <c r="W38" s="57">
        <v>17</v>
      </c>
      <c r="X38" s="57">
        <v>18</v>
      </c>
      <c r="Y38" s="57">
        <v>19</v>
      </c>
      <c r="Z38" s="57">
        <v>19</v>
      </c>
      <c r="AA38" s="77">
        <v>19</v>
      </c>
      <c r="AB38" s="57">
        <f t="shared" si="0"/>
        <v>35</v>
      </c>
      <c r="AC38" s="57">
        <v>82</v>
      </c>
      <c r="AD38" s="57">
        <v>94</v>
      </c>
      <c r="AE38" s="59">
        <v>56</v>
      </c>
    </row>
    <row r="39" spans="1:31" x14ac:dyDescent="0.25">
      <c r="F39" s="57">
        <v>12</v>
      </c>
      <c r="G39" s="76">
        <v>10</v>
      </c>
      <c r="H39" s="57">
        <v>10</v>
      </c>
      <c r="I39" s="57">
        <v>10</v>
      </c>
      <c r="J39" s="57">
        <v>11</v>
      </c>
      <c r="K39" s="57">
        <v>12</v>
      </c>
      <c r="L39" s="57">
        <v>13</v>
      </c>
      <c r="M39" s="57">
        <v>14</v>
      </c>
      <c r="N39" s="76">
        <v>9</v>
      </c>
      <c r="O39" s="57">
        <v>9</v>
      </c>
      <c r="P39" s="57">
        <v>9</v>
      </c>
      <c r="Q39" s="57">
        <v>10</v>
      </c>
      <c r="R39" s="57">
        <v>11</v>
      </c>
      <c r="S39" s="57">
        <v>12</v>
      </c>
      <c r="T39" s="77">
        <v>13</v>
      </c>
      <c r="U39" s="57">
        <v>18</v>
      </c>
      <c r="V39" s="57">
        <v>17</v>
      </c>
      <c r="W39" s="57">
        <v>18</v>
      </c>
      <c r="X39" s="57">
        <v>19</v>
      </c>
      <c r="Y39" s="57">
        <v>19</v>
      </c>
      <c r="Z39" s="57">
        <v>19</v>
      </c>
      <c r="AA39" s="77">
        <v>19</v>
      </c>
      <c r="AB39" s="57">
        <f t="shared" si="0"/>
        <v>36</v>
      </c>
      <c r="AC39" s="57">
        <v>83</v>
      </c>
      <c r="AD39" s="57">
        <v>96</v>
      </c>
      <c r="AE39" s="59">
        <v>56</v>
      </c>
    </row>
    <row r="40" spans="1:31" x14ac:dyDescent="0.25">
      <c r="F40" s="57">
        <v>13</v>
      </c>
      <c r="G40" s="76">
        <v>12</v>
      </c>
      <c r="H40" s="57">
        <v>11</v>
      </c>
      <c r="I40" s="57">
        <v>11</v>
      </c>
      <c r="J40" s="57">
        <v>12</v>
      </c>
      <c r="K40" s="57">
        <v>13</v>
      </c>
      <c r="L40" s="57">
        <v>14</v>
      </c>
      <c r="M40" s="57">
        <v>15</v>
      </c>
      <c r="N40" s="76">
        <v>10</v>
      </c>
      <c r="O40" s="57">
        <v>10</v>
      </c>
      <c r="P40" s="57">
        <v>10</v>
      </c>
      <c r="Q40" s="57">
        <v>11</v>
      </c>
      <c r="R40" s="57">
        <v>12</v>
      </c>
      <c r="S40" s="57">
        <v>13</v>
      </c>
      <c r="T40" s="77">
        <v>14</v>
      </c>
      <c r="U40" s="57">
        <v>19</v>
      </c>
      <c r="V40" s="57">
        <v>18</v>
      </c>
      <c r="W40" s="57">
        <v>19</v>
      </c>
      <c r="X40" s="57">
        <v>19</v>
      </c>
      <c r="Y40" s="57">
        <v>19</v>
      </c>
      <c r="Z40" s="57">
        <v>19</v>
      </c>
      <c r="AA40" s="77">
        <v>19</v>
      </c>
      <c r="AB40" s="57">
        <f t="shared" si="0"/>
        <v>37</v>
      </c>
      <c r="AC40" s="57">
        <v>85</v>
      </c>
      <c r="AD40" s="57">
        <v>97</v>
      </c>
      <c r="AE40" s="59">
        <v>57</v>
      </c>
    </row>
    <row r="41" spans="1:31" x14ac:dyDescent="0.25">
      <c r="F41" s="57">
        <v>14</v>
      </c>
      <c r="G41" s="76">
        <v>13</v>
      </c>
      <c r="H41" s="57">
        <v>13</v>
      </c>
      <c r="I41" s="57">
        <v>12</v>
      </c>
      <c r="J41" s="57">
        <v>13</v>
      </c>
      <c r="K41" s="57">
        <v>14</v>
      </c>
      <c r="L41" s="57">
        <v>15</v>
      </c>
      <c r="M41" s="57">
        <v>16</v>
      </c>
      <c r="N41" s="76">
        <v>12</v>
      </c>
      <c r="O41" s="57">
        <v>12</v>
      </c>
      <c r="P41" s="57">
        <v>12</v>
      </c>
      <c r="Q41" s="57">
        <v>12</v>
      </c>
      <c r="R41" s="57">
        <v>13</v>
      </c>
      <c r="S41" s="57">
        <v>14</v>
      </c>
      <c r="T41" s="77">
        <v>15</v>
      </c>
      <c r="U41" s="57">
        <v>19</v>
      </c>
      <c r="V41" s="57">
        <v>19</v>
      </c>
      <c r="W41" s="57">
        <v>19</v>
      </c>
      <c r="X41" s="57">
        <v>19</v>
      </c>
      <c r="Y41" s="57">
        <v>19</v>
      </c>
      <c r="Z41" s="57">
        <v>19</v>
      </c>
      <c r="AA41" s="77">
        <v>19</v>
      </c>
      <c r="AB41" s="57">
        <f t="shared" si="0"/>
        <v>38</v>
      </c>
      <c r="AC41" s="57">
        <v>86</v>
      </c>
      <c r="AD41" s="57">
        <v>98</v>
      </c>
      <c r="AE41" s="59">
        <v>58</v>
      </c>
    </row>
    <row r="42" spans="1:31" x14ac:dyDescent="0.25">
      <c r="F42" s="57">
        <v>15</v>
      </c>
      <c r="G42" s="76">
        <v>15</v>
      </c>
      <c r="H42" s="57">
        <v>14</v>
      </c>
      <c r="I42" s="57">
        <v>14</v>
      </c>
      <c r="J42" s="57">
        <v>14</v>
      </c>
      <c r="K42" s="57">
        <v>15</v>
      </c>
      <c r="L42" s="57">
        <v>16</v>
      </c>
      <c r="M42" s="57">
        <v>17</v>
      </c>
      <c r="N42" s="76">
        <v>14</v>
      </c>
      <c r="O42" s="57">
        <v>13</v>
      </c>
      <c r="P42" s="57">
        <v>13</v>
      </c>
      <c r="Q42" s="57">
        <v>13</v>
      </c>
      <c r="R42" s="57">
        <v>15</v>
      </c>
      <c r="S42" s="57">
        <v>15</v>
      </c>
      <c r="T42" s="77">
        <v>16</v>
      </c>
      <c r="U42" s="57">
        <v>19</v>
      </c>
      <c r="V42" s="57">
        <v>19</v>
      </c>
      <c r="W42" s="57">
        <v>19</v>
      </c>
      <c r="X42" s="57">
        <v>19</v>
      </c>
      <c r="Y42" s="57">
        <v>19</v>
      </c>
      <c r="Z42" s="57">
        <v>19</v>
      </c>
      <c r="AA42" s="77">
        <v>19</v>
      </c>
      <c r="AB42" s="57">
        <f t="shared" si="0"/>
        <v>39</v>
      </c>
      <c r="AC42" s="57">
        <v>87</v>
      </c>
      <c r="AD42" s="57">
        <v>99</v>
      </c>
      <c r="AE42" s="59">
        <v>59</v>
      </c>
    </row>
    <row r="43" spans="1:31" x14ac:dyDescent="0.25">
      <c r="F43" s="57">
        <v>16</v>
      </c>
      <c r="G43" s="78">
        <v>17</v>
      </c>
      <c r="H43" s="79">
        <v>16</v>
      </c>
      <c r="I43" s="79">
        <v>16</v>
      </c>
      <c r="J43" s="79">
        <v>16</v>
      </c>
      <c r="K43" s="79">
        <v>16</v>
      </c>
      <c r="L43" s="79">
        <v>17</v>
      </c>
      <c r="M43" s="79">
        <v>19</v>
      </c>
      <c r="N43" s="78">
        <v>16</v>
      </c>
      <c r="O43" s="79">
        <v>15</v>
      </c>
      <c r="P43" s="79">
        <v>15</v>
      </c>
      <c r="Q43" s="79">
        <v>15</v>
      </c>
      <c r="R43" s="79">
        <v>16</v>
      </c>
      <c r="S43" s="79">
        <v>16</v>
      </c>
      <c r="T43" s="80">
        <v>17</v>
      </c>
      <c r="U43" s="79">
        <v>19</v>
      </c>
      <c r="V43" s="79">
        <v>19</v>
      </c>
      <c r="W43" s="79">
        <v>19</v>
      </c>
      <c r="X43" s="79">
        <v>19</v>
      </c>
      <c r="Y43" s="79">
        <v>19</v>
      </c>
      <c r="Z43" s="79">
        <v>19</v>
      </c>
      <c r="AA43" s="80">
        <v>19</v>
      </c>
      <c r="AB43" s="57">
        <f t="shared" si="0"/>
        <v>40</v>
      </c>
      <c r="AC43" s="57">
        <v>89</v>
      </c>
      <c r="AD43" s="57">
        <v>100</v>
      </c>
      <c r="AE43" s="59">
        <v>60</v>
      </c>
    </row>
    <row r="44" spans="1:31" x14ac:dyDescent="0.25">
      <c r="AB44" s="57">
        <f t="shared" si="0"/>
        <v>41</v>
      </c>
      <c r="AC44" s="57">
        <v>90</v>
      </c>
      <c r="AD44" s="57">
        <v>102</v>
      </c>
      <c r="AE44" s="59">
        <v>60</v>
      </c>
    </row>
    <row r="45" spans="1:31" ht="15" customHeight="1" x14ac:dyDescent="0.25">
      <c r="G45" s="121" t="s">
        <v>253</v>
      </c>
      <c r="H45" s="122"/>
      <c r="I45" s="122"/>
      <c r="J45" s="122"/>
      <c r="K45" s="122"/>
      <c r="L45" s="122"/>
      <c r="M45" s="122"/>
      <c r="N45" s="121" t="s">
        <v>254</v>
      </c>
      <c r="O45" s="122"/>
      <c r="P45" s="122"/>
      <c r="Q45" s="122"/>
      <c r="R45" s="122"/>
      <c r="S45" s="122"/>
      <c r="T45" s="123"/>
      <c r="U45" s="122" t="s">
        <v>255</v>
      </c>
      <c r="V45" s="122"/>
      <c r="W45" s="122"/>
      <c r="X45" s="122"/>
      <c r="Y45" s="122"/>
      <c r="Z45" s="122"/>
      <c r="AA45" s="123"/>
      <c r="AB45" s="57">
        <f t="shared" si="0"/>
        <v>42</v>
      </c>
      <c r="AC45" s="57">
        <v>91</v>
      </c>
      <c r="AD45" s="57">
        <v>103</v>
      </c>
      <c r="AE45" s="59">
        <v>61</v>
      </c>
    </row>
    <row r="46" spans="1:31" ht="15" customHeight="1" x14ac:dyDescent="0.25">
      <c r="F46" s="58" t="s">
        <v>14</v>
      </c>
      <c r="G46" s="74" t="s">
        <v>224</v>
      </c>
      <c r="H46" s="58" t="s">
        <v>239</v>
      </c>
      <c r="I46" s="58" t="s">
        <v>240</v>
      </c>
      <c r="J46" s="58" t="s">
        <v>241</v>
      </c>
      <c r="K46" s="58" t="s">
        <v>117</v>
      </c>
      <c r="L46" s="58" t="s">
        <v>242</v>
      </c>
      <c r="M46" s="58" t="s">
        <v>243</v>
      </c>
      <c r="N46" s="74" t="s">
        <v>224</v>
      </c>
      <c r="O46" s="58" t="s">
        <v>239</v>
      </c>
      <c r="P46" s="58" t="s">
        <v>240</v>
      </c>
      <c r="Q46" s="58" t="s">
        <v>241</v>
      </c>
      <c r="R46" s="58" t="s">
        <v>117</v>
      </c>
      <c r="S46" s="58" t="s">
        <v>242</v>
      </c>
      <c r="T46" s="75" t="s">
        <v>243</v>
      </c>
      <c r="U46" s="58" t="s">
        <v>224</v>
      </c>
      <c r="V46" s="58" t="s">
        <v>239</v>
      </c>
      <c r="W46" s="58" t="s">
        <v>240</v>
      </c>
      <c r="X46" s="58" t="s">
        <v>241</v>
      </c>
      <c r="Y46" s="58" t="s">
        <v>117</v>
      </c>
      <c r="Z46" s="58" t="s">
        <v>242</v>
      </c>
      <c r="AA46" s="75" t="s">
        <v>243</v>
      </c>
      <c r="AB46" s="57">
        <f t="shared" si="0"/>
        <v>43</v>
      </c>
      <c r="AC46" s="57">
        <v>92</v>
      </c>
      <c r="AD46" s="57">
        <v>104</v>
      </c>
      <c r="AE46" s="59">
        <v>62</v>
      </c>
    </row>
    <row r="47" spans="1:31" x14ac:dyDescent="0.25">
      <c r="F47" s="57">
        <v>0</v>
      </c>
      <c r="G47" s="76">
        <v>1</v>
      </c>
      <c r="H47" s="57">
        <v>1</v>
      </c>
      <c r="I47" s="57">
        <v>1</v>
      </c>
      <c r="J47" s="57">
        <v>1</v>
      </c>
      <c r="K47" s="57">
        <v>2</v>
      </c>
      <c r="L47" s="57">
        <v>2</v>
      </c>
      <c r="M47" s="57">
        <v>3</v>
      </c>
      <c r="N47" s="76">
        <v>1</v>
      </c>
      <c r="O47" s="57">
        <v>1</v>
      </c>
      <c r="P47" s="57">
        <v>1</v>
      </c>
      <c r="Q47" s="57">
        <v>1</v>
      </c>
      <c r="R47" s="57">
        <v>1</v>
      </c>
      <c r="S47" s="57">
        <v>1</v>
      </c>
      <c r="T47" s="77">
        <v>2</v>
      </c>
      <c r="U47" s="57">
        <v>1</v>
      </c>
      <c r="V47" s="57">
        <v>1</v>
      </c>
      <c r="W47" s="57">
        <v>1</v>
      </c>
      <c r="X47" s="57">
        <v>1</v>
      </c>
      <c r="Y47" s="57">
        <v>2</v>
      </c>
      <c r="Z47" s="57">
        <v>2</v>
      </c>
      <c r="AA47" s="77">
        <v>3</v>
      </c>
      <c r="AB47" s="57">
        <f t="shared" si="0"/>
        <v>44</v>
      </c>
      <c r="AC47" s="57">
        <v>93</v>
      </c>
      <c r="AD47" s="57">
        <v>105</v>
      </c>
      <c r="AE47" s="59">
        <v>63</v>
      </c>
    </row>
    <row r="48" spans="1:31" x14ac:dyDescent="0.25">
      <c r="F48" s="57">
        <v>1</v>
      </c>
      <c r="G48" s="76">
        <v>1</v>
      </c>
      <c r="H48" s="57">
        <v>1</v>
      </c>
      <c r="I48" s="57">
        <v>1</v>
      </c>
      <c r="J48" s="57">
        <v>2</v>
      </c>
      <c r="K48" s="57">
        <v>3</v>
      </c>
      <c r="L48" s="57">
        <v>3</v>
      </c>
      <c r="M48" s="57">
        <v>4</v>
      </c>
      <c r="N48" s="76">
        <v>1</v>
      </c>
      <c r="O48" s="57">
        <v>1</v>
      </c>
      <c r="P48" s="57">
        <v>1</v>
      </c>
      <c r="Q48" s="57">
        <v>1</v>
      </c>
      <c r="R48" s="57">
        <v>1</v>
      </c>
      <c r="S48" s="57">
        <v>2</v>
      </c>
      <c r="T48" s="77">
        <v>3</v>
      </c>
      <c r="U48" s="57">
        <v>1</v>
      </c>
      <c r="V48" s="57">
        <v>1</v>
      </c>
      <c r="W48" s="57">
        <v>1</v>
      </c>
      <c r="X48" s="57">
        <v>2</v>
      </c>
      <c r="Y48" s="57">
        <v>3</v>
      </c>
      <c r="Z48" s="57">
        <v>3</v>
      </c>
      <c r="AA48" s="77">
        <v>4</v>
      </c>
      <c r="AB48" s="57">
        <f t="shared" si="0"/>
        <v>45</v>
      </c>
      <c r="AC48" s="57">
        <v>94</v>
      </c>
      <c r="AD48" s="57">
        <v>106</v>
      </c>
      <c r="AE48" s="59">
        <v>64</v>
      </c>
    </row>
    <row r="49" spans="6:31" x14ac:dyDescent="0.25">
      <c r="F49" s="57">
        <v>2</v>
      </c>
      <c r="G49" s="76">
        <v>2</v>
      </c>
      <c r="H49" s="57">
        <v>2</v>
      </c>
      <c r="I49" s="57">
        <v>2</v>
      </c>
      <c r="J49" s="57">
        <v>3</v>
      </c>
      <c r="K49" s="57">
        <v>4</v>
      </c>
      <c r="L49" s="57">
        <v>4</v>
      </c>
      <c r="M49" s="57">
        <v>5</v>
      </c>
      <c r="N49" s="76">
        <v>1</v>
      </c>
      <c r="O49" s="57">
        <v>1</v>
      </c>
      <c r="P49" s="57">
        <v>1</v>
      </c>
      <c r="Q49" s="57">
        <v>1</v>
      </c>
      <c r="R49" s="57">
        <v>2</v>
      </c>
      <c r="S49" s="57">
        <v>3</v>
      </c>
      <c r="T49" s="77">
        <v>4</v>
      </c>
      <c r="U49" s="57">
        <v>2</v>
      </c>
      <c r="V49" s="57">
        <v>2</v>
      </c>
      <c r="W49" s="57">
        <v>2</v>
      </c>
      <c r="X49" s="57">
        <v>3</v>
      </c>
      <c r="Y49" s="57">
        <v>4</v>
      </c>
      <c r="Z49" s="57">
        <v>4</v>
      </c>
      <c r="AA49" s="77">
        <v>5</v>
      </c>
      <c r="AB49" s="57">
        <f t="shared" si="0"/>
        <v>46</v>
      </c>
      <c r="AC49" s="57">
        <v>95</v>
      </c>
      <c r="AD49" s="57">
        <v>108</v>
      </c>
      <c r="AE49" s="59">
        <v>65</v>
      </c>
    </row>
    <row r="50" spans="6:31" x14ac:dyDescent="0.25">
      <c r="F50" s="57">
        <v>3</v>
      </c>
      <c r="G50" s="76">
        <v>3</v>
      </c>
      <c r="H50" s="57">
        <v>3</v>
      </c>
      <c r="I50" s="57">
        <v>3</v>
      </c>
      <c r="J50" s="57">
        <v>4</v>
      </c>
      <c r="K50" s="57">
        <v>5</v>
      </c>
      <c r="L50" s="57">
        <v>5</v>
      </c>
      <c r="M50" s="57">
        <v>6</v>
      </c>
      <c r="N50" s="76">
        <v>2</v>
      </c>
      <c r="O50" s="57">
        <v>2</v>
      </c>
      <c r="P50" s="57">
        <v>2</v>
      </c>
      <c r="Q50" s="57">
        <v>2</v>
      </c>
      <c r="R50" s="57">
        <v>3</v>
      </c>
      <c r="S50" s="57">
        <v>3</v>
      </c>
      <c r="T50" s="77">
        <v>4</v>
      </c>
      <c r="U50" s="57">
        <v>3</v>
      </c>
      <c r="V50" s="57">
        <v>3</v>
      </c>
      <c r="W50" s="57">
        <v>3</v>
      </c>
      <c r="X50" s="57">
        <v>4</v>
      </c>
      <c r="Y50" s="57">
        <v>5</v>
      </c>
      <c r="Z50" s="57">
        <v>5</v>
      </c>
      <c r="AA50" s="77">
        <v>6</v>
      </c>
      <c r="AB50" s="57">
        <f t="shared" si="0"/>
        <v>47</v>
      </c>
      <c r="AC50" s="57">
        <v>96</v>
      </c>
      <c r="AD50" s="57">
        <v>109</v>
      </c>
      <c r="AE50" s="59">
        <v>66</v>
      </c>
    </row>
    <row r="51" spans="6:31" x14ac:dyDescent="0.25">
      <c r="F51" s="57">
        <v>4</v>
      </c>
      <c r="G51" s="76">
        <v>4</v>
      </c>
      <c r="H51" s="57">
        <v>4</v>
      </c>
      <c r="I51" s="57">
        <v>4</v>
      </c>
      <c r="J51" s="57">
        <v>5</v>
      </c>
      <c r="K51" s="57">
        <v>6</v>
      </c>
      <c r="L51" s="57">
        <v>6</v>
      </c>
      <c r="M51" s="57">
        <v>7</v>
      </c>
      <c r="N51" s="76">
        <v>3</v>
      </c>
      <c r="O51" s="57">
        <v>3</v>
      </c>
      <c r="P51" s="57">
        <v>3</v>
      </c>
      <c r="Q51" s="57">
        <v>3</v>
      </c>
      <c r="R51" s="57">
        <v>4</v>
      </c>
      <c r="S51" s="57">
        <v>4</v>
      </c>
      <c r="T51" s="77">
        <v>5</v>
      </c>
      <c r="U51" s="57">
        <v>4</v>
      </c>
      <c r="V51" s="57">
        <v>4</v>
      </c>
      <c r="W51" s="57">
        <v>4</v>
      </c>
      <c r="X51" s="57">
        <v>5</v>
      </c>
      <c r="Y51" s="57">
        <v>6</v>
      </c>
      <c r="Z51" s="57">
        <v>6</v>
      </c>
      <c r="AA51" s="77">
        <v>7</v>
      </c>
      <c r="AB51" s="57">
        <f t="shared" si="0"/>
        <v>48</v>
      </c>
      <c r="AC51" s="57">
        <v>98</v>
      </c>
      <c r="AD51" s="57">
        <v>110</v>
      </c>
      <c r="AE51" s="59">
        <v>66</v>
      </c>
    </row>
    <row r="52" spans="6:31" x14ac:dyDescent="0.25">
      <c r="F52" s="57">
        <v>5</v>
      </c>
      <c r="G52" s="76">
        <v>5</v>
      </c>
      <c r="H52" s="57">
        <v>5</v>
      </c>
      <c r="I52" s="57">
        <v>5</v>
      </c>
      <c r="J52" s="57">
        <v>5</v>
      </c>
      <c r="K52" s="57">
        <v>6</v>
      </c>
      <c r="L52" s="57">
        <v>7</v>
      </c>
      <c r="M52" s="57">
        <v>8</v>
      </c>
      <c r="N52" s="76">
        <v>4</v>
      </c>
      <c r="O52" s="57">
        <v>4</v>
      </c>
      <c r="P52" s="57">
        <v>4</v>
      </c>
      <c r="Q52" s="57">
        <v>4</v>
      </c>
      <c r="R52" s="57">
        <v>5</v>
      </c>
      <c r="S52" s="57">
        <v>5</v>
      </c>
      <c r="T52" s="77">
        <v>6</v>
      </c>
      <c r="U52" s="57">
        <v>5</v>
      </c>
      <c r="V52" s="57">
        <v>5</v>
      </c>
      <c r="W52" s="57">
        <v>5</v>
      </c>
      <c r="X52" s="57">
        <v>5</v>
      </c>
      <c r="Y52" s="57">
        <v>6</v>
      </c>
      <c r="Z52" s="57">
        <v>7</v>
      </c>
      <c r="AA52" s="77">
        <v>8</v>
      </c>
      <c r="AB52" s="57">
        <f t="shared" si="0"/>
        <v>49</v>
      </c>
      <c r="AC52" s="57">
        <v>99</v>
      </c>
      <c r="AD52" s="57">
        <v>111</v>
      </c>
      <c r="AE52" s="59">
        <v>67</v>
      </c>
    </row>
    <row r="53" spans="6:31" x14ac:dyDescent="0.25">
      <c r="F53" s="57">
        <v>6</v>
      </c>
      <c r="G53" s="76">
        <v>5</v>
      </c>
      <c r="H53" s="57">
        <v>5</v>
      </c>
      <c r="I53" s="57">
        <v>6</v>
      </c>
      <c r="J53" s="57">
        <v>6</v>
      </c>
      <c r="K53" s="57">
        <v>7</v>
      </c>
      <c r="L53" s="57">
        <v>8</v>
      </c>
      <c r="M53" s="57">
        <v>9</v>
      </c>
      <c r="N53" s="76">
        <v>5</v>
      </c>
      <c r="O53" s="57">
        <v>5</v>
      </c>
      <c r="P53" s="57">
        <v>5</v>
      </c>
      <c r="Q53" s="57">
        <v>5</v>
      </c>
      <c r="R53" s="57">
        <v>6</v>
      </c>
      <c r="S53" s="57">
        <v>6</v>
      </c>
      <c r="T53" s="77">
        <v>7</v>
      </c>
      <c r="U53" s="57">
        <v>5</v>
      </c>
      <c r="V53" s="57">
        <v>5</v>
      </c>
      <c r="W53" s="57">
        <v>5</v>
      </c>
      <c r="X53" s="57">
        <v>6</v>
      </c>
      <c r="Y53" s="57">
        <v>7</v>
      </c>
      <c r="Z53" s="57">
        <v>7</v>
      </c>
      <c r="AA53" s="77">
        <v>8</v>
      </c>
      <c r="AB53" s="57">
        <f t="shared" si="0"/>
        <v>50</v>
      </c>
      <c r="AC53" s="57">
        <v>100</v>
      </c>
      <c r="AD53" s="57">
        <v>113</v>
      </c>
      <c r="AE53" s="59">
        <v>68</v>
      </c>
    </row>
    <row r="54" spans="6:31" x14ac:dyDescent="0.25">
      <c r="F54" s="57">
        <v>7</v>
      </c>
      <c r="G54" s="76">
        <v>6</v>
      </c>
      <c r="H54" s="57">
        <v>6</v>
      </c>
      <c r="I54" s="57">
        <v>7</v>
      </c>
      <c r="J54" s="57">
        <v>7</v>
      </c>
      <c r="K54" s="57">
        <v>8</v>
      </c>
      <c r="L54" s="57">
        <v>9</v>
      </c>
      <c r="M54" s="57">
        <v>10</v>
      </c>
      <c r="N54" s="76">
        <v>6</v>
      </c>
      <c r="O54" s="57">
        <v>6</v>
      </c>
      <c r="P54" s="57">
        <v>6</v>
      </c>
      <c r="Q54" s="57">
        <v>6</v>
      </c>
      <c r="R54" s="57">
        <v>6</v>
      </c>
      <c r="S54" s="57">
        <v>7</v>
      </c>
      <c r="T54" s="77">
        <v>8</v>
      </c>
      <c r="U54" s="57">
        <v>6</v>
      </c>
      <c r="V54" s="57">
        <v>6</v>
      </c>
      <c r="W54" s="57">
        <v>6</v>
      </c>
      <c r="X54" s="57">
        <v>7</v>
      </c>
      <c r="Y54" s="57">
        <v>7</v>
      </c>
      <c r="Z54" s="57">
        <v>8</v>
      </c>
      <c r="AA54" s="77">
        <v>9</v>
      </c>
      <c r="AB54" s="57">
        <f t="shared" si="0"/>
        <v>51</v>
      </c>
      <c r="AC54" s="57">
        <v>101</v>
      </c>
      <c r="AD54" s="57">
        <v>114</v>
      </c>
      <c r="AE54" s="59">
        <v>69</v>
      </c>
    </row>
    <row r="55" spans="6:31" x14ac:dyDescent="0.25">
      <c r="F55" s="57">
        <v>8</v>
      </c>
      <c r="G55" s="76">
        <v>7</v>
      </c>
      <c r="H55" s="57">
        <v>7</v>
      </c>
      <c r="I55" s="57">
        <v>7</v>
      </c>
      <c r="J55" s="57">
        <v>8</v>
      </c>
      <c r="K55" s="57">
        <v>9</v>
      </c>
      <c r="L55" s="57">
        <v>10</v>
      </c>
      <c r="M55" s="57">
        <v>11</v>
      </c>
      <c r="N55" s="76">
        <v>7</v>
      </c>
      <c r="O55" s="57">
        <v>7</v>
      </c>
      <c r="P55" s="57">
        <v>7</v>
      </c>
      <c r="Q55" s="57">
        <v>7</v>
      </c>
      <c r="R55" s="57">
        <v>7</v>
      </c>
      <c r="S55" s="57">
        <v>8</v>
      </c>
      <c r="T55" s="77">
        <v>9</v>
      </c>
      <c r="U55" s="57">
        <v>7</v>
      </c>
      <c r="V55" s="57">
        <v>7</v>
      </c>
      <c r="W55" s="57">
        <v>7</v>
      </c>
      <c r="X55" s="57">
        <v>8</v>
      </c>
      <c r="Y55" s="57">
        <v>8</v>
      </c>
      <c r="Z55" s="57">
        <v>9</v>
      </c>
      <c r="AA55" s="77">
        <v>10</v>
      </c>
      <c r="AB55" s="57">
        <f t="shared" si="0"/>
        <v>52</v>
      </c>
      <c r="AC55" s="57">
        <v>102</v>
      </c>
      <c r="AD55" s="57">
        <v>115</v>
      </c>
      <c r="AE55" s="59">
        <v>70</v>
      </c>
    </row>
    <row r="56" spans="6:31" x14ac:dyDescent="0.25">
      <c r="F56" s="57">
        <v>9</v>
      </c>
      <c r="G56" s="76">
        <v>8</v>
      </c>
      <c r="H56" s="57">
        <v>8</v>
      </c>
      <c r="I56" s="57">
        <v>8</v>
      </c>
      <c r="J56" s="57">
        <v>9</v>
      </c>
      <c r="K56" s="57">
        <v>10</v>
      </c>
      <c r="L56" s="57">
        <v>11</v>
      </c>
      <c r="M56" s="57">
        <v>12</v>
      </c>
      <c r="N56" s="76">
        <v>7</v>
      </c>
      <c r="O56" s="57">
        <v>7</v>
      </c>
      <c r="P56" s="57">
        <v>7</v>
      </c>
      <c r="Q56" s="57">
        <v>7</v>
      </c>
      <c r="R56" s="57">
        <v>8</v>
      </c>
      <c r="S56" s="57">
        <v>9</v>
      </c>
      <c r="T56" s="77">
        <v>10</v>
      </c>
      <c r="U56" s="57">
        <v>7</v>
      </c>
      <c r="V56" s="57">
        <v>7</v>
      </c>
      <c r="W56" s="57">
        <v>8</v>
      </c>
      <c r="X56" s="57">
        <v>8</v>
      </c>
      <c r="Y56" s="57">
        <v>9</v>
      </c>
      <c r="Z56" s="57">
        <v>10</v>
      </c>
      <c r="AA56" s="77">
        <v>11</v>
      </c>
      <c r="AB56" s="57">
        <f t="shared" si="0"/>
        <v>53</v>
      </c>
      <c r="AC56" s="57">
        <v>103</v>
      </c>
      <c r="AD56" s="57">
        <v>117</v>
      </c>
      <c r="AE56" s="59">
        <v>70</v>
      </c>
    </row>
    <row r="57" spans="6:31" x14ac:dyDescent="0.25">
      <c r="F57" s="57">
        <v>10</v>
      </c>
      <c r="G57" s="76">
        <v>9</v>
      </c>
      <c r="H57" s="57">
        <v>9</v>
      </c>
      <c r="I57" s="57">
        <v>9</v>
      </c>
      <c r="J57" s="57">
        <v>10</v>
      </c>
      <c r="K57" s="57">
        <v>11</v>
      </c>
      <c r="L57" s="57">
        <v>12</v>
      </c>
      <c r="M57" s="57">
        <v>13</v>
      </c>
      <c r="N57" s="76">
        <v>8</v>
      </c>
      <c r="O57" s="57">
        <v>8</v>
      </c>
      <c r="P57" s="57">
        <v>8</v>
      </c>
      <c r="Q57" s="57">
        <v>8</v>
      </c>
      <c r="R57" s="57">
        <v>9</v>
      </c>
      <c r="S57" s="57">
        <v>10</v>
      </c>
      <c r="T57" s="77">
        <v>11</v>
      </c>
      <c r="U57" s="57">
        <v>8</v>
      </c>
      <c r="V57" s="57">
        <v>8</v>
      </c>
      <c r="W57" s="57">
        <v>9</v>
      </c>
      <c r="X57" s="57">
        <v>9</v>
      </c>
      <c r="Y57" s="57">
        <v>10</v>
      </c>
      <c r="Z57" s="57">
        <v>11</v>
      </c>
      <c r="AA57" s="77">
        <v>12</v>
      </c>
      <c r="AB57" s="57">
        <f t="shared" si="0"/>
        <v>54</v>
      </c>
      <c r="AC57" s="57">
        <v>104</v>
      </c>
      <c r="AD57" s="57">
        <v>118</v>
      </c>
      <c r="AE57" s="59">
        <v>71</v>
      </c>
    </row>
    <row r="58" spans="6:31" x14ac:dyDescent="0.25">
      <c r="F58" s="57">
        <v>11</v>
      </c>
      <c r="G58" s="76">
        <v>10</v>
      </c>
      <c r="H58" s="57">
        <v>10</v>
      </c>
      <c r="I58" s="57">
        <v>10</v>
      </c>
      <c r="J58" s="57">
        <v>11</v>
      </c>
      <c r="K58" s="57">
        <v>12</v>
      </c>
      <c r="L58" s="57">
        <v>13</v>
      </c>
      <c r="M58" s="57">
        <v>14</v>
      </c>
      <c r="N58" s="76">
        <v>9</v>
      </c>
      <c r="O58" s="57">
        <v>9</v>
      </c>
      <c r="P58" s="57">
        <v>9</v>
      </c>
      <c r="Q58" s="57">
        <v>9</v>
      </c>
      <c r="R58" s="57">
        <v>10</v>
      </c>
      <c r="S58" s="57">
        <v>11</v>
      </c>
      <c r="T58" s="77">
        <v>12</v>
      </c>
      <c r="U58" s="57">
        <v>9</v>
      </c>
      <c r="V58" s="57">
        <v>9</v>
      </c>
      <c r="W58" s="57">
        <v>10</v>
      </c>
      <c r="X58" s="57">
        <v>10</v>
      </c>
      <c r="Y58" s="57">
        <v>11</v>
      </c>
      <c r="Z58" s="57">
        <v>12</v>
      </c>
      <c r="AA58" s="77">
        <v>13</v>
      </c>
      <c r="AB58" s="57">
        <f t="shared" si="0"/>
        <v>55</v>
      </c>
      <c r="AC58" s="57">
        <v>105</v>
      </c>
      <c r="AD58" s="57">
        <v>120</v>
      </c>
      <c r="AE58" s="59">
        <v>72</v>
      </c>
    </row>
    <row r="59" spans="6:31" x14ac:dyDescent="0.25">
      <c r="F59" s="57">
        <v>12</v>
      </c>
      <c r="G59" s="76">
        <v>11</v>
      </c>
      <c r="H59" s="57">
        <v>11</v>
      </c>
      <c r="I59" s="57">
        <v>11</v>
      </c>
      <c r="J59" s="57">
        <v>12</v>
      </c>
      <c r="K59" s="57">
        <v>13</v>
      </c>
      <c r="L59" s="57">
        <v>14</v>
      </c>
      <c r="M59" s="57">
        <v>15</v>
      </c>
      <c r="N59" s="76">
        <v>10</v>
      </c>
      <c r="O59" s="57">
        <v>10</v>
      </c>
      <c r="P59" s="57">
        <v>10</v>
      </c>
      <c r="Q59" s="57">
        <v>10</v>
      </c>
      <c r="R59" s="57">
        <v>11</v>
      </c>
      <c r="S59" s="57">
        <v>12</v>
      </c>
      <c r="T59" s="77">
        <v>13</v>
      </c>
      <c r="U59" s="57">
        <v>11</v>
      </c>
      <c r="V59" s="57">
        <v>10</v>
      </c>
      <c r="W59" s="57">
        <v>10</v>
      </c>
      <c r="X59" s="57">
        <v>11</v>
      </c>
      <c r="Y59" s="57">
        <v>12</v>
      </c>
      <c r="Z59" s="57">
        <v>13</v>
      </c>
      <c r="AA59" s="77">
        <v>14</v>
      </c>
      <c r="AB59" s="57">
        <f t="shared" si="0"/>
        <v>56</v>
      </c>
      <c r="AC59" s="57">
        <v>107</v>
      </c>
      <c r="AD59" s="57">
        <v>121</v>
      </c>
      <c r="AE59" s="59">
        <v>73</v>
      </c>
    </row>
    <row r="60" spans="6:31" x14ac:dyDescent="0.25">
      <c r="F60" s="57">
        <v>13</v>
      </c>
      <c r="G60" s="76">
        <v>12</v>
      </c>
      <c r="H60" s="57">
        <v>12</v>
      </c>
      <c r="I60" s="57">
        <v>12</v>
      </c>
      <c r="J60" s="57">
        <v>13</v>
      </c>
      <c r="K60" s="57">
        <v>14</v>
      </c>
      <c r="L60" s="57">
        <v>14</v>
      </c>
      <c r="M60" s="57">
        <v>15</v>
      </c>
      <c r="N60" s="76">
        <v>12</v>
      </c>
      <c r="O60" s="57">
        <v>11</v>
      </c>
      <c r="P60" s="57">
        <v>11</v>
      </c>
      <c r="Q60" s="57">
        <v>11</v>
      </c>
      <c r="R60" s="57">
        <v>13</v>
      </c>
      <c r="S60" s="57">
        <v>13</v>
      </c>
      <c r="T60" s="77">
        <v>14</v>
      </c>
      <c r="U60" s="57">
        <v>12</v>
      </c>
      <c r="V60" s="57">
        <v>11</v>
      </c>
      <c r="W60" s="57">
        <v>11</v>
      </c>
      <c r="X60" s="57">
        <v>12</v>
      </c>
      <c r="Y60" s="57">
        <v>13</v>
      </c>
      <c r="Z60" s="57">
        <v>14</v>
      </c>
      <c r="AA60" s="77">
        <v>15</v>
      </c>
      <c r="AB60" s="57">
        <f t="shared" si="0"/>
        <v>57</v>
      </c>
      <c r="AC60" s="57">
        <v>108</v>
      </c>
      <c r="AD60" s="57">
        <v>123</v>
      </c>
      <c r="AE60" s="59">
        <v>73</v>
      </c>
    </row>
    <row r="61" spans="6:31" x14ac:dyDescent="0.25">
      <c r="F61" s="57">
        <v>14</v>
      </c>
      <c r="G61" s="76">
        <v>13</v>
      </c>
      <c r="H61" s="57">
        <v>13</v>
      </c>
      <c r="I61" s="57">
        <v>13</v>
      </c>
      <c r="J61" s="57">
        <v>14</v>
      </c>
      <c r="K61" s="57">
        <v>15</v>
      </c>
      <c r="L61" s="57">
        <v>15</v>
      </c>
      <c r="M61" s="57">
        <v>16</v>
      </c>
      <c r="N61" s="76">
        <v>14</v>
      </c>
      <c r="O61" s="57">
        <v>13</v>
      </c>
      <c r="P61" s="57">
        <v>13</v>
      </c>
      <c r="Q61" s="57">
        <v>13</v>
      </c>
      <c r="R61" s="57">
        <v>14</v>
      </c>
      <c r="S61" s="57">
        <v>14</v>
      </c>
      <c r="T61" s="77">
        <v>16</v>
      </c>
      <c r="U61" s="57">
        <v>13</v>
      </c>
      <c r="V61" s="57">
        <v>12</v>
      </c>
      <c r="W61" s="57">
        <v>12</v>
      </c>
      <c r="X61" s="57">
        <v>13</v>
      </c>
      <c r="Y61" s="57">
        <v>14</v>
      </c>
      <c r="Z61" s="57">
        <v>14</v>
      </c>
      <c r="AA61" s="77">
        <v>15</v>
      </c>
      <c r="AB61" s="57">
        <f t="shared" si="0"/>
        <v>58</v>
      </c>
      <c r="AC61" s="57">
        <v>109</v>
      </c>
      <c r="AD61" s="57">
        <v>124</v>
      </c>
      <c r="AE61" s="59">
        <v>74</v>
      </c>
    </row>
    <row r="62" spans="6:31" x14ac:dyDescent="0.25">
      <c r="F62" s="57">
        <v>15</v>
      </c>
      <c r="G62" s="76">
        <v>14</v>
      </c>
      <c r="H62" s="57">
        <v>14</v>
      </c>
      <c r="I62" s="57">
        <v>14</v>
      </c>
      <c r="J62" s="57">
        <v>15</v>
      </c>
      <c r="K62" s="57">
        <v>16</v>
      </c>
      <c r="L62" s="57">
        <v>16</v>
      </c>
      <c r="M62" s="57">
        <v>17</v>
      </c>
      <c r="N62" s="76">
        <v>16</v>
      </c>
      <c r="O62" s="57">
        <v>14</v>
      </c>
      <c r="P62" s="57">
        <v>14</v>
      </c>
      <c r="Q62" s="57">
        <v>14</v>
      </c>
      <c r="R62" s="57">
        <v>16</v>
      </c>
      <c r="S62" s="57">
        <v>16</v>
      </c>
      <c r="T62" s="77">
        <v>18</v>
      </c>
      <c r="U62" s="57">
        <v>14</v>
      </c>
      <c r="V62" s="57">
        <v>14</v>
      </c>
      <c r="W62" s="57">
        <v>14</v>
      </c>
      <c r="X62" s="57">
        <v>14</v>
      </c>
      <c r="Y62" s="57">
        <v>15</v>
      </c>
      <c r="Z62" s="57">
        <v>15</v>
      </c>
      <c r="AA62" s="77">
        <v>16</v>
      </c>
      <c r="AB62" s="57">
        <f t="shared" si="0"/>
        <v>59</v>
      </c>
      <c r="AC62" s="57">
        <v>110</v>
      </c>
      <c r="AD62" s="57">
        <v>126</v>
      </c>
      <c r="AE62" s="59">
        <v>74</v>
      </c>
    </row>
    <row r="63" spans="6:31" x14ac:dyDescent="0.25">
      <c r="F63" s="57">
        <v>16</v>
      </c>
      <c r="G63" s="78">
        <v>16</v>
      </c>
      <c r="H63" s="79">
        <v>16</v>
      </c>
      <c r="I63" s="79">
        <v>16</v>
      </c>
      <c r="J63" s="79">
        <v>16</v>
      </c>
      <c r="K63" s="79">
        <v>17</v>
      </c>
      <c r="L63" s="79">
        <v>17</v>
      </c>
      <c r="M63" s="79">
        <v>18</v>
      </c>
      <c r="N63" s="78">
        <v>18</v>
      </c>
      <c r="O63" s="79">
        <v>16</v>
      </c>
      <c r="P63" s="79">
        <v>16</v>
      </c>
      <c r="Q63" s="79">
        <v>16</v>
      </c>
      <c r="R63" s="79">
        <v>18</v>
      </c>
      <c r="S63" s="79">
        <v>18</v>
      </c>
      <c r="T63" s="80">
        <v>19</v>
      </c>
      <c r="U63" s="79">
        <v>15</v>
      </c>
      <c r="V63" s="79">
        <v>15</v>
      </c>
      <c r="W63" s="79">
        <v>16</v>
      </c>
      <c r="X63" s="79">
        <v>16</v>
      </c>
      <c r="Y63" s="79">
        <v>16</v>
      </c>
      <c r="Z63" s="79">
        <v>16</v>
      </c>
      <c r="AA63" s="80">
        <v>17</v>
      </c>
      <c r="AB63" s="57">
        <f t="shared" si="0"/>
        <v>60</v>
      </c>
      <c r="AC63" s="57">
        <v>111</v>
      </c>
      <c r="AD63" s="57">
        <v>127</v>
      </c>
      <c r="AE63" s="59">
        <v>75</v>
      </c>
    </row>
    <row r="64" spans="6:31" x14ac:dyDescent="0.25">
      <c r="AB64" s="57">
        <f t="shared" si="0"/>
        <v>61</v>
      </c>
      <c r="AC64" s="57">
        <v>113</v>
      </c>
      <c r="AD64" s="57">
        <v>129</v>
      </c>
      <c r="AE64" s="59">
        <v>76</v>
      </c>
    </row>
    <row r="65" spans="6:31" ht="15.75" x14ac:dyDescent="0.25">
      <c r="G65" s="121" t="s">
        <v>256</v>
      </c>
      <c r="H65" s="122"/>
      <c r="I65" s="122"/>
      <c r="J65" s="122"/>
      <c r="K65" s="122"/>
      <c r="L65" s="122"/>
      <c r="M65" s="123"/>
      <c r="N65" s="121" t="s">
        <v>236</v>
      </c>
      <c r="O65" s="122"/>
      <c r="P65" s="122"/>
      <c r="Q65" s="122"/>
      <c r="R65" s="122"/>
      <c r="S65" s="122"/>
      <c r="T65" s="123"/>
      <c r="AB65" s="57">
        <f t="shared" si="0"/>
        <v>62</v>
      </c>
      <c r="AC65" s="57">
        <v>114</v>
      </c>
      <c r="AD65" s="57">
        <v>130</v>
      </c>
      <c r="AE65" s="59">
        <v>76</v>
      </c>
    </row>
    <row r="66" spans="6:31" x14ac:dyDescent="0.25">
      <c r="F66" s="58" t="s">
        <v>14</v>
      </c>
      <c r="G66" s="74" t="s">
        <v>224</v>
      </c>
      <c r="H66" s="58" t="s">
        <v>239</v>
      </c>
      <c r="I66" s="58" t="s">
        <v>240</v>
      </c>
      <c r="J66" s="58" t="s">
        <v>241</v>
      </c>
      <c r="K66" s="58" t="s">
        <v>117</v>
      </c>
      <c r="L66" s="58" t="s">
        <v>242</v>
      </c>
      <c r="M66" s="75" t="s">
        <v>243</v>
      </c>
      <c r="N66" s="74" t="s">
        <v>224</v>
      </c>
      <c r="O66" s="58" t="s">
        <v>239</v>
      </c>
      <c r="P66" s="58" t="s">
        <v>240</v>
      </c>
      <c r="Q66" s="58" t="s">
        <v>241</v>
      </c>
      <c r="R66" s="58" t="s">
        <v>117</v>
      </c>
      <c r="S66" s="58" t="s">
        <v>242</v>
      </c>
      <c r="T66" s="75" t="s">
        <v>243</v>
      </c>
      <c r="AB66" s="57">
        <f t="shared" si="0"/>
        <v>63</v>
      </c>
      <c r="AC66" s="57">
        <v>115</v>
      </c>
      <c r="AD66" s="57">
        <v>132</v>
      </c>
      <c r="AE66" s="59">
        <v>77</v>
      </c>
    </row>
    <row r="67" spans="6:31" x14ac:dyDescent="0.25">
      <c r="F67" s="57">
        <v>0</v>
      </c>
      <c r="G67" s="76">
        <v>1</v>
      </c>
      <c r="H67" s="57">
        <v>1</v>
      </c>
      <c r="I67" s="57">
        <v>1</v>
      </c>
      <c r="J67" s="57">
        <v>1</v>
      </c>
      <c r="K67" s="57">
        <v>1</v>
      </c>
      <c r="L67" s="57">
        <v>1</v>
      </c>
      <c r="M67" s="77">
        <v>2</v>
      </c>
      <c r="N67" s="76">
        <v>1</v>
      </c>
      <c r="O67" s="57">
        <v>1</v>
      </c>
      <c r="P67" s="57">
        <v>1</v>
      </c>
      <c r="Q67" s="57">
        <v>1</v>
      </c>
      <c r="R67" s="57">
        <v>1</v>
      </c>
      <c r="S67" s="57">
        <v>1</v>
      </c>
      <c r="T67" s="77">
        <v>1</v>
      </c>
      <c r="AB67" s="57">
        <f t="shared" si="0"/>
        <v>64</v>
      </c>
      <c r="AC67" s="57">
        <v>117</v>
      </c>
      <c r="AD67" s="57">
        <v>133</v>
      </c>
      <c r="AE67" s="59">
        <v>78</v>
      </c>
    </row>
    <row r="68" spans="6:31" x14ac:dyDescent="0.25">
      <c r="F68" s="57">
        <v>1</v>
      </c>
      <c r="G68" s="76">
        <v>1</v>
      </c>
      <c r="H68" s="57">
        <v>1</v>
      </c>
      <c r="I68" s="57">
        <v>1</v>
      </c>
      <c r="J68" s="57">
        <v>1</v>
      </c>
      <c r="K68" s="57">
        <v>1</v>
      </c>
      <c r="L68" s="57">
        <v>2</v>
      </c>
      <c r="M68" s="77">
        <v>3</v>
      </c>
      <c r="N68" s="76">
        <v>1</v>
      </c>
      <c r="O68" s="57">
        <v>1</v>
      </c>
      <c r="P68" s="57">
        <v>1</v>
      </c>
      <c r="Q68" s="57">
        <v>1</v>
      </c>
      <c r="R68" s="57">
        <v>1</v>
      </c>
      <c r="S68" s="57">
        <v>1</v>
      </c>
      <c r="T68" s="77">
        <v>1</v>
      </c>
      <c r="AB68" s="57">
        <f t="shared" si="0"/>
        <v>65</v>
      </c>
      <c r="AC68" s="57">
        <v>118</v>
      </c>
      <c r="AD68" s="57">
        <v>135</v>
      </c>
      <c r="AE68" s="59">
        <v>78</v>
      </c>
    </row>
    <row r="69" spans="6:31" x14ac:dyDescent="0.25">
      <c r="F69" s="57">
        <v>2</v>
      </c>
      <c r="G69" s="76">
        <v>1</v>
      </c>
      <c r="H69" s="57">
        <v>1</v>
      </c>
      <c r="I69" s="57">
        <v>1</v>
      </c>
      <c r="J69" s="57">
        <v>1</v>
      </c>
      <c r="K69" s="57">
        <v>2</v>
      </c>
      <c r="L69" s="57">
        <v>3</v>
      </c>
      <c r="M69" s="77">
        <v>4</v>
      </c>
      <c r="N69" s="76">
        <v>1</v>
      </c>
      <c r="O69" s="57">
        <v>1</v>
      </c>
      <c r="P69" s="57">
        <v>1</v>
      </c>
      <c r="Q69" s="57">
        <v>1</v>
      </c>
      <c r="R69" s="57">
        <v>1</v>
      </c>
      <c r="S69" s="57">
        <v>1</v>
      </c>
      <c r="T69" s="77">
        <v>1</v>
      </c>
      <c r="AB69" s="57">
        <f t="shared" si="0"/>
        <v>66</v>
      </c>
      <c r="AC69" s="57">
        <v>119</v>
      </c>
      <c r="AD69" s="57">
        <v>136</v>
      </c>
      <c r="AE69" s="59">
        <v>79</v>
      </c>
    </row>
    <row r="70" spans="6:31" x14ac:dyDescent="0.25">
      <c r="F70" s="57">
        <v>3</v>
      </c>
      <c r="G70" s="76">
        <v>2</v>
      </c>
      <c r="H70" s="57">
        <v>2</v>
      </c>
      <c r="I70" s="57">
        <v>2</v>
      </c>
      <c r="J70" s="57">
        <v>2</v>
      </c>
      <c r="K70" s="57">
        <v>3</v>
      </c>
      <c r="L70" s="57">
        <v>3</v>
      </c>
      <c r="M70" s="77">
        <v>4</v>
      </c>
      <c r="N70" s="76">
        <v>1</v>
      </c>
      <c r="O70" s="57">
        <v>1</v>
      </c>
      <c r="P70" s="57">
        <v>1</v>
      </c>
      <c r="Q70" s="57">
        <v>1</v>
      </c>
      <c r="R70" s="57">
        <v>1</v>
      </c>
      <c r="S70" s="57">
        <v>1</v>
      </c>
      <c r="T70" s="77">
        <v>2</v>
      </c>
      <c r="AB70" s="57">
        <f t="shared" si="0"/>
        <v>67</v>
      </c>
      <c r="AC70" s="57">
        <v>120</v>
      </c>
      <c r="AD70" s="57">
        <v>138</v>
      </c>
      <c r="AE70" s="59">
        <v>80</v>
      </c>
    </row>
    <row r="71" spans="6:31" x14ac:dyDescent="0.25">
      <c r="F71" s="57">
        <v>4</v>
      </c>
      <c r="G71" s="76">
        <v>3</v>
      </c>
      <c r="H71" s="57">
        <v>3</v>
      </c>
      <c r="I71" s="57">
        <v>3</v>
      </c>
      <c r="J71" s="57">
        <v>3</v>
      </c>
      <c r="K71" s="57">
        <v>4</v>
      </c>
      <c r="L71" s="57">
        <v>4</v>
      </c>
      <c r="M71" s="77">
        <v>5</v>
      </c>
      <c r="N71" s="76">
        <v>1</v>
      </c>
      <c r="O71" s="57">
        <v>1</v>
      </c>
      <c r="P71" s="57">
        <v>1</v>
      </c>
      <c r="Q71" s="57">
        <v>1</v>
      </c>
      <c r="R71" s="57">
        <v>1</v>
      </c>
      <c r="S71" s="57">
        <v>2</v>
      </c>
      <c r="T71" s="77">
        <v>3</v>
      </c>
      <c r="AB71" s="57">
        <f t="shared" si="0"/>
        <v>68</v>
      </c>
      <c r="AC71" s="57">
        <v>122</v>
      </c>
      <c r="AD71" s="57">
        <v>139</v>
      </c>
      <c r="AE71" s="59">
        <v>81</v>
      </c>
    </row>
    <row r="72" spans="6:31" x14ac:dyDescent="0.25">
      <c r="F72" s="57">
        <v>5</v>
      </c>
      <c r="G72" s="76">
        <v>4</v>
      </c>
      <c r="H72" s="57">
        <v>4</v>
      </c>
      <c r="I72" s="57">
        <v>4</v>
      </c>
      <c r="J72" s="57">
        <v>4</v>
      </c>
      <c r="K72" s="57">
        <v>5</v>
      </c>
      <c r="L72" s="57">
        <v>5</v>
      </c>
      <c r="M72" s="77">
        <v>6</v>
      </c>
      <c r="N72" s="76">
        <v>1</v>
      </c>
      <c r="O72" s="57">
        <v>1</v>
      </c>
      <c r="P72" s="57">
        <v>1</v>
      </c>
      <c r="Q72" s="57">
        <v>1</v>
      </c>
      <c r="R72" s="57">
        <v>2</v>
      </c>
      <c r="S72" s="57">
        <v>3</v>
      </c>
      <c r="T72" s="77">
        <v>3</v>
      </c>
      <c r="AB72" s="57">
        <f t="shared" si="0"/>
        <v>69</v>
      </c>
      <c r="AC72" s="57">
        <v>123</v>
      </c>
      <c r="AD72" s="57">
        <v>141</v>
      </c>
      <c r="AE72" s="59">
        <v>81</v>
      </c>
    </row>
    <row r="73" spans="6:31" x14ac:dyDescent="0.25">
      <c r="F73" s="57">
        <v>6</v>
      </c>
      <c r="G73" s="76">
        <v>4</v>
      </c>
      <c r="H73" s="57">
        <v>4</v>
      </c>
      <c r="I73" s="57">
        <v>5</v>
      </c>
      <c r="J73" s="57">
        <v>5</v>
      </c>
      <c r="K73" s="57">
        <v>6</v>
      </c>
      <c r="L73" s="57">
        <v>6</v>
      </c>
      <c r="M73" s="77">
        <v>7</v>
      </c>
      <c r="N73" s="76">
        <v>1</v>
      </c>
      <c r="O73" s="57">
        <v>1</v>
      </c>
      <c r="P73" s="57">
        <v>1</v>
      </c>
      <c r="Q73" s="57">
        <v>2</v>
      </c>
      <c r="R73" s="57">
        <v>3</v>
      </c>
      <c r="S73" s="57">
        <v>3</v>
      </c>
      <c r="T73" s="77">
        <v>4</v>
      </c>
      <c r="AB73" s="57">
        <f t="shared" ref="AB73:AB136" si="1">AB72+1</f>
        <v>70</v>
      </c>
      <c r="AC73" s="57">
        <v>124</v>
      </c>
      <c r="AD73" s="57">
        <v>142</v>
      </c>
      <c r="AE73" s="59">
        <v>82</v>
      </c>
    </row>
    <row r="74" spans="6:31" x14ac:dyDescent="0.25">
      <c r="F74" s="57">
        <v>7</v>
      </c>
      <c r="G74" s="76">
        <v>5</v>
      </c>
      <c r="H74" s="57">
        <v>5</v>
      </c>
      <c r="I74" s="57">
        <v>6</v>
      </c>
      <c r="J74" s="57">
        <v>6</v>
      </c>
      <c r="K74" s="57">
        <v>6</v>
      </c>
      <c r="L74" s="57">
        <v>7</v>
      </c>
      <c r="M74" s="77">
        <v>8</v>
      </c>
      <c r="N74" s="76">
        <v>2</v>
      </c>
      <c r="O74" s="57">
        <v>2</v>
      </c>
      <c r="P74" s="57">
        <v>2</v>
      </c>
      <c r="Q74" s="57">
        <v>3</v>
      </c>
      <c r="R74" s="57">
        <v>3</v>
      </c>
      <c r="S74" s="57">
        <v>4</v>
      </c>
      <c r="T74" s="77">
        <v>4</v>
      </c>
      <c r="AB74" s="57">
        <f t="shared" si="1"/>
        <v>71</v>
      </c>
      <c r="AC74" s="57">
        <v>126</v>
      </c>
      <c r="AD74" s="57">
        <v>144</v>
      </c>
      <c r="AE74" s="59">
        <v>82</v>
      </c>
    </row>
    <row r="75" spans="6:31" x14ac:dyDescent="0.25">
      <c r="F75" s="57">
        <v>8</v>
      </c>
      <c r="G75" s="76">
        <v>6</v>
      </c>
      <c r="H75" s="57">
        <v>6</v>
      </c>
      <c r="I75" s="57">
        <v>7</v>
      </c>
      <c r="J75" s="57">
        <v>7</v>
      </c>
      <c r="K75" s="57">
        <v>7</v>
      </c>
      <c r="L75" s="57">
        <v>8</v>
      </c>
      <c r="M75" s="77">
        <v>9</v>
      </c>
      <c r="N75" s="76">
        <v>3</v>
      </c>
      <c r="O75" s="57">
        <v>3</v>
      </c>
      <c r="P75" s="57">
        <v>3</v>
      </c>
      <c r="Q75" s="57">
        <v>3</v>
      </c>
      <c r="R75" s="57">
        <v>4</v>
      </c>
      <c r="S75" s="57">
        <v>4</v>
      </c>
      <c r="T75" s="77">
        <v>5</v>
      </c>
      <c r="AB75" s="57">
        <f t="shared" si="1"/>
        <v>72</v>
      </c>
      <c r="AC75" s="57">
        <v>127</v>
      </c>
      <c r="AD75" s="57">
        <v>146</v>
      </c>
      <c r="AE75" s="59">
        <v>83</v>
      </c>
    </row>
    <row r="76" spans="6:31" x14ac:dyDescent="0.25">
      <c r="F76" s="57">
        <v>9</v>
      </c>
      <c r="G76" s="76">
        <v>7</v>
      </c>
      <c r="H76" s="57">
        <v>7</v>
      </c>
      <c r="I76" s="57">
        <v>7</v>
      </c>
      <c r="J76" s="57">
        <v>7</v>
      </c>
      <c r="K76" s="57">
        <v>8</v>
      </c>
      <c r="L76" s="57">
        <v>9</v>
      </c>
      <c r="M76" s="77">
        <v>10</v>
      </c>
      <c r="N76" s="76">
        <v>3</v>
      </c>
      <c r="O76" s="57">
        <v>3</v>
      </c>
      <c r="P76" s="57">
        <v>3</v>
      </c>
      <c r="Q76" s="57">
        <v>4</v>
      </c>
      <c r="R76" s="57">
        <v>4</v>
      </c>
      <c r="S76" s="57">
        <v>5</v>
      </c>
      <c r="T76" s="77">
        <v>5</v>
      </c>
      <c r="AB76" s="57">
        <f t="shared" si="1"/>
        <v>73</v>
      </c>
      <c r="AC76" s="57">
        <v>128</v>
      </c>
      <c r="AD76" s="57">
        <v>148</v>
      </c>
      <c r="AE76" s="59">
        <v>84</v>
      </c>
    </row>
    <row r="77" spans="6:31" x14ac:dyDescent="0.25">
      <c r="F77" s="57">
        <v>10</v>
      </c>
      <c r="G77" s="76">
        <v>8</v>
      </c>
      <c r="H77" s="57">
        <v>7</v>
      </c>
      <c r="I77" s="57">
        <v>8</v>
      </c>
      <c r="J77" s="57">
        <v>8</v>
      </c>
      <c r="K77" s="57">
        <v>9</v>
      </c>
      <c r="L77" s="57">
        <v>10</v>
      </c>
      <c r="M77" s="77">
        <v>11</v>
      </c>
      <c r="N77" s="76">
        <v>4</v>
      </c>
      <c r="O77" s="57">
        <v>4</v>
      </c>
      <c r="P77" s="57">
        <v>4</v>
      </c>
      <c r="Q77" s="57">
        <v>4</v>
      </c>
      <c r="R77" s="57">
        <v>5</v>
      </c>
      <c r="S77" s="57">
        <v>5</v>
      </c>
      <c r="T77" s="77">
        <v>6</v>
      </c>
      <c r="AB77" s="57">
        <f t="shared" si="1"/>
        <v>74</v>
      </c>
      <c r="AC77" s="57">
        <v>129</v>
      </c>
      <c r="AD77" s="57">
        <v>150</v>
      </c>
      <c r="AE77" s="59">
        <v>84</v>
      </c>
    </row>
    <row r="78" spans="6:31" x14ac:dyDescent="0.25">
      <c r="F78" s="57">
        <v>11</v>
      </c>
      <c r="G78" s="76">
        <v>9</v>
      </c>
      <c r="H78" s="57">
        <v>8</v>
      </c>
      <c r="I78" s="57">
        <v>9</v>
      </c>
      <c r="J78" s="57">
        <v>9</v>
      </c>
      <c r="K78" s="57">
        <v>10</v>
      </c>
      <c r="L78" s="57">
        <v>11</v>
      </c>
      <c r="M78" s="77">
        <v>12</v>
      </c>
      <c r="N78" s="76">
        <v>4</v>
      </c>
      <c r="O78" s="57">
        <v>4</v>
      </c>
      <c r="P78" s="57">
        <v>4</v>
      </c>
      <c r="Q78" s="57">
        <v>5</v>
      </c>
      <c r="R78" s="57">
        <v>5</v>
      </c>
      <c r="S78" s="57">
        <v>6</v>
      </c>
      <c r="T78" s="77">
        <v>7</v>
      </c>
      <c r="AB78" s="57">
        <f t="shared" si="1"/>
        <v>75</v>
      </c>
      <c r="AC78" s="57">
        <v>130</v>
      </c>
      <c r="AD78" s="57">
        <v>152</v>
      </c>
      <c r="AE78" s="59">
        <v>85</v>
      </c>
    </row>
    <row r="79" spans="6:31" x14ac:dyDescent="0.25">
      <c r="F79" s="57">
        <v>12</v>
      </c>
      <c r="G79" s="76">
        <v>10</v>
      </c>
      <c r="H79" s="57">
        <v>9</v>
      </c>
      <c r="I79" s="57">
        <v>10</v>
      </c>
      <c r="J79" s="57">
        <v>10</v>
      </c>
      <c r="K79" s="57">
        <v>11</v>
      </c>
      <c r="L79" s="57">
        <v>12</v>
      </c>
      <c r="M79" s="77">
        <v>13</v>
      </c>
      <c r="N79" s="76">
        <v>5</v>
      </c>
      <c r="O79" s="57">
        <v>5</v>
      </c>
      <c r="P79" s="57">
        <v>5</v>
      </c>
      <c r="Q79" s="57">
        <v>5</v>
      </c>
      <c r="R79" s="57">
        <v>6</v>
      </c>
      <c r="S79" s="57">
        <v>7</v>
      </c>
      <c r="T79" s="77">
        <v>8</v>
      </c>
      <c r="AB79" s="57">
        <f t="shared" si="1"/>
        <v>76</v>
      </c>
      <c r="AC79" s="57">
        <v>131</v>
      </c>
      <c r="AD79" s="57">
        <v>155</v>
      </c>
      <c r="AE79" s="59">
        <v>86</v>
      </c>
    </row>
    <row r="80" spans="6:31" x14ac:dyDescent="0.25">
      <c r="F80" s="57">
        <v>13</v>
      </c>
      <c r="G80" s="76">
        <v>11</v>
      </c>
      <c r="H80" s="57">
        <v>10</v>
      </c>
      <c r="I80" s="57">
        <v>11</v>
      </c>
      <c r="J80" s="57">
        <v>11</v>
      </c>
      <c r="K80" s="57">
        <v>12</v>
      </c>
      <c r="L80" s="57">
        <v>13</v>
      </c>
      <c r="M80" s="77">
        <v>14</v>
      </c>
      <c r="N80" s="76">
        <v>6</v>
      </c>
      <c r="O80" s="57">
        <v>6</v>
      </c>
      <c r="P80" s="57">
        <v>6</v>
      </c>
      <c r="Q80" s="57">
        <v>6</v>
      </c>
      <c r="R80" s="57">
        <v>7</v>
      </c>
      <c r="S80" s="57">
        <v>8</v>
      </c>
      <c r="T80" s="77">
        <v>9</v>
      </c>
      <c r="AB80" s="57">
        <f t="shared" si="1"/>
        <v>77</v>
      </c>
      <c r="AC80" s="57">
        <v>132</v>
      </c>
      <c r="AE80" s="59">
        <v>87</v>
      </c>
    </row>
    <row r="81" spans="6:31" x14ac:dyDescent="0.25">
      <c r="F81" s="57">
        <v>14</v>
      </c>
      <c r="G81" s="76">
        <v>13</v>
      </c>
      <c r="H81" s="57">
        <v>12</v>
      </c>
      <c r="I81" s="57">
        <v>12</v>
      </c>
      <c r="J81" s="57">
        <v>12</v>
      </c>
      <c r="K81" s="57">
        <v>13</v>
      </c>
      <c r="L81" s="57">
        <v>14</v>
      </c>
      <c r="M81" s="77">
        <v>15</v>
      </c>
      <c r="N81" s="76">
        <v>7</v>
      </c>
      <c r="O81" s="57">
        <v>7</v>
      </c>
      <c r="P81" s="57">
        <v>7</v>
      </c>
      <c r="Q81" s="57">
        <v>7</v>
      </c>
      <c r="R81" s="57">
        <v>8</v>
      </c>
      <c r="S81" s="57">
        <v>10</v>
      </c>
      <c r="T81" s="77">
        <v>10</v>
      </c>
      <c r="AB81" s="57">
        <f t="shared" si="1"/>
        <v>78</v>
      </c>
      <c r="AC81" s="57">
        <v>133</v>
      </c>
      <c r="AE81" s="59">
        <v>87</v>
      </c>
    </row>
    <row r="82" spans="6:31" x14ac:dyDescent="0.25">
      <c r="F82" s="57">
        <v>15</v>
      </c>
      <c r="G82" s="76">
        <v>15</v>
      </c>
      <c r="H82" s="57">
        <v>13</v>
      </c>
      <c r="I82" s="57">
        <v>13</v>
      </c>
      <c r="J82" s="57">
        <v>13</v>
      </c>
      <c r="K82" s="57">
        <v>15</v>
      </c>
      <c r="L82" s="57">
        <v>15</v>
      </c>
      <c r="M82" s="77">
        <v>17</v>
      </c>
      <c r="N82" s="76">
        <v>9</v>
      </c>
      <c r="O82" s="57">
        <v>9</v>
      </c>
      <c r="P82" s="57">
        <v>9</v>
      </c>
      <c r="Q82" s="57">
        <v>10</v>
      </c>
      <c r="R82" s="57">
        <v>10</v>
      </c>
      <c r="S82" s="57">
        <v>12</v>
      </c>
      <c r="T82" s="77">
        <v>12</v>
      </c>
      <c r="AB82" s="57">
        <f t="shared" si="1"/>
        <v>79</v>
      </c>
      <c r="AC82" s="57">
        <v>135</v>
      </c>
      <c r="AE82" s="59">
        <v>88</v>
      </c>
    </row>
    <row r="83" spans="6:31" x14ac:dyDescent="0.25">
      <c r="F83" s="57">
        <v>16</v>
      </c>
      <c r="G83" s="78">
        <v>17</v>
      </c>
      <c r="H83" s="79">
        <v>15</v>
      </c>
      <c r="I83" s="79">
        <v>15</v>
      </c>
      <c r="J83" s="79">
        <v>15</v>
      </c>
      <c r="K83" s="79">
        <v>17</v>
      </c>
      <c r="L83" s="79">
        <v>17</v>
      </c>
      <c r="M83" s="80">
        <v>19</v>
      </c>
      <c r="N83" s="78">
        <v>13</v>
      </c>
      <c r="O83" s="79">
        <v>13</v>
      </c>
      <c r="P83" s="79">
        <v>13</v>
      </c>
      <c r="Q83" s="79">
        <v>13</v>
      </c>
      <c r="R83" s="79">
        <v>14</v>
      </c>
      <c r="S83" s="79">
        <v>14</v>
      </c>
      <c r="T83" s="80">
        <v>14</v>
      </c>
      <c r="AB83" s="57">
        <f t="shared" si="1"/>
        <v>80</v>
      </c>
      <c r="AC83" s="57">
        <v>136</v>
      </c>
      <c r="AE83" s="59">
        <v>88</v>
      </c>
    </row>
    <row r="84" spans="6:31" x14ac:dyDescent="0.25">
      <c r="AB84" s="57">
        <f t="shared" si="1"/>
        <v>81</v>
      </c>
      <c r="AC84" s="57">
        <v>137</v>
      </c>
      <c r="AE84" s="59">
        <v>89</v>
      </c>
    </row>
    <row r="85" spans="6:31" ht="15.75" x14ac:dyDescent="0.25">
      <c r="G85" s="121" t="s">
        <v>233</v>
      </c>
      <c r="H85" s="122"/>
      <c r="I85" s="122"/>
      <c r="J85" s="122"/>
      <c r="K85" s="122"/>
      <c r="L85" s="122"/>
      <c r="M85" s="122"/>
      <c r="N85" s="121" t="s">
        <v>246</v>
      </c>
      <c r="O85" s="122"/>
      <c r="P85" s="122"/>
      <c r="Q85" s="122"/>
      <c r="R85" s="122"/>
      <c r="S85" s="122"/>
      <c r="T85" s="123"/>
      <c r="U85" s="122" t="s">
        <v>247</v>
      </c>
      <c r="V85" s="122"/>
      <c r="W85" s="122"/>
      <c r="X85" s="122"/>
      <c r="Y85" s="122"/>
      <c r="Z85" s="122"/>
      <c r="AA85" s="123"/>
      <c r="AB85" s="57">
        <f t="shared" si="1"/>
        <v>82</v>
      </c>
      <c r="AC85" s="57">
        <v>139</v>
      </c>
      <c r="AE85" s="59">
        <v>90</v>
      </c>
    </row>
    <row r="86" spans="6:31" ht="15" customHeight="1" x14ac:dyDescent="0.25">
      <c r="F86" s="58" t="s">
        <v>14</v>
      </c>
      <c r="G86" s="74" t="s">
        <v>224</v>
      </c>
      <c r="H86" s="58" t="s">
        <v>239</v>
      </c>
      <c r="I86" s="58" t="s">
        <v>240</v>
      </c>
      <c r="J86" s="58" t="s">
        <v>241</v>
      </c>
      <c r="K86" s="58" t="s">
        <v>117</v>
      </c>
      <c r="L86" s="58" t="s">
        <v>242</v>
      </c>
      <c r="M86" s="58" t="s">
        <v>243</v>
      </c>
      <c r="N86" s="74" t="s">
        <v>224</v>
      </c>
      <c r="O86" s="58" t="s">
        <v>239</v>
      </c>
      <c r="P86" s="58" t="s">
        <v>240</v>
      </c>
      <c r="Q86" s="58" t="s">
        <v>241</v>
      </c>
      <c r="R86" s="58" t="s">
        <v>117</v>
      </c>
      <c r="S86" s="58" t="s">
        <v>242</v>
      </c>
      <c r="T86" s="75" t="s">
        <v>243</v>
      </c>
      <c r="U86" s="58" t="s">
        <v>224</v>
      </c>
      <c r="V86" s="58" t="s">
        <v>239</v>
      </c>
      <c r="W86" s="58" t="s">
        <v>240</v>
      </c>
      <c r="X86" s="58" t="s">
        <v>241</v>
      </c>
      <c r="Y86" s="58" t="s">
        <v>117</v>
      </c>
      <c r="Z86" s="58" t="s">
        <v>242</v>
      </c>
      <c r="AA86" s="75" t="s">
        <v>243</v>
      </c>
      <c r="AB86" s="57">
        <f t="shared" si="1"/>
        <v>83</v>
      </c>
      <c r="AC86" s="57">
        <v>140</v>
      </c>
      <c r="AE86" s="59">
        <v>90</v>
      </c>
    </row>
    <row r="87" spans="6:31" ht="15" customHeight="1" x14ac:dyDescent="0.25">
      <c r="F87" s="57">
        <v>0</v>
      </c>
      <c r="G87" s="76">
        <v>12</v>
      </c>
      <c r="H87" s="57">
        <v>12</v>
      </c>
      <c r="I87" s="57">
        <v>13</v>
      </c>
      <c r="J87" s="57">
        <v>13</v>
      </c>
      <c r="K87" s="57">
        <v>13</v>
      </c>
      <c r="L87" s="57">
        <v>13</v>
      </c>
      <c r="M87" s="57">
        <v>13</v>
      </c>
      <c r="N87" s="76">
        <v>13</v>
      </c>
      <c r="O87" s="57">
        <v>13</v>
      </c>
      <c r="P87" s="57">
        <v>13</v>
      </c>
      <c r="Q87" s="57">
        <v>13</v>
      </c>
      <c r="R87" s="57">
        <v>13</v>
      </c>
      <c r="S87" s="57">
        <v>14</v>
      </c>
      <c r="T87" s="77">
        <v>14</v>
      </c>
      <c r="U87" s="57">
        <v>13</v>
      </c>
      <c r="V87" s="57">
        <v>13</v>
      </c>
      <c r="W87" s="57">
        <v>13</v>
      </c>
      <c r="X87" s="57">
        <v>13</v>
      </c>
      <c r="Y87" s="57">
        <v>13</v>
      </c>
      <c r="Z87" s="57">
        <v>13</v>
      </c>
      <c r="AA87" s="77">
        <v>14</v>
      </c>
      <c r="AB87" s="57">
        <f t="shared" si="1"/>
        <v>84</v>
      </c>
      <c r="AC87" s="57">
        <v>142</v>
      </c>
      <c r="AE87" s="59">
        <v>91</v>
      </c>
    </row>
    <row r="88" spans="6:31" x14ac:dyDescent="0.25">
      <c r="F88" s="57">
        <v>1</v>
      </c>
      <c r="G88" s="76">
        <v>10</v>
      </c>
      <c r="H88" s="57">
        <v>10</v>
      </c>
      <c r="I88" s="57">
        <v>10</v>
      </c>
      <c r="J88" s="57">
        <v>10</v>
      </c>
      <c r="K88" s="57">
        <v>10</v>
      </c>
      <c r="L88" s="57">
        <v>10</v>
      </c>
      <c r="M88" s="57">
        <v>10</v>
      </c>
      <c r="N88" s="76">
        <v>12</v>
      </c>
      <c r="O88" s="57">
        <v>12</v>
      </c>
      <c r="P88" s="57">
        <v>12</v>
      </c>
      <c r="Q88" s="57">
        <v>12</v>
      </c>
      <c r="R88" s="57">
        <v>12</v>
      </c>
      <c r="S88" s="57">
        <v>12</v>
      </c>
      <c r="T88" s="77">
        <v>12</v>
      </c>
      <c r="U88" s="57">
        <v>1</v>
      </c>
      <c r="V88" s="57">
        <v>10</v>
      </c>
      <c r="W88" s="57">
        <v>10</v>
      </c>
      <c r="X88" s="57">
        <v>10</v>
      </c>
      <c r="Y88" s="57">
        <v>10</v>
      </c>
      <c r="Z88" s="57">
        <v>10</v>
      </c>
      <c r="AA88" s="77">
        <v>12</v>
      </c>
      <c r="AB88" s="57">
        <f t="shared" si="1"/>
        <v>85</v>
      </c>
      <c r="AC88" s="57">
        <v>143</v>
      </c>
      <c r="AE88" s="59">
        <v>91</v>
      </c>
    </row>
    <row r="89" spans="6:31" x14ac:dyDescent="0.25">
      <c r="F89" s="57">
        <v>2</v>
      </c>
      <c r="G89" s="76">
        <v>7</v>
      </c>
      <c r="H89" s="57">
        <v>8</v>
      </c>
      <c r="I89" s="57">
        <v>8</v>
      </c>
      <c r="J89" s="57">
        <v>8</v>
      </c>
      <c r="K89" s="57">
        <v>9</v>
      </c>
      <c r="L89" s="57">
        <v>8</v>
      </c>
      <c r="M89" s="57">
        <v>8</v>
      </c>
      <c r="N89" s="76">
        <v>10</v>
      </c>
      <c r="O89" s="57">
        <v>10</v>
      </c>
      <c r="P89" s="57">
        <v>10</v>
      </c>
      <c r="Q89" s="57">
        <v>10</v>
      </c>
      <c r="R89" s="57">
        <v>10</v>
      </c>
      <c r="S89" s="57">
        <v>10</v>
      </c>
      <c r="T89" s="77">
        <v>10</v>
      </c>
      <c r="U89" s="57">
        <v>7</v>
      </c>
      <c r="V89" s="57">
        <v>8</v>
      </c>
      <c r="W89" s="57">
        <v>8</v>
      </c>
      <c r="X89" s="57">
        <v>9</v>
      </c>
      <c r="Y89" s="57">
        <v>9</v>
      </c>
      <c r="Z89" s="57">
        <v>9</v>
      </c>
      <c r="AA89" s="77">
        <v>10</v>
      </c>
      <c r="AB89" s="57">
        <f t="shared" si="1"/>
        <v>86</v>
      </c>
      <c r="AC89" s="57">
        <v>144</v>
      </c>
      <c r="AE89" s="59">
        <v>92</v>
      </c>
    </row>
    <row r="90" spans="6:31" x14ac:dyDescent="0.25">
      <c r="F90" s="57">
        <v>3</v>
      </c>
      <c r="G90" s="76">
        <v>6</v>
      </c>
      <c r="H90" s="57">
        <v>7</v>
      </c>
      <c r="I90" s="57">
        <v>7</v>
      </c>
      <c r="J90" s="57">
        <v>7</v>
      </c>
      <c r="K90" s="57">
        <v>8</v>
      </c>
      <c r="L90" s="57">
        <v>7</v>
      </c>
      <c r="M90" s="57">
        <v>7</v>
      </c>
      <c r="N90" s="76">
        <v>8</v>
      </c>
      <c r="O90" s="57">
        <v>8</v>
      </c>
      <c r="P90" s="57">
        <v>9</v>
      </c>
      <c r="Q90" s="57">
        <v>9</v>
      </c>
      <c r="R90" s="57">
        <v>9</v>
      </c>
      <c r="S90" s="57">
        <v>9</v>
      </c>
      <c r="T90" s="77">
        <v>9</v>
      </c>
      <c r="U90" s="57">
        <v>6</v>
      </c>
      <c r="V90" s="57">
        <v>7</v>
      </c>
      <c r="W90" s="57">
        <v>7</v>
      </c>
      <c r="X90" s="57">
        <v>8</v>
      </c>
      <c r="Y90" s="57">
        <v>8</v>
      </c>
      <c r="Z90" s="57">
        <v>8</v>
      </c>
      <c r="AA90" s="77">
        <v>9</v>
      </c>
      <c r="AB90" s="57">
        <f t="shared" si="1"/>
        <v>87</v>
      </c>
      <c r="AC90" s="57">
        <v>146</v>
      </c>
      <c r="AE90" s="59">
        <v>92</v>
      </c>
    </row>
    <row r="91" spans="6:31" x14ac:dyDescent="0.25">
      <c r="F91" s="57">
        <v>4</v>
      </c>
      <c r="G91" s="76">
        <v>5</v>
      </c>
      <c r="H91" s="57">
        <v>6</v>
      </c>
      <c r="I91" s="57">
        <v>6</v>
      </c>
      <c r="J91" s="57">
        <v>6</v>
      </c>
      <c r="K91" s="57">
        <v>7</v>
      </c>
      <c r="L91" s="57">
        <v>6</v>
      </c>
      <c r="M91" s="57">
        <v>6</v>
      </c>
      <c r="N91" s="76">
        <v>7</v>
      </c>
      <c r="O91" s="57">
        <v>7</v>
      </c>
      <c r="P91" s="57">
        <v>8</v>
      </c>
      <c r="Q91" s="57">
        <v>8</v>
      </c>
      <c r="R91" s="57">
        <v>8</v>
      </c>
      <c r="S91" s="57">
        <v>8</v>
      </c>
      <c r="T91" s="77">
        <v>8</v>
      </c>
      <c r="U91" s="57">
        <v>6</v>
      </c>
      <c r="V91" s="57">
        <v>6</v>
      </c>
      <c r="W91" s="57">
        <v>7</v>
      </c>
      <c r="X91" s="57">
        <v>7</v>
      </c>
      <c r="Y91" s="57">
        <v>7</v>
      </c>
      <c r="Z91" s="57">
        <v>8</v>
      </c>
      <c r="AA91" s="77">
        <v>8</v>
      </c>
      <c r="AB91" s="57">
        <f t="shared" si="1"/>
        <v>88</v>
      </c>
      <c r="AC91" s="57">
        <v>147</v>
      </c>
      <c r="AE91" s="59">
        <v>93</v>
      </c>
    </row>
    <row r="92" spans="6:31" x14ac:dyDescent="0.25">
      <c r="F92" s="57">
        <v>5</v>
      </c>
      <c r="G92" s="76">
        <v>4</v>
      </c>
      <c r="H92" s="57">
        <v>5</v>
      </c>
      <c r="I92" s="57">
        <v>5</v>
      </c>
      <c r="J92" s="57">
        <v>5</v>
      </c>
      <c r="K92" s="57">
        <v>6</v>
      </c>
      <c r="L92" s="57">
        <v>5</v>
      </c>
      <c r="M92" s="57">
        <v>5</v>
      </c>
      <c r="N92" s="76">
        <v>6</v>
      </c>
      <c r="O92" s="57">
        <v>6</v>
      </c>
      <c r="P92" s="57">
        <v>7</v>
      </c>
      <c r="Q92" s="57">
        <v>7</v>
      </c>
      <c r="R92" s="57">
        <v>7</v>
      </c>
      <c r="S92" s="57">
        <v>8</v>
      </c>
      <c r="T92" s="77">
        <v>8</v>
      </c>
      <c r="U92" s="57">
        <v>5</v>
      </c>
      <c r="V92" s="57">
        <v>6</v>
      </c>
      <c r="W92" s="57">
        <v>6</v>
      </c>
      <c r="X92" s="57">
        <v>7</v>
      </c>
      <c r="Y92" s="57">
        <v>7</v>
      </c>
      <c r="Z92" s="57">
        <v>7</v>
      </c>
      <c r="AA92" s="77">
        <v>8</v>
      </c>
      <c r="AB92" s="57">
        <f t="shared" si="1"/>
        <v>89</v>
      </c>
      <c r="AC92" s="57">
        <v>148</v>
      </c>
      <c r="AE92" s="59">
        <v>94</v>
      </c>
    </row>
    <row r="93" spans="6:31" x14ac:dyDescent="0.25">
      <c r="F93" s="57">
        <v>6</v>
      </c>
      <c r="G93" s="76">
        <v>4</v>
      </c>
      <c r="H93" s="57">
        <v>4</v>
      </c>
      <c r="I93" s="57">
        <v>4</v>
      </c>
      <c r="J93" s="57">
        <v>4</v>
      </c>
      <c r="K93" s="57">
        <v>5</v>
      </c>
      <c r="L93" s="57">
        <v>5</v>
      </c>
      <c r="M93" s="57">
        <v>5</v>
      </c>
      <c r="N93" s="76">
        <v>5</v>
      </c>
      <c r="O93" s="57">
        <v>6</v>
      </c>
      <c r="P93" s="57">
        <v>6</v>
      </c>
      <c r="Q93" s="57">
        <v>7</v>
      </c>
      <c r="R93" s="57">
        <v>7</v>
      </c>
      <c r="S93" s="57">
        <v>7</v>
      </c>
      <c r="T93" s="77">
        <v>7</v>
      </c>
      <c r="U93" s="57">
        <v>5</v>
      </c>
      <c r="V93" s="57">
        <v>5</v>
      </c>
      <c r="W93" s="57">
        <v>6</v>
      </c>
      <c r="X93" s="57">
        <v>6</v>
      </c>
      <c r="Y93" s="57">
        <v>6</v>
      </c>
      <c r="Z93" s="57">
        <v>7</v>
      </c>
      <c r="AA93" s="77">
        <v>7</v>
      </c>
      <c r="AB93" s="57">
        <f t="shared" si="1"/>
        <v>90</v>
      </c>
      <c r="AC93" s="57">
        <v>150</v>
      </c>
      <c r="AE93" s="59">
        <v>94</v>
      </c>
    </row>
    <row r="94" spans="6:31" x14ac:dyDescent="0.25">
      <c r="F94" s="57">
        <v>7</v>
      </c>
      <c r="G94" s="76">
        <v>3</v>
      </c>
      <c r="H94" s="57">
        <v>4</v>
      </c>
      <c r="I94" s="57">
        <v>4</v>
      </c>
      <c r="J94" s="57">
        <v>4</v>
      </c>
      <c r="K94" s="57">
        <v>4</v>
      </c>
      <c r="L94" s="57">
        <v>4</v>
      </c>
      <c r="M94" s="57">
        <v>4</v>
      </c>
      <c r="N94" s="76">
        <v>5</v>
      </c>
      <c r="O94" s="57">
        <v>5</v>
      </c>
      <c r="P94" s="57">
        <v>6</v>
      </c>
      <c r="Q94" s="57">
        <v>6</v>
      </c>
      <c r="R94" s="57">
        <v>6</v>
      </c>
      <c r="S94" s="57">
        <v>6</v>
      </c>
      <c r="T94" s="77">
        <v>7</v>
      </c>
      <c r="U94" s="57">
        <v>4</v>
      </c>
      <c r="V94" s="57">
        <v>5</v>
      </c>
      <c r="W94" s="57">
        <v>5</v>
      </c>
      <c r="X94" s="57">
        <v>6</v>
      </c>
      <c r="Y94" s="57">
        <v>6</v>
      </c>
      <c r="Z94" s="57">
        <v>6</v>
      </c>
      <c r="AA94" s="77">
        <v>7</v>
      </c>
      <c r="AB94" s="57">
        <f t="shared" si="1"/>
        <v>91</v>
      </c>
      <c r="AC94" s="57">
        <v>151</v>
      </c>
      <c r="AE94" s="59">
        <v>95</v>
      </c>
    </row>
    <row r="95" spans="6:31" x14ac:dyDescent="0.25">
      <c r="F95" s="57">
        <v>8</v>
      </c>
      <c r="G95" s="76">
        <v>3</v>
      </c>
      <c r="H95" s="57">
        <v>3</v>
      </c>
      <c r="I95" s="57">
        <v>3</v>
      </c>
      <c r="J95" s="57">
        <v>3</v>
      </c>
      <c r="K95" s="57">
        <v>4</v>
      </c>
      <c r="L95" s="57">
        <v>4</v>
      </c>
      <c r="M95" s="57">
        <v>4</v>
      </c>
      <c r="N95" s="76">
        <v>4</v>
      </c>
      <c r="O95" s="57">
        <v>5</v>
      </c>
      <c r="P95" s="57">
        <v>5</v>
      </c>
      <c r="Q95" s="57">
        <v>5</v>
      </c>
      <c r="R95" s="57">
        <v>6</v>
      </c>
      <c r="S95" s="57">
        <v>6</v>
      </c>
      <c r="T95" s="77">
        <v>6</v>
      </c>
      <c r="U95" s="57">
        <v>4</v>
      </c>
      <c r="V95" s="57">
        <v>4</v>
      </c>
      <c r="W95" s="57">
        <v>5</v>
      </c>
      <c r="X95" s="57">
        <v>5</v>
      </c>
      <c r="Y95" s="57">
        <v>6</v>
      </c>
      <c r="Z95" s="57">
        <v>6</v>
      </c>
      <c r="AA95" s="77">
        <v>6</v>
      </c>
      <c r="AB95" s="57">
        <f t="shared" si="1"/>
        <v>92</v>
      </c>
      <c r="AC95" s="57">
        <v>152</v>
      </c>
      <c r="AE95" s="59">
        <v>95</v>
      </c>
    </row>
    <row r="96" spans="6:31" x14ac:dyDescent="0.25">
      <c r="F96" s="57">
        <v>9</v>
      </c>
      <c r="G96" s="76">
        <v>2</v>
      </c>
      <c r="H96" s="57">
        <v>3</v>
      </c>
      <c r="I96" s="57">
        <v>3</v>
      </c>
      <c r="J96" s="57">
        <v>3</v>
      </c>
      <c r="K96" s="57">
        <v>3</v>
      </c>
      <c r="L96" s="57">
        <v>3</v>
      </c>
      <c r="M96" s="57">
        <v>3</v>
      </c>
      <c r="N96" s="76">
        <v>4</v>
      </c>
      <c r="O96" s="57">
        <v>4</v>
      </c>
      <c r="P96" s="57">
        <v>5</v>
      </c>
      <c r="Q96" s="57">
        <v>5</v>
      </c>
      <c r="R96" s="57">
        <v>5</v>
      </c>
      <c r="S96" s="57">
        <v>5</v>
      </c>
      <c r="T96" s="77">
        <v>6</v>
      </c>
      <c r="U96" s="57">
        <v>3</v>
      </c>
      <c r="V96" s="57">
        <v>4</v>
      </c>
      <c r="W96" s="57">
        <v>4</v>
      </c>
      <c r="X96" s="57">
        <v>5</v>
      </c>
      <c r="Y96" s="57">
        <v>5</v>
      </c>
      <c r="Z96" s="57">
        <v>6</v>
      </c>
      <c r="AA96" s="77">
        <v>6</v>
      </c>
      <c r="AB96" s="57">
        <f t="shared" si="1"/>
        <v>93</v>
      </c>
      <c r="AC96" s="57">
        <v>154</v>
      </c>
      <c r="AE96" s="59">
        <v>96</v>
      </c>
    </row>
    <row r="97" spans="6:31" x14ac:dyDescent="0.25">
      <c r="F97" s="57">
        <v>10</v>
      </c>
      <c r="G97" s="76">
        <v>2</v>
      </c>
      <c r="H97" s="57">
        <v>2</v>
      </c>
      <c r="I97" s="57">
        <v>2</v>
      </c>
      <c r="J97" s="57">
        <v>2</v>
      </c>
      <c r="K97" s="57">
        <v>3</v>
      </c>
      <c r="L97" s="57">
        <v>3</v>
      </c>
      <c r="M97" s="57">
        <v>3</v>
      </c>
      <c r="N97" s="76">
        <v>4</v>
      </c>
      <c r="O97" s="57">
        <v>4</v>
      </c>
      <c r="P97" s="57">
        <v>4</v>
      </c>
      <c r="Q97" s="57">
        <v>4</v>
      </c>
      <c r="R97" s="57">
        <v>5</v>
      </c>
      <c r="S97" s="57">
        <v>5</v>
      </c>
      <c r="T97" s="77">
        <v>5</v>
      </c>
      <c r="U97" s="57">
        <v>3</v>
      </c>
      <c r="V97" s="57">
        <v>4</v>
      </c>
      <c r="W97" s="57">
        <v>4</v>
      </c>
      <c r="X97" s="57">
        <v>4</v>
      </c>
      <c r="Y97" s="57">
        <v>5</v>
      </c>
      <c r="Z97" s="57">
        <v>5</v>
      </c>
      <c r="AA97" s="77">
        <v>6</v>
      </c>
      <c r="AB97" s="57">
        <f t="shared" si="1"/>
        <v>94</v>
      </c>
      <c r="AC97" s="57">
        <v>155</v>
      </c>
      <c r="AE97" s="59">
        <v>96</v>
      </c>
    </row>
    <row r="98" spans="6:31" x14ac:dyDescent="0.25">
      <c r="F98" s="57">
        <v>11</v>
      </c>
      <c r="G98" s="76">
        <v>1</v>
      </c>
      <c r="H98" s="57">
        <v>2</v>
      </c>
      <c r="I98" s="57">
        <v>2</v>
      </c>
      <c r="J98" s="57">
        <v>2</v>
      </c>
      <c r="K98" s="57">
        <v>2</v>
      </c>
      <c r="L98" s="57">
        <v>2</v>
      </c>
      <c r="M98" s="57">
        <v>2</v>
      </c>
      <c r="N98" s="76">
        <v>3</v>
      </c>
      <c r="O98" s="57">
        <v>4</v>
      </c>
      <c r="P98" s="57">
        <v>4</v>
      </c>
      <c r="Q98" s="57">
        <v>4</v>
      </c>
      <c r="R98" s="57">
        <v>4</v>
      </c>
      <c r="S98" s="57">
        <v>4</v>
      </c>
      <c r="T98" s="77">
        <v>5</v>
      </c>
      <c r="U98" s="57">
        <v>2</v>
      </c>
      <c r="V98" s="57">
        <v>3</v>
      </c>
      <c r="W98" s="57">
        <v>4</v>
      </c>
      <c r="X98" s="57">
        <v>4</v>
      </c>
      <c r="Y98" s="57">
        <v>4</v>
      </c>
      <c r="Z98" s="57">
        <v>5</v>
      </c>
      <c r="AA98" s="77">
        <v>5</v>
      </c>
      <c r="AB98" s="57">
        <f t="shared" si="1"/>
        <v>95</v>
      </c>
      <c r="AC98" s="57">
        <v>155</v>
      </c>
      <c r="AE98" s="59">
        <v>97</v>
      </c>
    </row>
    <row r="99" spans="6:31" x14ac:dyDescent="0.25">
      <c r="F99" s="57">
        <v>12</v>
      </c>
      <c r="G99" s="76">
        <v>1</v>
      </c>
      <c r="H99" s="57">
        <v>1</v>
      </c>
      <c r="I99" s="57">
        <v>1</v>
      </c>
      <c r="J99" s="57">
        <v>1</v>
      </c>
      <c r="K99" s="57">
        <v>2</v>
      </c>
      <c r="L99" s="57">
        <v>2</v>
      </c>
      <c r="M99" s="57">
        <v>2</v>
      </c>
      <c r="N99" s="76">
        <v>3</v>
      </c>
      <c r="O99" s="57">
        <v>3</v>
      </c>
      <c r="P99" s="57">
        <v>3</v>
      </c>
      <c r="Q99" s="57">
        <v>4</v>
      </c>
      <c r="R99" s="57">
        <v>4</v>
      </c>
      <c r="S99" s="57">
        <v>4</v>
      </c>
      <c r="T99" s="77">
        <v>4</v>
      </c>
      <c r="U99" s="57">
        <v>2</v>
      </c>
      <c r="V99" s="57">
        <v>3</v>
      </c>
      <c r="W99" s="57">
        <v>3</v>
      </c>
      <c r="X99" s="57">
        <v>4</v>
      </c>
      <c r="Y99" s="57">
        <v>4</v>
      </c>
      <c r="Z99" s="57">
        <v>4</v>
      </c>
      <c r="AA99" s="77">
        <v>5</v>
      </c>
      <c r="AB99" s="57">
        <f t="shared" si="1"/>
        <v>96</v>
      </c>
      <c r="AE99" s="59">
        <v>98</v>
      </c>
    </row>
    <row r="100" spans="6:31" x14ac:dyDescent="0.25">
      <c r="F100" s="57">
        <v>13</v>
      </c>
      <c r="G100" s="76">
        <v>1</v>
      </c>
      <c r="H100" s="57">
        <v>1</v>
      </c>
      <c r="I100" s="57">
        <v>1</v>
      </c>
      <c r="J100" s="57">
        <v>1</v>
      </c>
      <c r="K100" s="57">
        <v>1</v>
      </c>
      <c r="L100" s="57">
        <v>1</v>
      </c>
      <c r="M100" s="57">
        <v>1</v>
      </c>
      <c r="N100" s="76">
        <v>2</v>
      </c>
      <c r="O100" s="57">
        <v>3</v>
      </c>
      <c r="P100" s="57">
        <v>3</v>
      </c>
      <c r="Q100" s="57">
        <v>3</v>
      </c>
      <c r="R100" s="57">
        <v>4</v>
      </c>
      <c r="S100" s="57">
        <v>4</v>
      </c>
      <c r="T100" s="77">
        <v>4</v>
      </c>
      <c r="U100" s="57">
        <v>2</v>
      </c>
      <c r="V100" s="57">
        <v>2</v>
      </c>
      <c r="W100" s="57">
        <v>3</v>
      </c>
      <c r="X100" s="57">
        <v>3</v>
      </c>
      <c r="Y100" s="57">
        <v>4</v>
      </c>
      <c r="Z100" s="57">
        <v>4</v>
      </c>
      <c r="AA100" s="77">
        <v>4</v>
      </c>
      <c r="AB100" s="57">
        <f t="shared" si="1"/>
        <v>97</v>
      </c>
      <c r="AE100" s="59">
        <v>98</v>
      </c>
    </row>
    <row r="101" spans="6:31" x14ac:dyDescent="0.25">
      <c r="F101" s="57">
        <v>14</v>
      </c>
      <c r="G101" s="76">
        <v>1</v>
      </c>
      <c r="H101" s="57">
        <v>1</v>
      </c>
      <c r="I101" s="57">
        <v>1</v>
      </c>
      <c r="J101" s="57">
        <v>1</v>
      </c>
      <c r="K101" s="57">
        <v>1</v>
      </c>
      <c r="L101" s="57">
        <v>1</v>
      </c>
      <c r="M101" s="57">
        <v>1</v>
      </c>
      <c r="N101" s="76">
        <v>2</v>
      </c>
      <c r="O101" s="57">
        <v>2</v>
      </c>
      <c r="P101" s="57">
        <v>2</v>
      </c>
      <c r="Q101" s="57">
        <v>3</v>
      </c>
      <c r="R101" s="57">
        <v>3</v>
      </c>
      <c r="S101" s="57">
        <v>3</v>
      </c>
      <c r="T101" s="77">
        <v>4</v>
      </c>
      <c r="U101" s="57">
        <v>1</v>
      </c>
      <c r="V101" s="57">
        <v>2</v>
      </c>
      <c r="W101" s="57">
        <v>2</v>
      </c>
      <c r="X101" s="57">
        <v>3</v>
      </c>
      <c r="Y101" s="57">
        <v>3</v>
      </c>
      <c r="Z101" s="57">
        <v>4</v>
      </c>
      <c r="AA101" s="77">
        <v>4</v>
      </c>
      <c r="AB101" s="57">
        <f t="shared" si="1"/>
        <v>98</v>
      </c>
      <c r="AE101" s="59">
        <v>99</v>
      </c>
    </row>
    <row r="102" spans="6:31" x14ac:dyDescent="0.25">
      <c r="F102" s="57">
        <v>15</v>
      </c>
      <c r="G102" s="76">
        <v>1</v>
      </c>
      <c r="H102" s="57">
        <v>1</v>
      </c>
      <c r="I102" s="57">
        <v>1</v>
      </c>
      <c r="J102" s="57">
        <v>1</v>
      </c>
      <c r="K102" s="57">
        <v>1</v>
      </c>
      <c r="L102" s="57">
        <v>1</v>
      </c>
      <c r="M102" s="57">
        <v>1</v>
      </c>
      <c r="N102" s="76">
        <v>2</v>
      </c>
      <c r="O102" s="57">
        <v>2</v>
      </c>
      <c r="P102" s="57">
        <v>2</v>
      </c>
      <c r="Q102" s="57">
        <v>2</v>
      </c>
      <c r="R102" s="57">
        <v>3</v>
      </c>
      <c r="S102" s="57">
        <v>3</v>
      </c>
      <c r="T102" s="77">
        <v>3</v>
      </c>
      <c r="U102" s="57">
        <v>1</v>
      </c>
      <c r="V102" s="57">
        <v>2</v>
      </c>
      <c r="W102" s="57">
        <v>2</v>
      </c>
      <c r="X102" s="57">
        <v>2</v>
      </c>
      <c r="Y102" s="57">
        <v>3</v>
      </c>
      <c r="Z102" s="57">
        <v>3</v>
      </c>
      <c r="AA102" s="77">
        <v>4</v>
      </c>
      <c r="AB102" s="57">
        <f t="shared" si="1"/>
        <v>99</v>
      </c>
      <c r="AE102" s="59">
        <v>99</v>
      </c>
    </row>
    <row r="103" spans="6:31" x14ac:dyDescent="0.25">
      <c r="F103" s="57">
        <v>16</v>
      </c>
      <c r="G103" s="76">
        <v>1</v>
      </c>
      <c r="H103" s="57">
        <v>1</v>
      </c>
      <c r="I103" s="57">
        <v>1</v>
      </c>
      <c r="J103" s="57">
        <v>1</v>
      </c>
      <c r="K103" s="57">
        <v>1</v>
      </c>
      <c r="L103" s="57">
        <v>1</v>
      </c>
      <c r="M103" s="57">
        <v>1</v>
      </c>
      <c r="N103" s="76">
        <v>1</v>
      </c>
      <c r="O103" s="57">
        <v>2</v>
      </c>
      <c r="P103" s="57">
        <v>2</v>
      </c>
      <c r="Q103" s="57">
        <v>2</v>
      </c>
      <c r="R103" s="57">
        <v>2</v>
      </c>
      <c r="S103" s="57">
        <v>2</v>
      </c>
      <c r="T103" s="77">
        <v>3</v>
      </c>
      <c r="U103" s="57">
        <v>1</v>
      </c>
      <c r="V103" s="57">
        <v>1</v>
      </c>
      <c r="W103" s="57">
        <v>2</v>
      </c>
      <c r="X103" s="57">
        <v>2</v>
      </c>
      <c r="Y103" s="57">
        <v>2</v>
      </c>
      <c r="Z103" s="57">
        <v>3</v>
      </c>
      <c r="AA103" s="77">
        <v>3</v>
      </c>
      <c r="AB103" s="57">
        <f t="shared" si="1"/>
        <v>100</v>
      </c>
      <c r="AE103" s="59">
        <v>100</v>
      </c>
    </row>
    <row r="104" spans="6:31" x14ac:dyDescent="0.25">
      <c r="F104" s="57">
        <v>17</v>
      </c>
      <c r="G104" s="76">
        <v>1</v>
      </c>
      <c r="H104" s="57">
        <v>1</v>
      </c>
      <c r="I104" s="57">
        <v>1</v>
      </c>
      <c r="J104" s="57">
        <v>1</v>
      </c>
      <c r="K104" s="57">
        <v>1</v>
      </c>
      <c r="L104" s="57">
        <v>1</v>
      </c>
      <c r="M104" s="57">
        <v>1</v>
      </c>
      <c r="N104" s="76">
        <v>1</v>
      </c>
      <c r="O104" s="57">
        <v>1</v>
      </c>
      <c r="P104" s="57">
        <v>1</v>
      </c>
      <c r="Q104" s="57">
        <v>2</v>
      </c>
      <c r="R104" s="57">
        <v>2</v>
      </c>
      <c r="S104" s="57">
        <v>2</v>
      </c>
      <c r="T104" s="77">
        <v>2</v>
      </c>
      <c r="U104" s="57">
        <v>1</v>
      </c>
      <c r="V104" s="57">
        <v>1</v>
      </c>
      <c r="W104" s="57">
        <v>1</v>
      </c>
      <c r="X104" s="57">
        <v>2</v>
      </c>
      <c r="Y104" s="57">
        <v>2</v>
      </c>
      <c r="Z104" s="57">
        <v>2</v>
      </c>
      <c r="AA104" s="77">
        <v>3</v>
      </c>
      <c r="AB104" s="57">
        <f t="shared" si="1"/>
        <v>101</v>
      </c>
      <c r="AE104" s="59">
        <v>100</v>
      </c>
    </row>
    <row r="105" spans="6:31" x14ac:dyDescent="0.25">
      <c r="F105" s="57">
        <v>18</v>
      </c>
      <c r="G105" s="76">
        <v>1</v>
      </c>
      <c r="H105" s="57">
        <v>1</v>
      </c>
      <c r="I105" s="57">
        <v>1</v>
      </c>
      <c r="J105" s="57">
        <v>1</v>
      </c>
      <c r="K105" s="57">
        <v>1</v>
      </c>
      <c r="L105" s="57">
        <v>1</v>
      </c>
      <c r="M105" s="57">
        <v>1</v>
      </c>
      <c r="N105" s="76">
        <v>1</v>
      </c>
      <c r="O105" s="57">
        <v>1</v>
      </c>
      <c r="P105" s="57">
        <v>1</v>
      </c>
      <c r="Q105" s="57">
        <v>1</v>
      </c>
      <c r="R105" s="57">
        <v>2</v>
      </c>
      <c r="S105" s="57">
        <v>2</v>
      </c>
      <c r="T105" s="77">
        <v>2</v>
      </c>
      <c r="U105" s="57">
        <v>1</v>
      </c>
      <c r="V105" s="57">
        <v>1</v>
      </c>
      <c r="W105" s="57">
        <v>1</v>
      </c>
      <c r="X105" s="57">
        <v>1</v>
      </c>
      <c r="Y105" s="57">
        <v>2</v>
      </c>
      <c r="Z105" s="57">
        <v>2</v>
      </c>
      <c r="AA105" s="77">
        <v>2</v>
      </c>
      <c r="AB105" s="57">
        <f t="shared" si="1"/>
        <v>102</v>
      </c>
      <c r="AE105" s="59">
        <v>101</v>
      </c>
    </row>
    <row r="106" spans="6:31" x14ac:dyDescent="0.25">
      <c r="F106" s="57">
        <v>19</v>
      </c>
      <c r="G106" s="76">
        <v>1</v>
      </c>
      <c r="H106" s="57">
        <v>1</v>
      </c>
      <c r="I106" s="57">
        <v>1</v>
      </c>
      <c r="J106" s="57">
        <v>1</v>
      </c>
      <c r="K106" s="57">
        <v>1</v>
      </c>
      <c r="L106" s="57">
        <v>1</v>
      </c>
      <c r="M106" s="57">
        <v>1</v>
      </c>
      <c r="N106" s="76">
        <v>1</v>
      </c>
      <c r="O106" s="57">
        <v>1</v>
      </c>
      <c r="P106" s="57">
        <v>1</v>
      </c>
      <c r="Q106" s="57">
        <v>1</v>
      </c>
      <c r="R106" s="57">
        <v>1</v>
      </c>
      <c r="S106" s="57">
        <v>1</v>
      </c>
      <c r="T106" s="77">
        <v>2</v>
      </c>
      <c r="U106" s="57">
        <v>1</v>
      </c>
      <c r="V106" s="57">
        <v>1</v>
      </c>
      <c r="W106" s="57">
        <v>1</v>
      </c>
      <c r="X106" s="57">
        <v>1</v>
      </c>
      <c r="Y106" s="57">
        <v>1</v>
      </c>
      <c r="Z106" s="57">
        <v>2</v>
      </c>
      <c r="AA106" s="77">
        <v>2</v>
      </c>
      <c r="AB106" s="57">
        <f t="shared" si="1"/>
        <v>103</v>
      </c>
      <c r="AE106" s="59">
        <v>101</v>
      </c>
    </row>
    <row r="107" spans="6:31" x14ac:dyDescent="0.25">
      <c r="F107" s="57">
        <v>20</v>
      </c>
      <c r="G107" s="76">
        <v>1</v>
      </c>
      <c r="H107" s="57">
        <v>1</v>
      </c>
      <c r="I107" s="57">
        <v>1</v>
      </c>
      <c r="J107" s="57">
        <v>1</v>
      </c>
      <c r="K107" s="57">
        <v>1</v>
      </c>
      <c r="L107" s="57">
        <v>1</v>
      </c>
      <c r="M107" s="57">
        <v>1</v>
      </c>
      <c r="N107" s="76">
        <v>1</v>
      </c>
      <c r="O107" s="57">
        <v>1</v>
      </c>
      <c r="P107" s="57">
        <v>1</v>
      </c>
      <c r="Q107" s="57">
        <v>1</v>
      </c>
      <c r="R107" s="57">
        <v>1</v>
      </c>
      <c r="S107" s="57">
        <v>1</v>
      </c>
      <c r="T107" s="77">
        <v>1</v>
      </c>
      <c r="U107" s="57">
        <v>1</v>
      </c>
      <c r="V107" s="57">
        <v>1</v>
      </c>
      <c r="W107" s="57">
        <v>1</v>
      </c>
      <c r="X107" s="57">
        <v>1</v>
      </c>
      <c r="Y107" s="57">
        <v>1</v>
      </c>
      <c r="Z107" s="57">
        <v>1</v>
      </c>
      <c r="AA107" s="77">
        <v>2</v>
      </c>
      <c r="AB107" s="57">
        <f t="shared" si="1"/>
        <v>104</v>
      </c>
      <c r="AE107" s="59">
        <v>102</v>
      </c>
    </row>
    <row r="108" spans="6:31" x14ac:dyDescent="0.25">
      <c r="F108" s="57">
        <v>21</v>
      </c>
      <c r="G108" s="76">
        <v>1</v>
      </c>
      <c r="H108" s="57">
        <v>1</v>
      </c>
      <c r="I108" s="57">
        <v>1</v>
      </c>
      <c r="J108" s="57">
        <v>1</v>
      </c>
      <c r="K108" s="57">
        <v>1</v>
      </c>
      <c r="L108" s="57">
        <v>1</v>
      </c>
      <c r="M108" s="57">
        <v>1</v>
      </c>
      <c r="N108" s="76">
        <v>1</v>
      </c>
      <c r="O108" s="57">
        <v>1</v>
      </c>
      <c r="P108" s="57">
        <v>1</v>
      </c>
      <c r="Q108" s="57">
        <v>1</v>
      </c>
      <c r="R108" s="57">
        <v>1</v>
      </c>
      <c r="S108" s="57">
        <v>1</v>
      </c>
      <c r="T108" s="77">
        <v>1</v>
      </c>
      <c r="U108" s="57">
        <v>1</v>
      </c>
      <c r="V108" s="57">
        <v>1</v>
      </c>
      <c r="W108" s="57">
        <v>1</v>
      </c>
      <c r="X108" s="57">
        <v>1</v>
      </c>
      <c r="Y108" s="57">
        <v>1</v>
      </c>
      <c r="Z108" s="57">
        <v>1</v>
      </c>
      <c r="AA108" s="77">
        <v>1</v>
      </c>
      <c r="AB108" s="57">
        <f t="shared" si="1"/>
        <v>105</v>
      </c>
      <c r="AE108" s="59">
        <v>103</v>
      </c>
    </row>
    <row r="109" spans="6:31" x14ac:dyDescent="0.25">
      <c r="F109" s="57">
        <v>22</v>
      </c>
      <c r="G109" s="76">
        <v>1</v>
      </c>
      <c r="H109" s="57">
        <v>1</v>
      </c>
      <c r="I109" s="57">
        <v>1</v>
      </c>
      <c r="J109" s="57">
        <v>1</v>
      </c>
      <c r="K109" s="57">
        <v>1</v>
      </c>
      <c r="L109" s="57">
        <v>1</v>
      </c>
      <c r="M109" s="57">
        <v>1</v>
      </c>
      <c r="N109" s="76">
        <v>1</v>
      </c>
      <c r="O109" s="57">
        <v>1</v>
      </c>
      <c r="P109" s="57">
        <v>1</v>
      </c>
      <c r="Q109" s="57">
        <v>1</v>
      </c>
      <c r="R109" s="57">
        <v>1</v>
      </c>
      <c r="S109" s="57">
        <v>1</v>
      </c>
      <c r="T109" s="77">
        <v>1</v>
      </c>
      <c r="U109" s="57">
        <v>1</v>
      </c>
      <c r="V109" s="57">
        <v>1</v>
      </c>
      <c r="W109" s="57">
        <v>1</v>
      </c>
      <c r="X109" s="57">
        <v>1</v>
      </c>
      <c r="Y109" s="57">
        <v>1</v>
      </c>
      <c r="Z109" s="57">
        <v>1</v>
      </c>
      <c r="AA109" s="77">
        <v>1</v>
      </c>
      <c r="AB109" s="57">
        <f t="shared" si="1"/>
        <v>106</v>
      </c>
      <c r="AE109" s="59">
        <v>103</v>
      </c>
    </row>
    <row r="110" spans="6:31" x14ac:dyDescent="0.25">
      <c r="F110" s="57">
        <v>23</v>
      </c>
      <c r="G110" s="76">
        <v>1</v>
      </c>
      <c r="H110" s="57">
        <v>1</v>
      </c>
      <c r="I110" s="57">
        <v>1</v>
      </c>
      <c r="J110" s="57">
        <v>1</v>
      </c>
      <c r="K110" s="57">
        <v>1</v>
      </c>
      <c r="L110" s="57">
        <v>1</v>
      </c>
      <c r="M110" s="57">
        <v>1</v>
      </c>
      <c r="N110" s="76">
        <v>1</v>
      </c>
      <c r="O110" s="57">
        <v>1</v>
      </c>
      <c r="P110" s="57">
        <v>1</v>
      </c>
      <c r="Q110" s="57">
        <v>1</v>
      </c>
      <c r="R110" s="57">
        <v>1</v>
      </c>
      <c r="S110" s="57">
        <v>1</v>
      </c>
      <c r="T110" s="77">
        <v>1</v>
      </c>
      <c r="U110" s="57">
        <v>1</v>
      </c>
      <c r="V110" s="57">
        <v>1</v>
      </c>
      <c r="W110" s="57">
        <v>1</v>
      </c>
      <c r="X110" s="57">
        <v>1</v>
      </c>
      <c r="Y110" s="57">
        <v>1</v>
      </c>
      <c r="Z110" s="57">
        <v>1</v>
      </c>
      <c r="AA110" s="77">
        <v>1</v>
      </c>
      <c r="AB110" s="57">
        <f t="shared" si="1"/>
        <v>107</v>
      </c>
      <c r="AE110" s="59">
        <v>104</v>
      </c>
    </row>
    <row r="111" spans="6:31" x14ac:dyDescent="0.25">
      <c r="F111" s="57">
        <v>24</v>
      </c>
      <c r="G111" s="76">
        <v>1</v>
      </c>
      <c r="H111" s="57">
        <v>1</v>
      </c>
      <c r="I111" s="57">
        <v>1</v>
      </c>
      <c r="J111" s="57">
        <v>1</v>
      </c>
      <c r="K111" s="57">
        <v>1</v>
      </c>
      <c r="L111" s="57">
        <v>1</v>
      </c>
      <c r="M111" s="57">
        <v>1</v>
      </c>
      <c r="N111" s="76">
        <v>1</v>
      </c>
      <c r="O111" s="57">
        <v>1</v>
      </c>
      <c r="P111" s="57">
        <v>1</v>
      </c>
      <c r="Q111" s="57">
        <v>1</v>
      </c>
      <c r="R111" s="57">
        <v>1</v>
      </c>
      <c r="S111" s="57">
        <v>1</v>
      </c>
      <c r="T111" s="77">
        <v>1</v>
      </c>
      <c r="U111" s="57">
        <v>1</v>
      </c>
      <c r="V111" s="57">
        <v>1</v>
      </c>
      <c r="W111" s="57">
        <v>1</v>
      </c>
      <c r="X111" s="57">
        <v>1</v>
      </c>
      <c r="Y111" s="57">
        <v>1</v>
      </c>
      <c r="Z111" s="57">
        <v>1</v>
      </c>
      <c r="AA111" s="77">
        <v>1</v>
      </c>
      <c r="AB111" s="57">
        <f t="shared" si="1"/>
        <v>108</v>
      </c>
      <c r="AE111" s="59">
        <v>104</v>
      </c>
    </row>
    <row r="112" spans="6:31" x14ac:dyDescent="0.25">
      <c r="F112" s="57">
        <v>25</v>
      </c>
      <c r="G112" s="76">
        <v>1</v>
      </c>
      <c r="H112" s="57">
        <v>1</v>
      </c>
      <c r="I112" s="57">
        <v>1</v>
      </c>
      <c r="J112" s="57">
        <v>1</v>
      </c>
      <c r="K112" s="57">
        <v>1</v>
      </c>
      <c r="L112" s="57">
        <v>1</v>
      </c>
      <c r="M112" s="57">
        <v>1</v>
      </c>
      <c r="N112" s="76">
        <v>1</v>
      </c>
      <c r="O112" s="57">
        <v>1</v>
      </c>
      <c r="P112" s="57">
        <v>1</v>
      </c>
      <c r="Q112" s="57">
        <v>1</v>
      </c>
      <c r="R112" s="57">
        <v>1</v>
      </c>
      <c r="S112" s="57">
        <v>1</v>
      </c>
      <c r="T112" s="77">
        <v>1</v>
      </c>
      <c r="U112" s="57">
        <v>1</v>
      </c>
      <c r="V112" s="57">
        <v>1</v>
      </c>
      <c r="W112" s="57">
        <v>1</v>
      </c>
      <c r="X112" s="57">
        <v>1</v>
      </c>
      <c r="Y112" s="57">
        <v>1</v>
      </c>
      <c r="Z112" s="57">
        <v>1</v>
      </c>
      <c r="AA112" s="77">
        <v>1</v>
      </c>
      <c r="AB112" s="57">
        <f t="shared" si="1"/>
        <v>109</v>
      </c>
      <c r="AE112" s="59">
        <v>105</v>
      </c>
    </row>
    <row r="113" spans="6:31" x14ac:dyDescent="0.25">
      <c r="F113" s="57">
        <v>26</v>
      </c>
      <c r="G113" s="76">
        <v>1</v>
      </c>
      <c r="H113" s="57">
        <v>1</v>
      </c>
      <c r="I113" s="57">
        <v>1</v>
      </c>
      <c r="J113" s="57">
        <v>1</v>
      </c>
      <c r="K113" s="57">
        <v>1</v>
      </c>
      <c r="L113" s="57">
        <v>1</v>
      </c>
      <c r="M113" s="57">
        <v>1</v>
      </c>
      <c r="N113" s="76">
        <v>1</v>
      </c>
      <c r="O113" s="57">
        <v>1</v>
      </c>
      <c r="P113" s="57">
        <v>1</v>
      </c>
      <c r="Q113" s="57">
        <v>1</v>
      </c>
      <c r="R113" s="57">
        <v>1</v>
      </c>
      <c r="S113" s="57">
        <v>1</v>
      </c>
      <c r="T113" s="77">
        <v>1</v>
      </c>
      <c r="U113" s="57">
        <v>1</v>
      </c>
      <c r="V113" s="57">
        <v>1</v>
      </c>
      <c r="W113" s="57">
        <v>1</v>
      </c>
      <c r="X113" s="57">
        <v>1</v>
      </c>
      <c r="Y113" s="57">
        <v>1</v>
      </c>
      <c r="Z113" s="57">
        <v>1</v>
      </c>
      <c r="AA113" s="77">
        <v>1</v>
      </c>
      <c r="AB113" s="57">
        <f t="shared" si="1"/>
        <v>110</v>
      </c>
      <c r="AE113" s="59">
        <v>106</v>
      </c>
    </row>
    <row r="114" spans="6:31" x14ac:dyDescent="0.25">
      <c r="F114" s="57">
        <v>27</v>
      </c>
      <c r="G114" s="76">
        <v>1</v>
      </c>
      <c r="H114" s="57">
        <v>1</v>
      </c>
      <c r="I114" s="57">
        <v>1</v>
      </c>
      <c r="J114" s="57">
        <v>1</v>
      </c>
      <c r="K114" s="57">
        <v>1</v>
      </c>
      <c r="L114" s="57">
        <v>1</v>
      </c>
      <c r="M114" s="57">
        <v>1</v>
      </c>
      <c r="N114" s="76">
        <v>1</v>
      </c>
      <c r="O114" s="57">
        <v>1</v>
      </c>
      <c r="P114" s="57">
        <v>1</v>
      </c>
      <c r="Q114" s="57">
        <v>1</v>
      </c>
      <c r="R114" s="57">
        <v>1</v>
      </c>
      <c r="S114" s="57">
        <v>1</v>
      </c>
      <c r="T114" s="77">
        <v>1</v>
      </c>
      <c r="U114" s="57">
        <v>1</v>
      </c>
      <c r="V114" s="57">
        <v>1</v>
      </c>
      <c r="W114" s="57">
        <v>1</v>
      </c>
      <c r="X114" s="57">
        <v>1</v>
      </c>
      <c r="Y114" s="57">
        <v>1</v>
      </c>
      <c r="Z114" s="57">
        <v>1</v>
      </c>
      <c r="AA114" s="77">
        <v>1</v>
      </c>
      <c r="AB114" s="57">
        <f t="shared" si="1"/>
        <v>111</v>
      </c>
      <c r="AE114" s="59">
        <v>106</v>
      </c>
    </row>
    <row r="115" spans="6:31" x14ac:dyDescent="0.25">
      <c r="F115" s="57">
        <v>28</v>
      </c>
      <c r="G115" s="76">
        <v>1</v>
      </c>
      <c r="H115" s="57">
        <v>1</v>
      </c>
      <c r="I115" s="57">
        <v>1</v>
      </c>
      <c r="J115" s="57">
        <v>1</v>
      </c>
      <c r="K115" s="57">
        <v>1</v>
      </c>
      <c r="L115" s="57">
        <v>1</v>
      </c>
      <c r="M115" s="57">
        <v>1</v>
      </c>
      <c r="N115" s="76">
        <v>1</v>
      </c>
      <c r="O115" s="57">
        <v>1</v>
      </c>
      <c r="P115" s="57">
        <v>1</v>
      </c>
      <c r="Q115" s="57">
        <v>1</v>
      </c>
      <c r="R115" s="57">
        <v>1</v>
      </c>
      <c r="S115" s="57">
        <v>1</v>
      </c>
      <c r="T115" s="77">
        <v>1</v>
      </c>
      <c r="U115" s="57">
        <v>1</v>
      </c>
      <c r="V115" s="57">
        <v>1</v>
      </c>
      <c r="W115" s="57">
        <v>1</v>
      </c>
      <c r="X115" s="57">
        <v>1</v>
      </c>
      <c r="Y115" s="57">
        <v>1</v>
      </c>
      <c r="Z115" s="57">
        <v>1</v>
      </c>
      <c r="AA115" s="77">
        <v>1</v>
      </c>
      <c r="AB115" s="57">
        <f t="shared" si="1"/>
        <v>112</v>
      </c>
      <c r="AE115" s="59">
        <v>107</v>
      </c>
    </row>
    <row r="116" spans="6:31" x14ac:dyDescent="0.25">
      <c r="F116" s="57">
        <v>29</v>
      </c>
      <c r="G116" s="76">
        <v>1</v>
      </c>
      <c r="H116" s="57">
        <v>1</v>
      </c>
      <c r="I116" s="57">
        <v>1</v>
      </c>
      <c r="J116" s="57">
        <v>1</v>
      </c>
      <c r="K116" s="57">
        <v>1</v>
      </c>
      <c r="L116" s="57">
        <v>1</v>
      </c>
      <c r="M116" s="57">
        <v>1</v>
      </c>
      <c r="N116" s="76">
        <v>1</v>
      </c>
      <c r="O116" s="57">
        <v>1</v>
      </c>
      <c r="P116" s="57">
        <v>1</v>
      </c>
      <c r="Q116" s="57">
        <v>1</v>
      </c>
      <c r="R116" s="57">
        <v>1</v>
      </c>
      <c r="S116" s="57">
        <v>1</v>
      </c>
      <c r="T116" s="77">
        <v>1</v>
      </c>
      <c r="U116" s="57">
        <v>1</v>
      </c>
      <c r="V116" s="57">
        <v>1</v>
      </c>
      <c r="W116" s="57">
        <v>1</v>
      </c>
      <c r="X116" s="57">
        <v>1</v>
      </c>
      <c r="Y116" s="57">
        <v>1</v>
      </c>
      <c r="Z116" s="57">
        <v>1</v>
      </c>
      <c r="AA116" s="77">
        <v>1</v>
      </c>
      <c r="AB116" s="57">
        <f t="shared" si="1"/>
        <v>113</v>
      </c>
      <c r="AE116" s="59">
        <v>108</v>
      </c>
    </row>
    <row r="117" spans="6:31" x14ac:dyDescent="0.25">
      <c r="F117" s="57">
        <v>30</v>
      </c>
      <c r="G117" s="76">
        <v>1</v>
      </c>
      <c r="H117" s="57">
        <v>1</v>
      </c>
      <c r="I117" s="57">
        <v>1</v>
      </c>
      <c r="J117" s="57">
        <v>1</v>
      </c>
      <c r="K117" s="57">
        <v>1</v>
      </c>
      <c r="L117" s="57">
        <v>1</v>
      </c>
      <c r="M117" s="57">
        <v>1</v>
      </c>
      <c r="N117" s="76">
        <v>1</v>
      </c>
      <c r="O117" s="57">
        <v>1</v>
      </c>
      <c r="P117" s="57">
        <v>1</v>
      </c>
      <c r="Q117" s="57">
        <v>1</v>
      </c>
      <c r="R117" s="57">
        <v>1</v>
      </c>
      <c r="S117" s="57">
        <v>1</v>
      </c>
      <c r="T117" s="77">
        <v>1</v>
      </c>
      <c r="U117" s="57">
        <v>1</v>
      </c>
      <c r="V117" s="57">
        <v>1</v>
      </c>
      <c r="W117" s="57">
        <v>1</v>
      </c>
      <c r="X117" s="57">
        <v>1</v>
      </c>
      <c r="Y117" s="57">
        <v>1</v>
      </c>
      <c r="Z117" s="57">
        <v>1</v>
      </c>
      <c r="AA117" s="77">
        <v>1</v>
      </c>
      <c r="AB117" s="57">
        <f t="shared" si="1"/>
        <v>114</v>
      </c>
      <c r="AE117" s="59">
        <v>108</v>
      </c>
    </row>
    <row r="118" spans="6:31" x14ac:dyDescent="0.25">
      <c r="F118" s="57">
        <v>31</v>
      </c>
      <c r="G118" s="76">
        <v>1</v>
      </c>
      <c r="H118" s="57">
        <v>1</v>
      </c>
      <c r="I118" s="57">
        <v>1</v>
      </c>
      <c r="J118" s="57">
        <v>1</v>
      </c>
      <c r="K118" s="57">
        <v>1</v>
      </c>
      <c r="L118" s="57">
        <v>1</v>
      </c>
      <c r="M118" s="57">
        <v>1</v>
      </c>
      <c r="N118" s="76">
        <v>1</v>
      </c>
      <c r="O118" s="57">
        <v>1</v>
      </c>
      <c r="P118" s="57">
        <v>1</v>
      </c>
      <c r="Q118" s="57">
        <v>1</v>
      </c>
      <c r="R118" s="57">
        <v>1</v>
      </c>
      <c r="S118" s="57">
        <v>1</v>
      </c>
      <c r="T118" s="77">
        <v>1</v>
      </c>
      <c r="U118" s="57">
        <v>1</v>
      </c>
      <c r="V118" s="57">
        <v>1</v>
      </c>
      <c r="W118" s="57">
        <v>1</v>
      </c>
      <c r="X118" s="57">
        <v>1</v>
      </c>
      <c r="Y118" s="57">
        <v>1</v>
      </c>
      <c r="Z118" s="57">
        <v>1</v>
      </c>
      <c r="AA118" s="77">
        <v>1</v>
      </c>
      <c r="AB118" s="57">
        <f t="shared" si="1"/>
        <v>115</v>
      </c>
      <c r="AE118" s="59">
        <v>109</v>
      </c>
    </row>
    <row r="119" spans="6:31" x14ac:dyDescent="0.25">
      <c r="F119" s="57">
        <v>32</v>
      </c>
      <c r="G119" s="76">
        <v>1</v>
      </c>
      <c r="H119" s="57">
        <v>1</v>
      </c>
      <c r="I119" s="57">
        <v>1</v>
      </c>
      <c r="J119" s="57">
        <v>1</v>
      </c>
      <c r="K119" s="57">
        <v>1</v>
      </c>
      <c r="L119" s="57">
        <v>1</v>
      </c>
      <c r="M119" s="57">
        <v>1</v>
      </c>
      <c r="N119" s="76">
        <v>1</v>
      </c>
      <c r="O119" s="57">
        <v>1</v>
      </c>
      <c r="P119" s="57">
        <v>1</v>
      </c>
      <c r="Q119" s="57">
        <v>1</v>
      </c>
      <c r="R119" s="57">
        <v>1</v>
      </c>
      <c r="S119" s="57">
        <v>1</v>
      </c>
      <c r="T119" s="77">
        <v>1</v>
      </c>
      <c r="U119" s="57">
        <v>1</v>
      </c>
      <c r="V119" s="57">
        <v>1</v>
      </c>
      <c r="W119" s="57">
        <v>1</v>
      </c>
      <c r="X119" s="57">
        <v>1</v>
      </c>
      <c r="Y119" s="57">
        <v>1</v>
      </c>
      <c r="Z119" s="57">
        <v>1</v>
      </c>
      <c r="AA119" s="77">
        <v>1</v>
      </c>
      <c r="AB119" s="57">
        <f t="shared" si="1"/>
        <v>116</v>
      </c>
      <c r="AE119" s="59">
        <v>109</v>
      </c>
    </row>
    <row r="120" spans="6:31" x14ac:dyDescent="0.25">
      <c r="F120" s="57">
        <v>33</v>
      </c>
      <c r="G120" s="76">
        <v>1</v>
      </c>
      <c r="H120" s="57">
        <v>1</v>
      </c>
      <c r="I120" s="57">
        <v>1</v>
      </c>
      <c r="J120" s="57">
        <v>1</v>
      </c>
      <c r="K120" s="57">
        <v>1</v>
      </c>
      <c r="L120" s="57">
        <v>1</v>
      </c>
      <c r="M120" s="57">
        <v>1</v>
      </c>
      <c r="N120" s="76">
        <v>1</v>
      </c>
      <c r="O120" s="57">
        <v>1</v>
      </c>
      <c r="P120" s="57">
        <v>1</v>
      </c>
      <c r="Q120" s="57">
        <v>1</v>
      </c>
      <c r="R120" s="57">
        <v>1</v>
      </c>
      <c r="S120" s="57">
        <v>1</v>
      </c>
      <c r="T120" s="77">
        <v>1</v>
      </c>
      <c r="U120" s="57">
        <v>1</v>
      </c>
      <c r="V120" s="57">
        <v>1</v>
      </c>
      <c r="W120" s="57">
        <v>1</v>
      </c>
      <c r="X120" s="57">
        <v>1</v>
      </c>
      <c r="Y120" s="57">
        <v>1</v>
      </c>
      <c r="Z120" s="57">
        <v>1</v>
      </c>
      <c r="AA120" s="77">
        <v>1</v>
      </c>
      <c r="AB120" s="57">
        <f t="shared" si="1"/>
        <v>117</v>
      </c>
      <c r="AE120" s="59">
        <v>110</v>
      </c>
    </row>
    <row r="121" spans="6:31" x14ac:dyDescent="0.25">
      <c r="F121" s="57">
        <v>34</v>
      </c>
      <c r="G121" s="76">
        <v>1</v>
      </c>
      <c r="H121" s="57">
        <v>1</v>
      </c>
      <c r="I121" s="57">
        <v>1</v>
      </c>
      <c r="J121" s="57">
        <v>1</v>
      </c>
      <c r="K121" s="57">
        <v>1</v>
      </c>
      <c r="L121" s="57">
        <v>1</v>
      </c>
      <c r="M121" s="57">
        <v>1</v>
      </c>
      <c r="N121" s="76">
        <v>1</v>
      </c>
      <c r="O121" s="57">
        <v>1</v>
      </c>
      <c r="P121" s="57">
        <v>1</v>
      </c>
      <c r="Q121" s="57">
        <v>1</v>
      </c>
      <c r="R121" s="57">
        <v>1</v>
      </c>
      <c r="S121" s="57">
        <v>1</v>
      </c>
      <c r="T121" s="77">
        <v>1</v>
      </c>
      <c r="U121" s="57">
        <v>1</v>
      </c>
      <c r="V121" s="57">
        <v>1</v>
      </c>
      <c r="W121" s="57">
        <v>1</v>
      </c>
      <c r="X121" s="57">
        <v>1</v>
      </c>
      <c r="Y121" s="57">
        <v>1</v>
      </c>
      <c r="Z121" s="57">
        <v>1</v>
      </c>
      <c r="AA121" s="77">
        <v>1</v>
      </c>
      <c r="AB121" s="57">
        <f t="shared" si="1"/>
        <v>118</v>
      </c>
      <c r="AE121" s="59">
        <v>111</v>
      </c>
    </row>
    <row r="122" spans="6:31" x14ac:dyDescent="0.25">
      <c r="F122" s="57">
        <v>35</v>
      </c>
      <c r="G122" s="76">
        <v>1</v>
      </c>
      <c r="H122" s="57">
        <v>1</v>
      </c>
      <c r="I122" s="57">
        <v>1</v>
      </c>
      <c r="J122" s="57">
        <v>1</v>
      </c>
      <c r="K122" s="57">
        <v>1</v>
      </c>
      <c r="L122" s="57">
        <v>1</v>
      </c>
      <c r="M122" s="57">
        <v>1</v>
      </c>
      <c r="N122" s="76">
        <v>1</v>
      </c>
      <c r="O122" s="57">
        <v>1</v>
      </c>
      <c r="P122" s="57">
        <v>1</v>
      </c>
      <c r="Q122" s="57">
        <v>1</v>
      </c>
      <c r="R122" s="57">
        <v>1</v>
      </c>
      <c r="S122" s="57">
        <v>1</v>
      </c>
      <c r="T122" s="77">
        <v>1</v>
      </c>
      <c r="U122" s="57">
        <v>1</v>
      </c>
      <c r="V122" s="57">
        <v>1</v>
      </c>
      <c r="W122" s="57">
        <v>1</v>
      </c>
      <c r="X122" s="57">
        <v>1</v>
      </c>
      <c r="Y122" s="57">
        <v>1</v>
      </c>
      <c r="Z122" s="57">
        <v>1</v>
      </c>
      <c r="AA122" s="77">
        <v>1</v>
      </c>
      <c r="AB122" s="57">
        <f t="shared" si="1"/>
        <v>119</v>
      </c>
      <c r="AE122" s="59">
        <v>112</v>
      </c>
    </row>
    <row r="123" spans="6:31" x14ac:dyDescent="0.25">
      <c r="F123" s="57">
        <v>36</v>
      </c>
      <c r="G123" s="78">
        <v>1</v>
      </c>
      <c r="H123" s="79">
        <v>1</v>
      </c>
      <c r="I123" s="79">
        <v>1</v>
      </c>
      <c r="J123" s="79">
        <v>1</v>
      </c>
      <c r="K123" s="79">
        <v>1</v>
      </c>
      <c r="L123" s="79">
        <v>1</v>
      </c>
      <c r="M123" s="79">
        <v>1</v>
      </c>
      <c r="N123" s="78">
        <v>1</v>
      </c>
      <c r="O123" s="79">
        <v>1</v>
      </c>
      <c r="P123" s="79">
        <v>1</v>
      </c>
      <c r="Q123" s="79">
        <v>1</v>
      </c>
      <c r="R123" s="79">
        <v>1</v>
      </c>
      <c r="S123" s="79">
        <v>1</v>
      </c>
      <c r="T123" s="80">
        <v>1</v>
      </c>
      <c r="U123" s="79">
        <v>1</v>
      </c>
      <c r="V123" s="79">
        <v>1</v>
      </c>
      <c r="W123" s="79">
        <v>1</v>
      </c>
      <c r="X123" s="79">
        <v>1</v>
      </c>
      <c r="Y123" s="79">
        <v>1</v>
      </c>
      <c r="Z123" s="79">
        <v>1</v>
      </c>
      <c r="AA123" s="80">
        <v>1</v>
      </c>
      <c r="AB123" s="57">
        <f t="shared" si="1"/>
        <v>120</v>
      </c>
      <c r="AE123" s="59">
        <v>112</v>
      </c>
    </row>
    <row r="124" spans="6:31" x14ac:dyDescent="0.25">
      <c r="AB124" s="57">
        <f t="shared" si="1"/>
        <v>121</v>
      </c>
      <c r="AE124" s="59">
        <v>113</v>
      </c>
    </row>
    <row r="125" spans="6:31" ht="15.75" x14ac:dyDescent="0.25">
      <c r="G125" s="121" t="s">
        <v>234</v>
      </c>
      <c r="H125" s="122"/>
      <c r="I125" s="122"/>
      <c r="J125" s="122"/>
      <c r="K125" s="122"/>
      <c r="L125" s="122"/>
      <c r="M125" s="122"/>
      <c r="N125" s="121" t="s">
        <v>235</v>
      </c>
      <c r="O125" s="122"/>
      <c r="P125" s="122"/>
      <c r="Q125" s="122"/>
      <c r="R125" s="122"/>
      <c r="S125" s="122"/>
      <c r="T125" s="123"/>
      <c r="U125" s="122" t="s">
        <v>237</v>
      </c>
      <c r="V125" s="122"/>
      <c r="W125" s="122"/>
      <c r="X125" s="122"/>
      <c r="Y125" s="122"/>
      <c r="Z125" s="122"/>
      <c r="AA125" s="123"/>
      <c r="AB125" s="57">
        <f t="shared" si="1"/>
        <v>122</v>
      </c>
      <c r="AE125" s="59">
        <v>114</v>
      </c>
    </row>
    <row r="126" spans="6:31" x14ac:dyDescent="0.25">
      <c r="F126" s="58" t="s">
        <v>14</v>
      </c>
      <c r="G126" s="74" t="s">
        <v>224</v>
      </c>
      <c r="H126" s="58" t="s">
        <v>239</v>
      </c>
      <c r="I126" s="58" t="s">
        <v>240</v>
      </c>
      <c r="J126" s="58" t="s">
        <v>241</v>
      </c>
      <c r="K126" s="58" t="s">
        <v>117</v>
      </c>
      <c r="L126" s="58" t="s">
        <v>242</v>
      </c>
      <c r="M126" s="58" t="s">
        <v>243</v>
      </c>
      <c r="N126" s="74" t="s">
        <v>224</v>
      </c>
      <c r="O126" s="58" t="s">
        <v>239</v>
      </c>
      <c r="P126" s="58" t="s">
        <v>240</v>
      </c>
      <c r="Q126" s="58" t="s">
        <v>241</v>
      </c>
      <c r="R126" s="58" t="s">
        <v>117</v>
      </c>
      <c r="S126" s="58" t="s">
        <v>242</v>
      </c>
      <c r="T126" s="75" t="s">
        <v>243</v>
      </c>
      <c r="U126" s="58" t="s">
        <v>224</v>
      </c>
      <c r="V126" s="58" t="s">
        <v>239</v>
      </c>
      <c r="W126" s="58" t="s">
        <v>240</v>
      </c>
      <c r="X126" s="58" t="s">
        <v>241</v>
      </c>
      <c r="Y126" s="58" t="s">
        <v>117</v>
      </c>
      <c r="Z126" s="58" t="s">
        <v>242</v>
      </c>
      <c r="AA126" s="75" t="s">
        <v>243</v>
      </c>
      <c r="AB126" s="57">
        <f t="shared" si="1"/>
        <v>123</v>
      </c>
      <c r="AE126" s="59">
        <v>114</v>
      </c>
    </row>
    <row r="127" spans="6:31" ht="15" customHeight="1" x14ac:dyDescent="0.25">
      <c r="F127" s="57">
        <v>0</v>
      </c>
      <c r="G127" s="76">
        <v>14</v>
      </c>
      <c r="H127" s="57">
        <v>14</v>
      </c>
      <c r="I127" s="57">
        <v>14</v>
      </c>
      <c r="J127" s="57">
        <v>14</v>
      </c>
      <c r="K127" s="57">
        <v>14</v>
      </c>
      <c r="L127" s="57">
        <v>14</v>
      </c>
      <c r="M127" s="57">
        <v>15</v>
      </c>
      <c r="N127" s="76">
        <v>15</v>
      </c>
      <c r="O127" s="57">
        <v>15</v>
      </c>
      <c r="P127" s="57">
        <v>15</v>
      </c>
      <c r="Q127" s="57">
        <v>15</v>
      </c>
      <c r="R127" s="57">
        <v>15</v>
      </c>
      <c r="S127" s="57">
        <v>15</v>
      </c>
      <c r="T127" s="77">
        <v>14</v>
      </c>
      <c r="U127" s="57">
        <v>12</v>
      </c>
      <c r="V127" s="57">
        <v>12</v>
      </c>
      <c r="W127" s="57">
        <v>13</v>
      </c>
      <c r="X127" s="57">
        <v>13</v>
      </c>
      <c r="Y127" s="57">
        <v>14</v>
      </c>
      <c r="Z127" s="57">
        <v>14</v>
      </c>
      <c r="AA127" s="77">
        <v>15</v>
      </c>
      <c r="AB127" s="57">
        <f t="shared" si="1"/>
        <v>124</v>
      </c>
      <c r="AE127" s="59">
        <v>115</v>
      </c>
    </row>
    <row r="128" spans="6:31" ht="15" customHeight="1" x14ac:dyDescent="0.25">
      <c r="F128" s="57">
        <v>1</v>
      </c>
      <c r="G128" s="76">
        <v>12</v>
      </c>
      <c r="H128" s="57">
        <v>12</v>
      </c>
      <c r="I128" s="57">
        <v>12</v>
      </c>
      <c r="J128" s="57">
        <v>12</v>
      </c>
      <c r="K128" s="57">
        <v>12</v>
      </c>
      <c r="L128" s="57">
        <v>12</v>
      </c>
      <c r="M128" s="57">
        <v>13</v>
      </c>
      <c r="N128" s="76">
        <v>13</v>
      </c>
      <c r="O128" s="57">
        <v>14</v>
      </c>
      <c r="P128" s="57">
        <v>14</v>
      </c>
      <c r="Q128" s="57">
        <v>13</v>
      </c>
      <c r="R128" s="57">
        <v>13</v>
      </c>
      <c r="S128" s="57">
        <v>13</v>
      </c>
      <c r="T128" s="77">
        <v>12</v>
      </c>
      <c r="U128" s="57">
        <v>9</v>
      </c>
      <c r="V128" s="57">
        <v>9</v>
      </c>
      <c r="W128" s="57">
        <v>10</v>
      </c>
      <c r="X128" s="57">
        <v>11</v>
      </c>
      <c r="Y128" s="57">
        <v>11</v>
      </c>
      <c r="Z128" s="57">
        <v>12</v>
      </c>
      <c r="AA128" s="77">
        <v>13</v>
      </c>
      <c r="AB128" s="57">
        <f t="shared" si="1"/>
        <v>125</v>
      </c>
      <c r="AE128" s="59">
        <v>115</v>
      </c>
    </row>
    <row r="129" spans="6:31" x14ac:dyDescent="0.25">
      <c r="F129" s="57">
        <v>2</v>
      </c>
      <c r="G129" s="76">
        <v>10</v>
      </c>
      <c r="H129" s="57">
        <v>10</v>
      </c>
      <c r="I129" s="57">
        <v>11</v>
      </c>
      <c r="J129" s="57">
        <v>11</v>
      </c>
      <c r="K129" s="57">
        <v>11</v>
      </c>
      <c r="L129" s="57">
        <v>11</v>
      </c>
      <c r="M129" s="57">
        <v>12</v>
      </c>
      <c r="N129" s="76">
        <v>12</v>
      </c>
      <c r="O129" s="57">
        <v>13</v>
      </c>
      <c r="P129" s="57">
        <v>13</v>
      </c>
      <c r="Q129" s="57">
        <v>12</v>
      </c>
      <c r="R129" s="57">
        <v>12</v>
      </c>
      <c r="S129" s="57">
        <v>12</v>
      </c>
      <c r="T129" s="77">
        <v>11</v>
      </c>
      <c r="U129" s="57">
        <v>7</v>
      </c>
      <c r="V129" s="57">
        <v>8</v>
      </c>
      <c r="W129" s="57">
        <v>9</v>
      </c>
      <c r="X129" s="57">
        <v>10</v>
      </c>
      <c r="Y129" s="57">
        <v>10</v>
      </c>
      <c r="Z129" s="57">
        <v>11</v>
      </c>
      <c r="AA129" s="77">
        <v>12</v>
      </c>
      <c r="AB129" s="57">
        <f t="shared" si="1"/>
        <v>126</v>
      </c>
      <c r="AE129" s="59">
        <v>116</v>
      </c>
    </row>
    <row r="130" spans="6:31" x14ac:dyDescent="0.25">
      <c r="F130" s="57">
        <v>3</v>
      </c>
      <c r="G130" s="76">
        <v>9</v>
      </c>
      <c r="H130" s="57">
        <v>9</v>
      </c>
      <c r="I130" s="57">
        <v>10</v>
      </c>
      <c r="J130" s="57">
        <v>10</v>
      </c>
      <c r="K130" s="57">
        <v>11</v>
      </c>
      <c r="L130" s="57">
        <v>11</v>
      </c>
      <c r="M130" s="57">
        <v>11</v>
      </c>
      <c r="N130" s="76">
        <v>11</v>
      </c>
      <c r="O130" s="57">
        <v>12</v>
      </c>
      <c r="P130" s="57">
        <v>12</v>
      </c>
      <c r="Q130" s="57">
        <v>11</v>
      </c>
      <c r="R130" s="57">
        <v>11</v>
      </c>
      <c r="S130" s="57">
        <v>11</v>
      </c>
      <c r="T130" s="77">
        <v>10</v>
      </c>
      <c r="U130" s="57">
        <v>6</v>
      </c>
      <c r="V130" s="57">
        <v>7</v>
      </c>
      <c r="W130" s="57">
        <v>8</v>
      </c>
      <c r="X130" s="57">
        <v>9</v>
      </c>
      <c r="Y130" s="57">
        <v>10</v>
      </c>
      <c r="Z130" s="57">
        <v>10</v>
      </c>
      <c r="AA130" s="77">
        <v>11</v>
      </c>
      <c r="AB130" s="57">
        <f t="shared" si="1"/>
        <v>127</v>
      </c>
      <c r="AE130" s="59">
        <v>117</v>
      </c>
    </row>
    <row r="131" spans="6:31" x14ac:dyDescent="0.25">
      <c r="F131" s="57">
        <v>4</v>
      </c>
      <c r="G131" s="76">
        <v>9</v>
      </c>
      <c r="H131" s="57">
        <v>9</v>
      </c>
      <c r="I131" s="57">
        <v>9</v>
      </c>
      <c r="J131" s="57">
        <v>10</v>
      </c>
      <c r="K131" s="57">
        <v>10</v>
      </c>
      <c r="L131" s="57">
        <v>10</v>
      </c>
      <c r="M131" s="57">
        <v>11</v>
      </c>
      <c r="N131" s="76">
        <v>10</v>
      </c>
      <c r="O131" s="57">
        <v>11</v>
      </c>
      <c r="P131" s="57">
        <v>11</v>
      </c>
      <c r="Q131" s="57">
        <v>11</v>
      </c>
      <c r="R131" s="57">
        <v>11</v>
      </c>
      <c r="S131" s="57">
        <v>10</v>
      </c>
      <c r="T131" s="77">
        <v>10</v>
      </c>
      <c r="U131" s="57">
        <v>5</v>
      </c>
      <c r="V131" s="57">
        <v>6</v>
      </c>
      <c r="W131" s="57">
        <v>7</v>
      </c>
      <c r="X131" s="57">
        <v>8</v>
      </c>
      <c r="Y131" s="57">
        <v>9</v>
      </c>
      <c r="Z131" s="57">
        <v>9</v>
      </c>
      <c r="AA131" s="77">
        <v>10</v>
      </c>
      <c r="AB131" s="57">
        <f t="shared" si="1"/>
        <v>128</v>
      </c>
      <c r="AE131" s="59">
        <v>117</v>
      </c>
    </row>
    <row r="132" spans="6:31" x14ac:dyDescent="0.25">
      <c r="F132" s="57">
        <v>5</v>
      </c>
      <c r="G132" s="76">
        <v>8</v>
      </c>
      <c r="H132" s="57">
        <v>8</v>
      </c>
      <c r="I132" s="57">
        <v>9</v>
      </c>
      <c r="J132" s="57">
        <v>9</v>
      </c>
      <c r="K132" s="57">
        <v>10</v>
      </c>
      <c r="L132" s="57">
        <v>10</v>
      </c>
      <c r="M132" s="57">
        <v>10</v>
      </c>
      <c r="N132" s="76">
        <v>10</v>
      </c>
      <c r="O132" s="57">
        <v>10</v>
      </c>
      <c r="P132" s="57">
        <v>10</v>
      </c>
      <c r="Q132" s="57">
        <v>10</v>
      </c>
      <c r="R132" s="57">
        <v>10</v>
      </c>
      <c r="S132" s="57">
        <v>10</v>
      </c>
      <c r="T132" s="77">
        <v>9</v>
      </c>
      <c r="U132" s="57">
        <v>5</v>
      </c>
      <c r="V132" s="57">
        <v>6</v>
      </c>
      <c r="W132" s="57">
        <v>7</v>
      </c>
      <c r="X132" s="57">
        <v>7</v>
      </c>
      <c r="Y132" s="57">
        <v>8</v>
      </c>
      <c r="Z132" s="57">
        <v>9</v>
      </c>
      <c r="AA132" s="77">
        <v>9</v>
      </c>
      <c r="AB132" s="57">
        <f t="shared" si="1"/>
        <v>129</v>
      </c>
      <c r="AE132" s="59">
        <v>118</v>
      </c>
    </row>
    <row r="133" spans="6:31" x14ac:dyDescent="0.25">
      <c r="F133" s="57">
        <v>6</v>
      </c>
      <c r="G133" s="76">
        <v>7</v>
      </c>
      <c r="H133" s="57">
        <v>8</v>
      </c>
      <c r="I133" s="57">
        <v>8</v>
      </c>
      <c r="J133" s="57">
        <v>9</v>
      </c>
      <c r="K133" s="57">
        <v>9</v>
      </c>
      <c r="L133" s="57">
        <v>9</v>
      </c>
      <c r="M133" s="57">
        <v>10</v>
      </c>
      <c r="N133" s="76">
        <v>9</v>
      </c>
      <c r="O133" s="57">
        <v>10</v>
      </c>
      <c r="P133" s="57">
        <v>10</v>
      </c>
      <c r="Q133" s="57">
        <v>10</v>
      </c>
      <c r="R133" s="57">
        <v>10</v>
      </c>
      <c r="S133" s="57">
        <v>9</v>
      </c>
      <c r="T133" s="77">
        <v>9</v>
      </c>
      <c r="U133" s="57">
        <v>4</v>
      </c>
      <c r="V133" s="57">
        <v>5</v>
      </c>
      <c r="W133" s="57">
        <v>6</v>
      </c>
      <c r="X133" s="57">
        <v>7</v>
      </c>
      <c r="Y133" s="57">
        <v>8</v>
      </c>
      <c r="Z133" s="57">
        <v>8</v>
      </c>
      <c r="AA133" s="77">
        <v>9</v>
      </c>
      <c r="AB133" s="57">
        <f t="shared" si="1"/>
        <v>130</v>
      </c>
      <c r="AE133" s="59">
        <v>119</v>
      </c>
    </row>
    <row r="134" spans="6:31" x14ac:dyDescent="0.25">
      <c r="F134" s="57">
        <v>7</v>
      </c>
      <c r="G134" s="76">
        <v>7</v>
      </c>
      <c r="H134" s="57">
        <v>7</v>
      </c>
      <c r="I134" s="57">
        <v>8</v>
      </c>
      <c r="J134" s="57">
        <v>8</v>
      </c>
      <c r="K134" s="57">
        <v>9</v>
      </c>
      <c r="L134" s="57">
        <v>9</v>
      </c>
      <c r="M134" s="57">
        <v>9</v>
      </c>
      <c r="N134" s="76">
        <v>9</v>
      </c>
      <c r="O134" s="57">
        <v>9</v>
      </c>
      <c r="P134" s="57">
        <v>9</v>
      </c>
      <c r="Q134" s="57">
        <v>9</v>
      </c>
      <c r="R134" s="57">
        <v>9</v>
      </c>
      <c r="S134" s="57">
        <v>9</v>
      </c>
      <c r="T134" s="77">
        <v>8</v>
      </c>
      <c r="U134" s="57">
        <v>4</v>
      </c>
      <c r="V134" s="57">
        <v>5</v>
      </c>
      <c r="W134" s="57">
        <v>6</v>
      </c>
      <c r="X134" s="57">
        <v>6</v>
      </c>
      <c r="Y134" s="57">
        <v>7</v>
      </c>
      <c r="Z134" s="57">
        <v>8</v>
      </c>
      <c r="AA134" s="77">
        <v>8</v>
      </c>
      <c r="AB134" s="57">
        <f t="shared" si="1"/>
        <v>131</v>
      </c>
      <c r="AE134" s="59">
        <v>119</v>
      </c>
    </row>
    <row r="135" spans="6:31" x14ac:dyDescent="0.25">
      <c r="F135" s="57">
        <v>8</v>
      </c>
      <c r="G135" s="76">
        <v>6</v>
      </c>
      <c r="H135" s="57">
        <v>7</v>
      </c>
      <c r="I135" s="57">
        <v>7</v>
      </c>
      <c r="J135" s="57">
        <v>8</v>
      </c>
      <c r="K135" s="57">
        <v>8</v>
      </c>
      <c r="L135" s="57">
        <v>8</v>
      </c>
      <c r="M135" s="57">
        <v>9</v>
      </c>
      <c r="N135" s="76">
        <v>8</v>
      </c>
      <c r="O135" s="57">
        <v>9</v>
      </c>
      <c r="P135" s="57">
        <v>9</v>
      </c>
      <c r="Q135" s="57">
        <v>9</v>
      </c>
      <c r="R135" s="57">
        <v>9</v>
      </c>
      <c r="S135" s="57">
        <v>8</v>
      </c>
      <c r="T135" s="77">
        <v>8</v>
      </c>
      <c r="U135" s="57">
        <v>3</v>
      </c>
      <c r="V135" s="57">
        <v>4</v>
      </c>
      <c r="W135" s="57">
        <v>5</v>
      </c>
      <c r="X135" s="57">
        <v>6</v>
      </c>
      <c r="Y135" s="57">
        <v>7</v>
      </c>
      <c r="Z135" s="57">
        <v>7</v>
      </c>
      <c r="AA135" s="77">
        <v>8</v>
      </c>
      <c r="AB135" s="57">
        <f t="shared" si="1"/>
        <v>132</v>
      </c>
      <c r="AE135" s="59">
        <v>120</v>
      </c>
    </row>
    <row r="136" spans="6:31" x14ac:dyDescent="0.25">
      <c r="F136" s="57">
        <v>9</v>
      </c>
      <c r="G136" s="76">
        <v>6</v>
      </c>
      <c r="H136" s="57">
        <v>6</v>
      </c>
      <c r="I136" s="57">
        <v>7</v>
      </c>
      <c r="J136" s="57">
        <v>7</v>
      </c>
      <c r="K136" s="57">
        <v>8</v>
      </c>
      <c r="L136" s="57">
        <v>8</v>
      </c>
      <c r="M136" s="57">
        <v>8</v>
      </c>
      <c r="N136" s="76">
        <v>8</v>
      </c>
      <c r="O136" s="57">
        <v>8</v>
      </c>
      <c r="P136" s="57">
        <v>8</v>
      </c>
      <c r="Q136" s="57">
        <v>8</v>
      </c>
      <c r="R136" s="57">
        <v>8</v>
      </c>
      <c r="S136" s="57">
        <v>8</v>
      </c>
      <c r="T136" s="77">
        <v>7</v>
      </c>
      <c r="U136" s="57">
        <v>3</v>
      </c>
      <c r="V136" s="57">
        <v>4</v>
      </c>
      <c r="W136" s="57">
        <v>5</v>
      </c>
      <c r="X136" s="57">
        <v>6</v>
      </c>
      <c r="Y136" s="57">
        <v>6</v>
      </c>
      <c r="Z136" s="57">
        <v>7</v>
      </c>
      <c r="AA136" s="77">
        <v>7</v>
      </c>
      <c r="AB136" s="57">
        <f t="shared" si="1"/>
        <v>133</v>
      </c>
      <c r="AE136" s="59">
        <v>121</v>
      </c>
    </row>
    <row r="137" spans="6:31" x14ac:dyDescent="0.25">
      <c r="F137" s="57">
        <v>10</v>
      </c>
      <c r="G137" s="76">
        <v>6</v>
      </c>
      <c r="H137" s="57">
        <v>6</v>
      </c>
      <c r="I137" s="57">
        <v>6</v>
      </c>
      <c r="J137" s="57">
        <v>7</v>
      </c>
      <c r="K137" s="57">
        <v>7</v>
      </c>
      <c r="L137" s="57">
        <v>8</v>
      </c>
      <c r="M137" s="57">
        <v>8</v>
      </c>
      <c r="N137" s="76">
        <v>7</v>
      </c>
      <c r="O137" s="57">
        <v>8</v>
      </c>
      <c r="P137" s="57">
        <v>8</v>
      </c>
      <c r="Q137" s="57">
        <v>8</v>
      </c>
      <c r="R137" s="57">
        <v>8</v>
      </c>
      <c r="S137" s="57">
        <v>7</v>
      </c>
      <c r="T137" s="77">
        <v>7</v>
      </c>
      <c r="U137" s="57">
        <v>2</v>
      </c>
      <c r="V137" s="57">
        <v>3</v>
      </c>
      <c r="W137" s="57">
        <v>4</v>
      </c>
      <c r="X137" s="57">
        <v>5</v>
      </c>
      <c r="Y137" s="57">
        <v>6</v>
      </c>
      <c r="Z137" s="57">
        <v>6</v>
      </c>
      <c r="AA137" s="77">
        <v>7</v>
      </c>
      <c r="AB137" s="57">
        <f t="shared" ref="AB137:AB193" si="2">AB136+1</f>
        <v>134</v>
      </c>
      <c r="AE137" s="59">
        <v>121</v>
      </c>
    </row>
    <row r="138" spans="6:31" x14ac:dyDescent="0.25">
      <c r="F138" s="57">
        <v>11</v>
      </c>
      <c r="G138" s="76">
        <v>5</v>
      </c>
      <c r="H138" s="57">
        <v>6</v>
      </c>
      <c r="I138" s="57">
        <v>6</v>
      </c>
      <c r="J138" s="57">
        <v>6</v>
      </c>
      <c r="K138" s="57">
        <v>7</v>
      </c>
      <c r="L138" s="57">
        <v>7</v>
      </c>
      <c r="M138" s="57">
        <v>8</v>
      </c>
      <c r="N138" s="76">
        <v>7</v>
      </c>
      <c r="O138" s="57">
        <v>7</v>
      </c>
      <c r="P138" s="57">
        <v>8</v>
      </c>
      <c r="Q138" s="57">
        <v>8</v>
      </c>
      <c r="R138" s="57">
        <v>7</v>
      </c>
      <c r="S138" s="57">
        <v>7</v>
      </c>
      <c r="T138" s="77">
        <v>7</v>
      </c>
      <c r="U138" s="57">
        <v>2</v>
      </c>
      <c r="V138" s="57">
        <v>3</v>
      </c>
      <c r="W138" s="57">
        <v>4</v>
      </c>
      <c r="X138" s="57">
        <v>5</v>
      </c>
      <c r="Y138" s="57">
        <v>5</v>
      </c>
      <c r="Z138" s="57">
        <v>6</v>
      </c>
      <c r="AA138" s="77">
        <v>6</v>
      </c>
      <c r="AB138" s="57">
        <f t="shared" si="2"/>
        <v>135</v>
      </c>
      <c r="AE138" s="59">
        <v>122</v>
      </c>
    </row>
    <row r="139" spans="6:31" x14ac:dyDescent="0.25">
      <c r="F139" s="57">
        <v>12</v>
      </c>
      <c r="G139" s="76">
        <v>5</v>
      </c>
      <c r="H139" s="57">
        <v>5</v>
      </c>
      <c r="I139" s="57">
        <v>6</v>
      </c>
      <c r="J139" s="57">
        <v>6</v>
      </c>
      <c r="K139" s="57">
        <v>6</v>
      </c>
      <c r="L139" s="57">
        <v>7</v>
      </c>
      <c r="M139" s="57">
        <v>7</v>
      </c>
      <c r="N139" s="76">
        <v>7</v>
      </c>
      <c r="O139" s="57">
        <v>7</v>
      </c>
      <c r="P139" s="57">
        <v>7</v>
      </c>
      <c r="Q139" s="57">
        <v>7</v>
      </c>
      <c r="R139" s="57">
        <v>7</v>
      </c>
      <c r="S139" s="57">
        <v>7</v>
      </c>
      <c r="T139" s="77">
        <v>6</v>
      </c>
      <c r="U139" s="57">
        <v>2</v>
      </c>
      <c r="V139" s="57">
        <v>3</v>
      </c>
      <c r="W139" s="57">
        <v>4</v>
      </c>
      <c r="X139" s="57">
        <v>4</v>
      </c>
      <c r="Y139" s="57">
        <v>5</v>
      </c>
      <c r="Z139" s="57">
        <v>5</v>
      </c>
      <c r="AA139" s="77">
        <v>6</v>
      </c>
      <c r="AB139" s="57">
        <f t="shared" si="2"/>
        <v>136</v>
      </c>
      <c r="AE139" s="59">
        <v>122</v>
      </c>
    </row>
    <row r="140" spans="6:31" x14ac:dyDescent="0.25">
      <c r="F140" s="57">
        <v>13</v>
      </c>
      <c r="G140" s="76">
        <v>5</v>
      </c>
      <c r="H140" s="57">
        <v>5</v>
      </c>
      <c r="I140" s="57">
        <v>5</v>
      </c>
      <c r="J140" s="57">
        <v>6</v>
      </c>
      <c r="K140" s="57">
        <v>6</v>
      </c>
      <c r="L140" s="57">
        <v>7</v>
      </c>
      <c r="M140" s="57">
        <v>7</v>
      </c>
      <c r="N140" s="76">
        <v>6</v>
      </c>
      <c r="O140" s="57">
        <v>7</v>
      </c>
      <c r="P140" s="57">
        <v>7</v>
      </c>
      <c r="Q140" s="57">
        <v>7</v>
      </c>
      <c r="R140" s="57">
        <v>7</v>
      </c>
      <c r="S140" s="57">
        <v>6</v>
      </c>
      <c r="T140" s="77">
        <v>6</v>
      </c>
      <c r="U140" s="57">
        <v>1</v>
      </c>
      <c r="V140" s="57">
        <v>2</v>
      </c>
      <c r="W140" s="57">
        <v>3</v>
      </c>
      <c r="X140" s="57">
        <v>4</v>
      </c>
      <c r="Y140" s="57">
        <v>4</v>
      </c>
      <c r="Z140" s="57">
        <v>5</v>
      </c>
      <c r="AA140" s="77">
        <v>5</v>
      </c>
      <c r="AB140" s="57">
        <f t="shared" si="2"/>
        <v>137</v>
      </c>
      <c r="AE140" s="59">
        <v>123</v>
      </c>
    </row>
    <row r="141" spans="6:31" x14ac:dyDescent="0.25">
      <c r="F141" s="57">
        <v>14</v>
      </c>
      <c r="G141" s="76">
        <v>5</v>
      </c>
      <c r="H141" s="57">
        <v>5</v>
      </c>
      <c r="I141" s="57">
        <v>5</v>
      </c>
      <c r="J141" s="57">
        <v>5</v>
      </c>
      <c r="K141" s="57">
        <v>6</v>
      </c>
      <c r="L141" s="57">
        <v>6</v>
      </c>
      <c r="M141" s="57">
        <v>7</v>
      </c>
      <c r="N141" s="76">
        <v>6</v>
      </c>
      <c r="O141" s="57">
        <v>6</v>
      </c>
      <c r="P141" s="57">
        <v>7</v>
      </c>
      <c r="Q141" s="57">
        <v>7</v>
      </c>
      <c r="R141" s="57">
        <v>6</v>
      </c>
      <c r="S141" s="57">
        <v>6</v>
      </c>
      <c r="T141" s="77">
        <v>6</v>
      </c>
      <c r="U141" s="57">
        <v>1</v>
      </c>
      <c r="V141" s="57">
        <v>2</v>
      </c>
      <c r="W141" s="57">
        <v>3</v>
      </c>
      <c r="X141" s="57">
        <v>4</v>
      </c>
      <c r="Y141" s="57">
        <v>4</v>
      </c>
      <c r="Z141" s="57">
        <v>4</v>
      </c>
      <c r="AA141" s="77">
        <v>5</v>
      </c>
      <c r="AB141" s="57">
        <f t="shared" si="2"/>
        <v>138</v>
      </c>
      <c r="AE141" s="59">
        <v>123</v>
      </c>
    </row>
    <row r="142" spans="6:31" x14ac:dyDescent="0.25">
      <c r="F142" s="57">
        <v>15</v>
      </c>
      <c r="G142" s="76">
        <v>4</v>
      </c>
      <c r="H142" s="57">
        <v>5</v>
      </c>
      <c r="I142" s="57">
        <v>5</v>
      </c>
      <c r="J142" s="57">
        <v>5</v>
      </c>
      <c r="K142" s="57">
        <v>5</v>
      </c>
      <c r="L142" s="57">
        <v>6</v>
      </c>
      <c r="M142" s="57">
        <v>6</v>
      </c>
      <c r="N142" s="76">
        <v>6</v>
      </c>
      <c r="O142" s="57">
        <v>6</v>
      </c>
      <c r="P142" s="57">
        <v>6</v>
      </c>
      <c r="Q142" s="57">
        <v>6</v>
      </c>
      <c r="R142" s="57">
        <v>6</v>
      </c>
      <c r="S142" s="57">
        <v>6</v>
      </c>
      <c r="T142" s="77">
        <v>6</v>
      </c>
      <c r="U142" s="57">
        <v>1</v>
      </c>
      <c r="V142" s="57">
        <v>2</v>
      </c>
      <c r="W142" s="57">
        <v>2</v>
      </c>
      <c r="X142" s="57">
        <v>3</v>
      </c>
      <c r="Y142" s="57">
        <v>4</v>
      </c>
      <c r="Z142" s="57">
        <v>4</v>
      </c>
      <c r="AA142" s="77">
        <v>4</v>
      </c>
      <c r="AB142" s="57">
        <f t="shared" si="2"/>
        <v>139</v>
      </c>
      <c r="AE142" s="59">
        <v>124</v>
      </c>
    </row>
    <row r="143" spans="6:31" x14ac:dyDescent="0.25">
      <c r="F143" s="57">
        <v>16</v>
      </c>
      <c r="G143" s="76">
        <v>4</v>
      </c>
      <c r="H143" s="57">
        <v>4</v>
      </c>
      <c r="I143" s="57">
        <v>5</v>
      </c>
      <c r="J143" s="57">
        <v>5</v>
      </c>
      <c r="K143" s="57">
        <v>5</v>
      </c>
      <c r="L143" s="57">
        <v>6</v>
      </c>
      <c r="M143" s="57">
        <v>6</v>
      </c>
      <c r="N143" s="76">
        <v>5</v>
      </c>
      <c r="O143" s="57">
        <v>6</v>
      </c>
      <c r="P143" s="57">
        <v>6</v>
      </c>
      <c r="Q143" s="57">
        <v>6</v>
      </c>
      <c r="R143" s="57">
        <v>6</v>
      </c>
      <c r="S143" s="57">
        <v>6</v>
      </c>
      <c r="T143" s="77">
        <v>5</v>
      </c>
      <c r="U143" s="57">
        <v>1</v>
      </c>
      <c r="V143" s="57">
        <v>1</v>
      </c>
      <c r="W143" s="57">
        <v>2</v>
      </c>
      <c r="X143" s="57">
        <v>3</v>
      </c>
      <c r="Y143" s="57">
        <v>3</v>
      </c>
      <c r="Z143" s="57">
        <v>4</v>
      </c>
      <c r="AA143" s="77">
        <v>4</v>
      </c>
      <c r="AB143" s="57">
        <f t="shared" si="2"/>
        <v>140</v>
      </c>
      <c r="AE143" s="59">
        <v>125</v>
      </c>
    </row>
    <row r="144" spans="6:31" x14ac:dyDescent="0.25">
      <c r="F144" s="57">
        <v>17</v>
      </c>
      <c r="G144" s="76">
        <v>4</v>
      </c>
      <c r="H144" s="57">
        <v>4</v>
      </c>
      <c r="I144" s="57">
        <v>4</v>
      </c>
      <c r="J144" s="57">
        <v>5</v>
      </c>
      <c r="K144" s="57">
        <v>5</v>
      </c>
      <c r="L144" s="57">
        <v>5</v>
      </c>
      <c r="M144" s="57">
        <v>6</v>
      </c>
      <c r="N144" s="76">
        <v>5</v>
      </c>
      <c r="O144" s="57">
        <v>6</v>
      </c>
      <c r="P144" s="57">
        <v>6</v>
      </c>
      <c r="Q144" s="57">
        <v>6</v>
      </c>
      <c r="R144" s="57">
        <v>6</v>
      </c>
      <c r="S144" s="57">
        <v>5</v>
      </c>
      <c r="T144" s="77">
        <v>5</v>
      </c>
      <c r="U144" s="57">
        <v>1</v>
      </c>
      <c r="V144" s="57">
        <v>1</v>
      </c>
      <c r="W144" s="57">
        <v>2</v>
      </c>
      <c r="X144" s="57">
        <v>2</v>
      </c>
      <c r="Y144" s="57">
        <v>3</v>
      </c>
      <c r="Z144" s="57">
        <v>3</v>
      </c>
      <c r="AA144" s="77">
        <v>4</v>
      </c>
      <c r="AB144" s="57">
        <f t="shared" si="2"/>
        <v>141</v>
      </c>
      <c r="AE144" s="59">
        <v>125</v>
      </c>
    </row>
    <row r="145" spans="6:31" x14ac:dyDescent="0.25">
      <c r="F145" s="57">
        <v>18</v>
      </c>
      <c r="G145" s="76">
        <v>4</v>
      </c>
      <c r="H145" s="57">
        <v>4</v>
      </c>
      <c r="I145" s="57">
        <v>4</v>
      </c>
      <c r="J145" s="57">
        <v>4</v>
      </c>
      <c r="K145" s="57">
        <v>5</v>
      </c>
      <c r="L145" s="57">
        <v>5</v>
      </c>
      <c r="M145" s="57">
        <v>5</v>
      </c>
      <c r="N145" s="76">
        <v>5</v>
      </c>
      <c r="O145" s="57">
        <v>5</v>
      </c>
      <c r="P145" s="57">
        <v>6</v>
      </c>
      <c r="Q145" s="57">
        <v>5</v>
      </c>
      <c r="R145" s="57">
        <v>5</v>
      </c>
      <c r="S145" s="57">
        <v>5</v>
      </c>
      <c r="T145" s="77">
        <v>5</v>
      </c>
      <c r="U145" s="57">
        <v>1</v>
      </c>
      <c r="V145" s="57">
        <v>1</v>
      </c>
      <c r="W145" s="57">
        <v>1</v>
      </c>
      <c r="X145" s="57">
        <v>2</v>
      </c>
      <c r="Y145" s="57">
        <v>2</v>
      </c>
      <c r="Z145" s="57">
        <v>3</v>
      </c>
      <c r="AA145" s="77">
        <v>3</v>
      </c>
      <c r="AB145" s="57">
        <f t="shared" si="2"/>
        <v>142</v>
      </c>
      <c r="AE145" s="59">
        <v>126</v>
      </c>
    </row>
    <row r="146" spans="6:31" x14ac:dyDescent="0.25">
      <c r="F146" s="57">
        <v>19</v>
      </c>
      <c r="G146" s="76">
        <v>4</v>
      </c>
      <c r="H146" s="57">
        <v>4</v>
      </c>
      <c r="I146" s="57">
        <v>4</v>
      </c>
      <c r="J146" s="57">
        <v>4</v>
      </c>
      <c r="K146" s="57">
        <v>4</v>
      </c>
      <c r="L146" s="57">
        <v>5</v>
      </c>
      <c r="M146" s="57">
        <v>5</v>
      </c>
      <c r="N146" s="76">
        <v>5</v>
      </c>
      <c r="O146" s="57">
        <v>5</v>
      </c>
      <c r="P146" s="57">
        <v>5</v>
      </c>
      <c r="Q146" s="57">
        <v>5</v>
      </c>
      <c r="R146" s="57">
        <v>5</v>
      </c>
      <c r="S146" s="57">
        <v>5</v>
      </c>
      <c r="T146" s="77">
        <v>5</v>
      </c>
      <c r="U146" s="57">
        <v>1</v>
      </c>
      <c r="V146" s="57">
        <v>1</v>
      </c>
      <c r="W146" s="57">
        <v>1</v>
      </c>
      <c r="X146" s="57">
        <v>2</v>
      </c>
      <c r="Y146" s="57">
        <v>2</v>
      </c>
      <c r="Z146" s="57">
        <v>2</v>
      </c>
      <c r="AA146" s="77">
        <v>3</v>
      </c>
      <c r="AB146" s="57">
        <f t="shared" si="2"/>
        <v>143</v>
      </c>
      <c r="AE146" s="59">
        <v>127</v>
      </c>
    </row>
    <row r="147" spans="6:31" x14ac:dyDescent="0.25">
      <c r="F147" s="57">
        <v>20</v>
      </c>
      <c r="G147" s="76">
        <v>3</v>
      </c>
      <c r="H147" s="57">
        <v>4</v>
      </c>
      <c r="I147" s="57">
        <v>4</v>
      </c>
      <c r="J147" s="57">
        <v>4</v>
      </c>
      <c r="K147" s="57">
        <v>4</v>
      </c>
      <c r="L147" s="57">
        <v>5</v>
      </c>
      <c r="M147" s="57">
        <v>5</v>
      </c>
      <c r="N147" s="76">
        <v>4</v>
      </c>
      <c r="O147" s="57">
        <v>5</v>
      </c>
      <c r="P147" s="57">
        <v>5</v>
      </c>
      <c r="Q147" s="57">
        <v>5</v>
      </c>
      <c r="R147" s="57">
        <v>5</v>
      </c>
      <c r="S147" s="57">
        <v>5</v>
      </c>
      <c r="T147" s="77">
        <v>5</v>
      </c>
      <c r="U147" s="57">
        <v>1</v>
      </c>
      <c r="V147" s="57">
        <v>1</v>
      </c>
      <c r="W147" s="57">
        <v>1</v>
      </c>
      <c r="X147" s="57">
        <v>1</v>
      </c>
      <c r="Y147" s="57">
        <v>2</v>
      </c>
      <c r="Z147" s="57">
        <v>2</v>
      </c>
      <c r="AA147" s="77">
        <v>2</v>
      </c>
      <c r="AB147" s="57">
        <f t="shared" si="2"/>
        <v>144</v>
      </c>
      <c r="AE147" s="59">
        <v>128</v>
      </c>
    </row>
    <row r="148" spans="6:31" x14ac:dyDescent="0.25">
      <c r="F148" s="57">
        <v>21</v>
      </c>
      <c r="G148" s="76">
        <v>3</v>
      </c>
      <c r="H148" s="57">
        <v>3</v>
      </c>
      <c r="I148" s="57">
        <v>4</v>
      </c>
      <c r="J148" s="57">
        <v>4</v>
      </c>
      <c r="K148" s="57">
        <v>4</v>
      </c>
      <c r="L148" s="57">
        <v>4</v>
      </c>
      <c r="M148" s="57">
        <v>5</v>
      </c>
      <c r="N148" s="76">
        <v>4</v>
      </c>
      <c r="O148" s="57">
        <v>5</v>
      </c>
      <c r="P148" s="57">
        <v>5</v>
      </c>
      <c r="Q148" s="57">
        <v>5</v>
      </c>
      <c r="R148" s="57">
        <v>5</v>
      </c>
      <c r="S148" s="57">
        <v>5</v>
      </c>
      <c r="T148" s="77">
        <v>4</v>
      </c>
      <c r="U148" s="57">
        <v>1</v>
      </c>
      <c r="V148" s="57">
        <v>1</v>
      </c>
      <c r="W148" s="57">
        <v>1</v>
      </c>
      <c r="X148" s="57">
        <v>1</v>
      </c>
      <c r="Y148" s="57">
        <v>1</v>
      </c>
      <c r="Z148" s="57">
        <v>2</v>
      </c>
      <c r="AA148" s="77">
        <v>2</v>
      </c>
      <c r="AB148" s="57">
        <f t="shared" si="2"/>
        <v>145</v>
      </c>
      <c r="AE148" s="59">
        <v>129</v>
      </c>
    </row>
    <row r="149" spans="6:31" x14ac:dyDescent="0.25">
      <c r="F149" s="57">
        <v>22</v>
      </c>
      <c r="G149" s="76">
        <v>3</v>
      </c>
      <c r="H149" s="57">
        <v>3</v>
      </c>
      <c r="I149" s="57">
        <v>3</v>
      </c>
      <c r="J149" s="57">
        <v>4</v>
      </c>
      <c r="K149" s="57">
        <v>4</v>
      </c>
      <c r="L149" s="57">
        <v>4</v>
      </c>
      <c r="M149" s="57">
        <v>4</v>
      </c>
      <c r="N149" s="76">
        <v>4</v>
      </c>
      <c r="O149" s="57">
        <v>4</v>
      </c>
      <c r="P149" s="57">
        <v>5</v>
      </c>
      <c r="Q149" s="57">
        <v>4</v>
      </c>
      <c r="R149" s="57">
        <v>5</v>
      </c>
      <c r="S149" s="57">
        <v>4</v>
      </c>
      <c r="T149" s="77">
        <v>4</v>
      </c>
      <c r="U149" s="57">
        <v>1</v>
      </c>
      <c r="V149" s="57">
        <v>1</v>
      </c>
      <c r="W149" s="57">
        <v>1</v>
      </c>
      <c r="X149" s="57">
        <v>1</v>
      </c>
      <c r="Y149" s="57">
        <v>1</v>
      </c>
      <c r="Z149" s="57">
        <v>1</v>
      </c>
      <c r="AA149" s="77">
        <v>2</v>
      </c>
      <c r="AB149" s="57">
        <f t="shared" si="2"/>
        <v>146</v>
      </c>
      <c r="AE149" s="59">
        <v>129</v>
      </c>
    </row>
    <row r="150" spans="6:31" x14ac:dyDescent="0.25">
      <c r="F150" s="57">
        <v>23</v>
      </c>
      <c r="G150" s="76">
        <v>3</v>
      </c>
      <c r="H150" s="57">
        <v>3</v>
      </c>
      <c r="I150" s="57">
        <v>3</v>
      </c>
      <c r="J150" s="57">
        <v>3</v>
      </c>
      <c r="K150" s="57">
        <v>4</v>
      </c>
      <c r="L150" s="57">
        <v>4</v>
      </c>
      <c r="M150" s="57">
        <v>4</v>
      </c>
      <c r="N150" s="76">
        <v>4</v>
      </c>
      <c r="O150" s="57">
        <v>4</v>
      </c>
      <c r="P150" s="57">
        <v>4</v>
      </c>
      <c r="Q150" s="57">
        <v>4</v>
      </c>
      <c r="R150" s="57">
        <v>4</v>
      </c>
      <c r="S150" s="57">
        <v>4</v>
      </c>
      <c r="T150" s="77">
        <v>4</v>
      </c>
      <c r="U150" s="57">
        <v>1</v>
      </c>
      <c r="V150" s="57">
        <v>1</v>
      </c>
      <c r="W150" s="57">
        <v>1</v>
      </c>
      <c r="X150" s="57">
        <v>1</v>
      </c>
      <c r="Y150" s="57">
        <v>1</v>
      </c>
      <c r="Z150" s="57">
        <v>1</v>
      </c>
      <c r="AA150" s="77">
        <v>1</v>
      </c>
      <c r="AB150" s="57">
        <f t="shared" si="2"/>
        <v>147</v>
      </c>
      <c r="AE150" s="59">
        <v>130</v>
      </c>
    </row>
    <row r="151" spans="6:31" x14ac:dyDescent="0.25">
      <c r="F151" s="57">
        <v>24</v>
      </c>
      <c r="G151" s="76">
        <v>2</v>
      </c>
      <c r="H151" s="57">
        <v>3</v>
      </c>
      <c r="I151" s="57">
        <v>3</v>
      </c>
      <c r="J151" s="57">
        <v>3</v>
      </c>
      <c r="K151" s="57">
        <v>3</v>
      </c>
      <c r="L151" s="57">
        <v>4</v>
      </c>
      <c r="M151" s="57">
        <v>4</v>
      </c>
      <c r="N151" s="76">
        <v>3</v>
      </c>
      <c r="O151" s="57">
        <v>4</v>
      </c>
      <c r="P151" s="57">
        <v>4</v>
      </c>
      <c r="Q151" s="57">
        <v>4</v>
      </c>
      <c r="R151" s="57">
        <v>4</v>
      </c>
      <c r="S151" s="57">
        <v>4</v>
      </c>
      <c r="T151" s="77">
        <v>4</v>
      </c>
      <c r="U151" s="57">
        <v>1</v>
      </c>
      <c r="V151" s="57">
        <v>1</v>
      </c>
      <c r="W151" s="57">
        <v>1</v>
      </c>
      <c r="X151" s="57">
        <v>1</v>
      </c>
      <c r="Y151" s="57">
        <v>1</v>
      </c>
      <c r="Z151" s="57">
        <v>1</v>
      </c>
      <c r="AA151" s="77">
        <v>1</v>
      </c>
      <c r="AB151" s="57">
        <f t="shared" si="2"/>
        <v>148</v>
      </c>
      <c r="AE151" s="59">
        <v>131</v>
      </c>
    </row>
    <row r="152" spans="6:31" x14ac:dyDescent="0.25">
      <c r="F152" s="57">
        <v>25</v>
      </c>
      <c r="G152" s="76">
        <v>2</v>
      </c>
      <c r="H152" s="57">
        <v>2</v>
      </c>
      <c r="I152" s="57">
        <v>3</v>
      </c>
      <c r="J152" s="57">
        <v>3</v>
      </c>
      <c r="K152" s="57">
        <v>3</v>
      </c>
      <c r="L152" s="57">
        <v>4</v>
      </c>
      <c r="M152" s="57">
        <v>4</v>
      </c>
      <c r="N152" s="76">
        <v>3</v>
      </c>
      <c r="O152" s="57">
        <v>4</v>
      </c>
      <c r="P152" s="57">
        <v>4</v>
      </c>
      <c r="Q152" s="57">
        <v>4</v>
      </c>
      <c r="R152" s="57">
        <v>4</v>
      </c>
      <c r="S152" s="57">
        <v>4</v>
      </c>
      <c r="T152" s="77">
        <v>3</v>
      </c>
      <c r="U152" s="57">
        <v>1</v>
      </c>
      <c r="V152" s="57">
        <v>1</v>
      </c>
      <c r="W152" s="57">
        <v>1</v>
      </c>
      <c r="X152" s="57">
        <v>1</v>
      </c>
      <c r="Y152" s="57">
        <v>1</v>
      </c>
      <c r="Z152" s="57">
        <v>1</v>
      </c>
      <c r="AA152" s="77">
        <v>1</v>
      </c>
      <c r="AB152" s="57">
        <f t="shared" si="2"/>
        <v>149</v>
      </c>
      <c r="AE152" s="59">
        <v>132</v>
      </c>
    </row>
    <row r="153" spans="6:31" x14ac:dyDescent="0.25">
      <c r="F153" s="57">
        <v>26</v>
      </c>
      <c r="G153" s="76">
        <v>2</v>
      </c>
      <c r="H153" s="57">
        <v>2</v>
      </c>
      <c r="I153" s="57">
        <v>2</v>
      </c>
      <c r="J153" s="57">
        <v>3</v>
      </c>
      <c r="K153" s="57">
        <v>3</v>
      </c>
      <c r="L153" s="57">
        <v>3</v>
      </c>
      <c r="M153" s="57">
        <v>4</v>
      </c>
      <c r="N153" s="76">
        <v>3</v>
      </c>
      <c r="O153" s="57">
        <v>3</v>
      </c>
      <c r="P153" s="57">
        <v>4</v>
      </c>
      <c r="Q153" s="57">
        <v>4</v>
      </c>
      <c r="R153" s="57">
        <v>4</v>
      </c>
      <c r="S153" s="57">
        <v>3</v>
      </c>
      <c r="T153" s="77">
        <v>3</v>
      </c>
      <c r="U153" s="57">
        <v>1</v>
      </c>
      <c r="V153" s="57">
        <v>1</v>
      </c>
      <c r="W153" s="57">
        <v>1</v>
      </c>
      <c r="X153" s="57">
        <v>1</v>
      </c>
      <c r="Y153" s="57">
        <v>1</v>
      </c>
      <c r="Z153" s="57">
        <v>1</v>
      </c>
      <c r="AA153" s="77">
        <v>1</v>
      </c>
      <c r="AB153" s="57">
        <f t="shared" si="2"/>
        <v>150</v>
      </c>
      <c r="AE153" s="59">
        <v>132</v>
      </c>
    </row>
    <row r="154" spans="6:31" x14ac:dyDescent="0.25">
      <c r="F154" s="57">
        <v>27</v>
      </c>
      <c r="G154" s="76">
        <v>2</v>
      </c>
      <c r="H154" s="57">
        <v>2</v>
      </c>
      <c r="I154" s="57">
        <v>2</v>
      </c>
      <c r="J154" s="57">
        <v>2</v>
      </c>
      <c r="K154" s="57">
        <v>3</v>
      </c>
      <c r="L154" s="57">
        <v>3</v>
      </c>
      <c r="M154" s="57">
        <v>3</v>
      </c>
      <c r="N154" s="76">
        <v>3</v>
      </c>
      <c r="O154" s="57">
        <v>3</v>
      </c>
      <c r="P154" s="57">
        <v>3</v>
      </c>
      <c r="Q154" s="57">
        <v>3</v>
      </c>
      <c r="R154" s="57">
        <v>3</v>
      </c>
      <c r="S154" s="57">
        <v>3</v>
      </c>
      <c r="T154" s="77">
        <v>3</v>
      </c>
      <c r="U154" s="57">
        <v>1</v>
      </c>
      <c r="V154" s="57">
        <v>1</v>
      </c>
      <c r="W154" s="57">
        <v>1</v>
      </c>
      <c r="X154" s="57">
        <v>1</v>
      </c>
      <c r="Y154" s="57">
        <v>1</v>
      </c>
      <c r="Z154" s="57">
        <v>1</v>
      </c>
      <c r="AA154" s="77">
        <v>1</v>
      </c>
      <c r="AB154" s="57">
        <f t="shared" si="2"/>
        <v>151</v>
      </c>
      <c r="AE154" s="59">
        <v>133</v>
      </c>
    </row>
    <row r="155" spans="6:31" x14ac:dyDescent="0.25">
      <c r="F155" s="57">
        <v>28</v>
      </c>
      <c r="G155" s="76">
        <v>1</v>
      </c>
      <c r="H155" s="57">
        <v>2</v>
      </c>
      <c r="I155" s="57">
        <v>2</v>
      </c>
      <c r="J155" s="57">
        <v>2</v>
      </c>
      <c r="K155" s="57">
        <v>2</v>
      </c>
      <c r="L155" s="57">
        <v>3</v>
      </c>
      <c r="M155" s="57">
        <v>3</v>
      </c>
      <c r="N155" s="76">
        <v>2</v>
      </c>
      <c r="O155" s="57">
        <v>3</v>
      </c>
      <c r="P155" s="57">
        <v>3</v>
      </c>
      <c r="Q155" s="57">
        <v>3</v>
      </c>
      <c r="R155" s="57">
        <v>3</v>
      </c>
      <c r="S155" s="57">
        <v>3</v>
      </c>
      <c r="T155" s="77">
        <v>3</v>
      </c>
      <c r="U155" s="57">
        <v>1</v>
      </c>
      <c r="V155" s="57">
        <v>1</v>
      </c>
      <c r="W155" s="57">
        <v>1</v>
      </c>
      <c r="X155" s="57">
        <v>1</v>
      </c>
      <c r="Y155" s="57">
        <v>1</v>
      </c>
      <c r="Z155" s="57">
        <v>1</v>
      </c>
      <c r="AA155" s="77">
        <v>1</v>
      </c>
      <c r="AB155" s="57">
        <f t="shared" si="2"/>
        <v>152</v>
      </c>
      <c r="AE155" s="59">
        <v>134</v>
      </c>
    </row>
    <row r="156" spans="6:31" x14ac:dyDescent="0.25">
      <c r="F156" s="57">
        <v>29</v>
      </c>
      <c r="G156" s="76">
        <v>1</v>
      </c>
      <c r="H156" s="57">
        <v>1</v>
      </c>
      <c r="I156" s="57">
        <v>2</v>
      </c>
      <c r="J156" s="57">
        <v>2</v>
      </c>
      <c r="K156" s="57">
        <v>2</v>
      </c>
      <c r="L156" s="57">
        <v>3</v>
      </c>
      <c r="M156" s="57">
        <v>3</v>
      </c>
      <c r="N156" s="76">
        <v>2</v>
      </c>
      <c r="O156" s="57">
        <v>3</v>
      </c>
      <c r="P156" s="57">
        <v>3</v>
      </c>
      <c r="Q156" s="57">
        <v>3</v>
      </c>
      <c r="R156" s="57">
        <v>3</v>
      </c>
      <c r="S156" s="57">
        <v>3</v>
      </c>
      <c r="T156" s="77">
        <v>2</v>
      </c>
      <c r="U156" s="57">
        <v>1</v>
      </c>
      <c r="V156" s="57">
        <v>1</v>
      </c>
      <c r="W156" s="57">
        <v>1</v>
      </c>
      <c r="X156" s="57">
        <v>1</v>
      </c>
      <c r="Y156" s="57">
        <v>1</v>
      </c>
      <c r="Z156" s="57">
        <v>1</v>
      </c>
      <c r="AA156" s="77">
        <v>1</v>
      </c>
      <c r="AB156" s="57">
        <f t="shared" si="2"/>
        <v>153</v>
      </c>
      <c r="AE156" s="59">
        <v>135</v>
      </c>
    </row>
    <row r="157" spans="6:31" x14ac:dyDescent="0.25">
      <c r="F157" s="57">
        <v>30</v>
      </c>
      <c r="G157" s="76">
        <v>1</v>
      </c>
      <c r="H157" s="57">
        <v>1</v>
      </c>
      <c r="I157" s="57">
        <v>1</v>
      </c>
      <c r="J157" s="57">
        <v>2</v>
      </c>
      <c r="K157" s="57">
        <v>2</v>
      </c>
      <c r="L157" s="57">
        <v>2</v>
      </c>
      <c r="M157" s="57">
        <v>3</v>
      </c>
      <c r="N157" s="76">
        <v>2</v>
      </c>
      <c r="O157" s="57">
        <v>2</v>
      </c>
      <c r="P157" s="57">
        <v>3</v>
      </c>
      <c r="Q157" s="57">
        <v>3</v>
      </c>
      <c r="R157" s="57">
        <v>3</v>
      </c>
      <c r="S157" s="57">
        <v>2</v>
      </c>
      <c r="T157" s="77">
        <v>2</v>
      </c>
      <c r="U157" s="57">
        <v>1</v>
      </c>
      <c r="V157" s="57">
        <v>1</v>
      </c>
      <c r="W157" s="57">
        <v>1</v>
      </c>
      <c r="X157" s="57">
        <v>1</v>
      </c>
      <c r="Y157" s="57">
        <v>1</v>
      </c>
      <c r="Z157" s="57">
        <v>1</v>
      </c>
      <c r="AA157" s="77">
        <v>1</v>
      </c>
      <c r="AB157" s="57">
        <f t="shared" si="2"/>
        <v>154</v>
      </c>
      <c r="AE157" s="59">
        <v>135</v>
      </c>
    </row>
    <row r="158" spans="6:31" x14ac:dyDescent="0.25">
      <c r="F158" s="57">
        <v>31</v>
      </c>
      <c r="G158" s="76">
        <v>1</v>
      </c>
      <c r="H158" s="57">
        <v>1</v>
      </c>
      <c r="I158" s="57">
        <v>1</v>
      </c>
      <c r="J158" s="57">
        <v>1</v>
      </c>
      <c r="K158" s="57">
        <v>2</v>
      </c>
      <c r="L158" s="57">
        <v>2</v>
      </c>
      <c r="M158" s="57">
        <v>2</v>
      </c>
      <c r="N158" s="76">
        <v>2</v>
      </c>
      <c r="O158" s="57">
        <v>2</v>
      </c>
      <c r="P158" s="57">
        <v>2</v>
      </c>
      <c r="Q158" s="57">
        <v>3</v>
      </c>
      <c r="R158" s="57">
        <v>2</v>
      </c>
      <c r="S158" s="57">
        <v>2</v>
      </c>
      <c r="T158" s="77">
        <v>2</v>
      </c>
      <c r="U158" s="57">
        <v>1</v>
      </c>
      <c r="V158" s="57">
        <v>1</v>
      </c>
      <c r="W158" s="57">
        <v>1</v>
      </c>
      <c r="X158" s="57">
        <v>1</v>
      </c>
      <c r="Y158" s="57">
        <v>1</v>
      </c>
      <c r="Z158" s="57">
        <v>1</v>
      </c>
      <c r="AA158" s="77">
        <v>1</v>
      </c>
      <c r="AB158" s="57">
        <f t="shared" si="2"/>
        <v>155</v>
      </c>
      <c r="AE158" s="59">
        <v>136</v>
      </c>
    </row>
    <row r="159" spans="6:31" x14ac:dyDescent="0.25">
      <c r="F159" s="57">
        <v>32</v>
      </c>
      <c r="G159" s="76">
        <v>1</v>
      </c>
      <c r="H159" s="57">
        <v>1</v>
      </c>
      <c r="I159" s="57">
        <v>1</v>
      </c>
      <c r="J159" s="57">
        <v>1</v>
      </c>
      <c r="K159" s="57">
        <v>1</v>
      </c>
      <c r="L159" s="57">
        <v>2</v>
      </c>
      <c r="M159" s="57">
        <v>2</v>
      </c>
      <c r="N159" s="76">
        <v>2</v>
      </c>
      <c r="O159" s="57">
        <v>2</v>
      </c>
      <c r="P159" s="57">
        <v>2</v>
      </c>
      <c r="Q159" s="57">
        <v>2</v>
      </c>
      <c r="R159" s="57">
        <v>2</v>
      </c>
      <c r="S159" s="57">
        <v>2</v>
      </c>
      <c r="T159" s="77">
        <v>2</v>
      </c>
      <c r="U159" s="57">
        <v>1</v>
      </c>
      <c r="V159" s="57">
        <v>1</v>
      </c>
      <c r="W159" s="57">
        <v>1</v>
      </c>
      <c r="X159" s="57">
        <v>1</v>
      </c>
      <c r="Y159" s="57">
        <v>1</v>
      </c>
      <c r="Z159" s="57">
        <v>1</v>
      </c>
      <c r="AA159" s="77">
        <v>1</v>
      </c>
      <c r="AB159" s="57">
        <f t="shared" si="2"/>
        <v>156</v>
      </c>
      <c r="AE159" s="59">
        <v>137</v>
      </c>
    </row>
    <row r="160" spans="6:31" x14ac:dyDescent="0.25">
      <c r="F160" s="57">
        <v>33</v>
      </c>
      <c r="G160" s="76">
        <v>1</v>
      </c>
      <c r="H160" s="57">
        <v>1</v>
      </c>
      <c r="I160" s="57">
        <v>1</v>
      </c>
      <c r="J160" s="57">
        <v>1</v>
      </c>
      <c r="K160" s="57">
        <v>1</v>
      </c>
      <c r="L160" s="57">
        <v>2</v>
      </c>
      <c r="M160" s="57">
        <v>2</v>
      </c>
      <c r="N160" s="76">
        <v>1</v>
      </c>
      <c r="O160" s="57">
        <v>2</v>
      </c>
      <c r="P160" s="57">
        <v>2</v>
      </c>
      <c r="Q160" s="57">
        <v>2</v>
      </c>
      <c r="R160" s="57">
        <v>2</v>
      </c>
      <c r="S160" s="57">
        <v>2</v>
      </c>
      <c r="T160" s="77">
        <v>2</v>
      </c>
      <c r="U160" s="57">
        <v>1</v>
      </c>
      <c r="V160" s="57">
        <v>1</v>
      </c>
      <c r="W160" s="57">
        <v>1</v>
      </c>
      <c r="X160" s="57">
        <v>1</v>
      </c>
      <c r="Y160" s="57">
        <v>1</v>
      </c>
      <c r="Z160" s="57">
        <v>1</v>
      </c>
      <c r="AA160" s="77">
        <v>1</v>
      </c>
      <c r="AB160" s="57">
        <f t="shared" si="2"/>
        <v>157</v>
      </c>
      <c r="AE160" s="59">
        <v>138</v>
      </c>
    </row>
    <row r="161" spans="6:31" x14ac:dyDescent="0.25">
      <c r="F161" s="57">
        <v>34</v>
      </c>
      <c r="G161" s="76">
        <v>1</v>
      </c>
      <c r="H161" s="57">
        <v>1</v>
      </c>
      <c r="I161" s="57">
        <v>1</v>
      </c>
      <c r="J161" s="57">
        <v>1</v>
      </c>
      <c r="K161" s="57">
        <v>1</v>
      </c>
      <c r="L161" s="57">
        <v>1</v>
      </c>
      <c r="M161" s="57">
        <v>2</v>
      </c>
      <c r="N161" s="76">
        <v>1</v>
      </c>
      <c r="O161" s="57">
        <v>2</v>
      </c>
      <c r="P161" s="57">
        <v>2</v>
      </c>
      <c r="Q161" s="57">
        <v>2</v>
      </c>
      <c r="R161" s="57">
        <v>2</v>
      </c>
      <c r="S161" s="57">
        <v>2</v>
      </c>
      <c r="T161" s="77">
        <v>1</v>
      </c>
      <c r="U161" s="57">
        <v>1</v>
      </c>
      <c r="V161" s="57">
        <v>1</v>
      </c>
      <c r="W161" s="57">
        <v>1</v>
      </c>
      <c r="X161" s="57">
        <v>1</v>
      </c>
      <c r="Y161" s="57">
        <v>1</v>
      </c>
      <c r="Z161" s="57">
        <v>1</v>
      </c>
      <c r="AA161" s="77">
        <v>1</v>
      </c>
      <c r="AB161" s="57">
        <f t="shared" si="2"/>
        <v>158</v>
      </c>
      <c r="AE161" s="59">
        <v>139</v>
      </c>
    </row>
    <row r="162" spans="6:31" x14ac:dyDescent="0.25">
      <c r="F162" s="57">
        <v>35</v>
      </c>
      <c r="G162" s="76">
        <v>1</v>
      </c>
      <c r="H162" s="57">
        <v>1</v>
      </c>
      <c r="I162" s="57">
        <v>1</v>
      </c>
      <c r="J162" s="57">
        <v>1</v>
      </c>
      <c r="K162" s="57">
        <v>1</v>
      </c>
      <c r="L162" s="57">
        <v>1</v>
      </c>
      <c r="M162" s="57">
        <v>1</v>
      </c>
      <c r="N162" s="76">
        <v>1</v>
      </c>
      <c r="O162" s="57">
        <v>1</v>
      </c>
      <c r="P162" s="57">
        <v>2</v>
      </c>
      <c r="Q162" s="57">
        <v>2</v>
      </c>
      <c r="R162" s="57">
        <v>2</v>
      </c>
      <c r="S162" s="57">
        <v>1</v>
      </c>
      <c r="T162" s="77">
        <v>1</v>
      </c>
      <c r="U162" s="57">
        <v>1</v>
      </c>
      <c r="V162" s="57">
        <v>1</v>
      </c>
      <c r="W162" s="57">
        <v>1</v>
      </c>
      <c r="X162" s="57">
        <v>1</v>
      </c>
      <c r="Y162" s="57">
        <v>1</v>
      </c>
      <c r="Z162" s="57">
        <v>1</v>
      </c>
      <c r="AA162" s="77">
        <v>1</v>
      </c>
      <c r="AB162" s="57">
        <f t="shared" si="2"/>
        <v>159</v>
      </c>
      <c r="AE162" s="59">
        <v>140</v>
      </c>
    </row>
    <row r="163" spans="6:31" x14ac:dyDescent="0.25">
      <c r="F163" s="57">
        <v>36</v>
      </c>
      <c r="G163" s="76">
        <v>1</v>
      </c>
      <c r="H163" s="57">
        <v>1</v>
      </c>
      <c r="I163" s="57">
        <v>1</v>
      </c>
      <c r="J163" s="57">
        <v>1</v>
      </c>
      <c r="K163" s="57">
        <v>1</v>
      </c>
      <c r="L163" s="57">
        <v>1</v>
      </c>
      <c r="M163" s="57">
        <v>1</v>
      </c>
      <c r="N163" s="76">
        <v>1</v>
      </c>
      <c r="O163" s="57">
        <v>1</v>
      </c>
      <c r="P163" s="57">
        <v>1</v>
      </c>
      <c r="Q163" s="57">
        <v>2</v>
      </c>
      <c r="R163" s="57">
        <v>1</v>
      </c>
      <c r="S163" s="57">
        <v>1</v>
      </c>
      <c r="T163" s="77">
        <v>1</v>
      </c>
      <c r="U163" s="57">
        <v>1</v>
      </c>
      <c r="V163" s="57">
        <v>1</v>
      </c>
      <c r="W163" s="57">
        <v>1</v>
      </c>
      <c r="X163" s="57">
        <v>1</v>
      </c>
      <c r="Y163" s="57">
        <v>1</v>
      </c>
      <c r="Z163" s="57">
        <v>1</v>
      </c>
      <c r="AA163" s="77">
        <v>1</v>
      </c>
      <c r="AB163" s="57">
        <f t="shared" si="2"/>
        <v>160</v>
      </c>
      <c r="AE163" s="59">
        <v>141</v>
      </c>
    </row>
    <row r="164" spans="6:31" x14ac:dyDescent="0.25">
      <c r="F164" s="57">
        <v>37</v>
      </c>
      <c r="G164" s="78">
        <v>1</v>
      </c>
      <c r="H164" s="79">
        <v>1</v>
      </c>
      <c r="I164" s="79">
        <v>1</v>
      </c>
      <c r="J164" s="79">
        <v>1</v>
      </c>
      <c r="K164" s="79">
        <v>1</v>
      </c>
      <c r="L164" s="79">
        <v>1</v>
      </c>
      <c r="M164" s="79">
        <v>1</v>
      </c>
      <c r="N164" s="78">
        <v>1</v>
      </c>
      <c r="O164" s="79">
        <v>1</v>
      </c>
      <c r="P164" s="79">
        <v>1</v>
      </c>
      <c r="Q164" s="79">
        <v>1</v>
      </c>
      <c r="R164" s="79">
        <v>1</v>
      </c>
      <c r="S164" s="79">
        <v>1</v>
      </c>
      <c r="T164" s="80">
        <v>1</v>
      </c>
      <c r="U164" s="79">
        <v>1</v>
      </c>
      <c r="V164" s="79">
        <v>1</v>
      </c>
      <c r="W164" s="79">
        <v>1</v>
      </c>
      <c r="X164" s="79">
        <v>1</v>
      </c>
      <c r="Y164" s="79">
        <v>1</v>
      </c>
      <c r="Z164" s="79">
        <v>1</v>
      </c>
      <c r="AA164" s="80">
        <v>1</v>
      </c>
      <c r="AB164" s="57">
        <f t="shared" si="2"/>
        <v>161</v>
      </c>
      <c r="AE164" s="59">
        <v>141</v>
      </c>
    </row>
    <row r="165" spans="6:31" x14ac:dyDescent="0.25"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AB165" s="57">
        <f t="shared" si="2"/>
        <v>162</v>
      </c>
      <c r="AE165" s="59">
        <v>142</v>
      </c>
    </row>
    <row r="166" spans="6:31" ht="15.75" x14ac:dyDescent="0.25">
      <c r="G166" s="121" t="s">
        <v>258</v>
      </c>
      <c r="H166" s="122"/>
      <c r="I166" s="122"/>
      <c r="J166" s="122"/>
      <c r="K166" s="122"/>
      <c r="L166" s="122"/>
      <c r="M166" s="123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AB166" s="57">
        <f t="shared" si="2"/>
        <v>163</v>
      </c>
      <c r="AE166" s="59">
        <v>143</v>
      </c>
    </row>
    <row r="167" spans="6:31" x14ac:dyDescent="0.25">
      <c r="F167" s="58" t="s">
        <v>14</v>
      </c>
      <c r="G167" s="74" t="s">
        <v>224</v>
      </c>
      <c r="H167" s="58" t="s">
        <v>239</v>
      </c>
      <c r="I167" s="58" t="s">
        <v>240</v>
      </c>
      <c r="J167" s="58" t="s">
        <v>241</v>
      </c>
      <c r="K167" s="58" t="s">
        <v>117</v>
      </c>
      <c r="L167" s="58" t="s">
        <v>242</v>
      </c>
      <c r="M167" s="75" t="s">
        <v>243</v>
      </c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AB167" s="57">
        <f t="shared" si="2"/>
        <v>164</v>
      </c>
      <c r="AE167" s="59">
        <v>144</v>
      </c>
    </row>
    <row r="168" spans="6:31" ht="15" customHeight="1" x14ac:dyDescent="0.25">
      <c r="F168" s="57">
        <v>100</v>
      </c>
      <c r="G168" s="76">
        <v>13</v>
      </c>
      <c r="H168" s="57">
        <v>13</v>
      </c>
      <c r="I168" s="57">
        <v>14</v>
      </c>
      <c r="J168" s="57">
        <v>15</v>
      </c>
      <c r="K168" s="57">
        <v>15</v>
      </c>
      <c r="L168" s="57">
        <v>16</v>
      </c>
      <c r="M168" s="77">
        <v>17</v>
      </c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AB168" s="57">
        <f t="shared" si="2"/>
        <v>165</v>
      </c>
      <c r="AE168" s="59">
        <v>145</v>
      </c>
    </row>
    <row r="169" spans="6:31" ht="15" customHeight="1" x14ac:dyDescent="0.25">
      <c r="F169" s="57">
        <f>F168-1</f>
        <v>99</v>
      </c>
      <c r="G169" s="76">
        <v>12</v>
      </c>
      <c r="H169" s="57">
        <v>12</v>
      </c>
      <c r="I169" s="57">
        <v>13</v>
      </c>
      <c r="J169" s="57">
        <v>13</v>
      </c>
      <c r="K169" s="57">
        <v>14</v>
      </c>
      <c r="L169" s="57">
        <v>15</v>
      </c>
      <c r="M169" s="77">
        <v>16</v>
      </c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AB169" s="57">
        <f t="shared" si="2"/>
        <v>166</v>
      </c>
      <c r="AE169" s="59">
        <v>145</v>
      </c>
    </row>
    <row r="170" spans="6:31" x14ac:dyDescent="0.25">
      <c r="F170" s="57">
        <f t="shared" ref="F170:F223" si="3">F169-1</f>
        <v>98</v>
      </c>
      <c r="G170" s="76">
        <v>11</v>
      </c>
      <c r="H170" s="57">
        <v>11</v>
      </c>
      <c r="I170" s="57">
        <v>12</v>
      </c>
      <c r="J170" s="57">
        <v>12</v>
      </c>
      <c r="K170" s="57">
        <v>13</v>
      </c>
      <c r="L170" s="57">
        <v>14</v>
      </c>
      <c r="M170" s="77">
        <v>15</v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AB170" s="57">
        <f t="shared" si="2"/>
        <v>167</v>
      </c>
      <c r="AE170" s="59">
        <v>146</v>
      </c>
    </row>
    <row r="171" spans="6:31" x14ac:dyDescent="0.25">
      <c r="F171" s="57">
        <f t="shared" si="3"/>
        <v>97</v>
      </c>
      <c r="G171" s="76">
        <v>11</v>
      </c>
      <c r="H171" s="57">
        <v>11</v>
      </c>
      <c r="I171" s="57">
        <v>11</v>
      </c>
      <c r="J171" s="57">
        <v>12</v>
      </c>
      <c r="K171" s="57">
        <v>13</v>
      </c>
      <c r="L171" s="57">
        <v>13</v>
      </c>
      <c r="M171" s="77">
        <v>14</v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AB171" s="57">
        <f t="shared" si="2"/>
        <v>168</v>
      </c>
      <c r="AE171" s="59">
        <v>147</v>
      </c>
    </row>
    <row r="172" spans="6:31" x14ac:dyDescent="0.25">
      <c r="F172" s="57">
        <f t="shared" si="3"/>
        <v>96</v>
      </c>
      <c r="G172" s="76">
        <v>10</v>
      </c>
      <c r="H172" s="57">
        <v>10</v>
      </c>
      <c r="I172" s="57">
        <v>10</v>
      </c>
      <c r="J172" s="57">
        <v>11</v>
      </c>
      <c r="K172" s="57">
        <v>12</v>
      </c>
      <c r="L172" s="57">
        <v>12</v>
      </c>
      <c r="M172" s="77">
        <v>13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AB172" s="57">
        <f t="shared" si="2"/>
        <v>169</v>
      </c>
      <c r="AE172" s="59">
        <v>148</v>
      </c>
    </row>
    <row r="173" spans="6:31" x14ac:dyDescent="0.25">
      <c r="F173" s="57">
        <f t="shared" si="3"/>
        <v>95</v>
      </c>
      <c r="G173" s="76">
        <v>10</v>
      </c>
      <c r="H173" s="57">
        <v>10</v>
      </c>
      <c r="I173" s="57">
        <v>10</v>
      </c>
      <c r="J173" s="57">
        <v>11</v>
      </c>
      <c r="K173" s="57">
        <v>12</v>
      </c>
      <c r="L173" s="57">
        <v>12</v>
      </c>
      <c r="M173" s="77">
        <v>13</v>
      </c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AB173" s="57">
        <f t="shared" si="2"/>
        <v>170</v>
      </c>
      <c r="AE173" s="59">
        <v>149</v>
      </c>
    </row>
    <row r="174" spans="6:31" x14ac:dyDescent="0.25">
      <c r="F174" s="57">
        <f t="shared" si="3"/>
        <v>94</v>
      </c>
      <c r="G174" s="76">
        <v>9</v>
      </c>
      <c r="H174" s="57">
        <v>9</v>
      </c>
      <c r="I174" s="57">
        <v>9</v>
      </c>
      <c r="J174" s="57">
        <v>10</v>
      </c>
      <c r="K174" s="57">
        <v>11</v>
      </c>
      <c r="L174" s="57">
        <v>11</v>
      </c>
      <c r="M174" s="77">
        <v>12</v>
      </c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AB174" s="57">
        <f t="shared" si="2"/>
        <v>171</v>
      </c>
      <c r="AE174" s="59">
        <v>149</v>
      </c>
    </row>
    <row r="175" spans="6:31" x14ac:dyDescent="0.25">
      <c r="F175" s="57">
        <f t="shared" si="3"/>
        <v>93</v>
      </c>
      <c r="G175" s="76">
        <v>8</v>
      </c>
      <c r="H175" s="57">
        <v>9</v>
      </c>
      <c r="I175" s="57">
        <v>9</v>
      </c>
      <c r="J175" s="57">
        <v>10</v>
      </c>
      <c r="K175" s="57">
        <v>11</v>
      </c>
      <c r="L175" s="57">
        <v>11</v>
      </c>
      <c r="M175" s="77">
        <v>12</v>
      </c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AB175" s="57">
        <f t="shared" si="2"/>
        <v>172</v>
      </c>
      <c r="AE175" s="59">
        <v>150</v>
      </c>
    </row>
    <row r="176" spans="6:31" x14ac:dyDescent="0.25">
      <c r="F176" s="57">
        <f t="shared" si="3"/>
        <v>92</v>
      </c>
      <c r="G176" s="76">
        <v>7</v>
      </c>
      <c r="H176" s="57">
        <v>8</v>
      </c>
      <c r="I176" s="57">
        <v>9</v>
      </c>
      <c r="J176" s="57">
        <v>10</v>
      </c>
      <c r="K176" s="57">
        <v>10</v>
      </c>
      <c r="L176" s="57">
        <v>11</v>
      </c>
      <c r="M176" s="77">
        <v>11</v>
      </c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AB176" s="57">
        <f t="shared" si="2"/>
        <v>173</v>
      </c>
      <c r="AE176" s="59">
        <v>151</v>
      </c>
    </row>
    <row r="177" spans="6:31" x14ac:dyDescent="0.25">
      <c r="F177" s="57">
        <f t="shared" si="3"/>
        <v>91</v>
      </c>
      <c r="G177" s="76">
        <v>7</v>
      </c>
      <c r="H177" s="57">
        <v>8</v>
      </c>
      <c r="I177" s="57">
        <v>9</v>
      </c>
      <c r="J177" s="57">
        <v>9</v>
      </c>
      <c r="K177" s="57">
        <v>10</v>
      </c>
      <c r="L177" s="57">
        <v>11</v>
      </c>
      <c r="M177" s="77">
        <v>11</v>
      </c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AB177" s="57">
        <f t="shared" si="2"/>
        <v>174</v>
      </c>
      <c r="AE177" s="59">
        <v>152</v>
      </c>
    </row>
    <row r="178" spans="6:31" x14ac:dyDescent="0.25">
      <c r="F178" s="57">
        <f t="shared" si="3"/>
        <v>90</v>
      </c>
      <c r="G178" s="76">
        <v>7</v>
      </c>
      <c r="H178" s="57">
        <v>7</v>
      </c>
      <c r="I178" s="57">
        <v>8</v>
      </c>
      <c r="J178" s="57">
        <v>9</v>
      </c>
      <c r="K178" s="57">
        <v>10</v>
      </c>
      <c r="L178" s="57">
        <v>10</v>
      </c>
      <c r="M178" s="77">
        <v>11</v>
      </c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AB178" s="57">
        <f t="shared" si="2"/>
        <v>175</v>
      </c>
      <c r="AE178" s="59">
        <v>153</v>
      </c>
    </row>
    <row r="179" spans="6:31" x14ac:dyDescent="0.25">
      <c r="F179" s="57">
        <f t="shared" si="3"/>
        <v>89</v>
      </c>
      <c r="G179" s="76">
        <v>7</v>
      </c>
      <c r="H179" s="57">
        <v>7</v>
      </c>
      <c r="I179" s="57">
        <v>8</v>
      </c>
      <c r="J179" s="57">
        <v>9</v>
      </c>
      <c r="K179" s="57">
        <v>10</v>
      </c>
      <c r="L179" s="57">
        <v>10</v>
      </c>
      <c r="M179" s="77">
        <v>11</v>
      </c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AB179" s="57">
        <f t="shared" si="2"/>
        <v>176</v>
      </c>
      <c r="AE179" s="59">
        <v>153</v>
      </c>
    </row>
    <row r="180" spans="6:31" x14ac:dyDescent="0.25">
      <c r="F180" s="57">
        <f t="shared" si="3"/>
        <v>88</v>
      </c>
      <c r="G180" s="76">
        <v>6</v>
      </c>
      <c r="H180" s="57">
        <v>7</v>
      </c>
      <c r="I180" s="57">
        <v>8</v>
      </c>
      <c r="J180" s="57">
        <v>8</v>
      </c>
      <c r="K180" s="57">
        <v>9</v>
      </c>
      <c r="L180" s="57">
        <v>10</v>
      </c>
      <c r="M180" s="77">
        <v>10</v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AB180" s="57">
        <f t="shared" si="2"/>
        <v>177</v>
      </c>
      <c r="AE180" s="59">
        <v>154</v>
      </c>
    </row>
    <row r="181" spans="6:31" x14ac:dyDescent="0.25">
      <c r="F181" s="57">
        <f t="shared" si="3"/>
        <v>87</v>
      </c>
      <c r="G181" s="76">
        <v>6</v>
      </c>
      <c r="H181" s="57">
        <v>7</v>
      </c>
      <c r="I181" s="57">
        <v>8</v>
      </c>
      <c r="J181" s="57">
        <v>8</v>
      </c>
      <c r="K181" s="57">
        <v>9</v>
      </c>
      <c r="L181" s="57">
        <v>10</v>
      </c>
      <c r="M181" s="77">
        <v>10</v>
      </c>
      <c r="AB181" s="57">
        <f t="shared" si="2"/>
        <v>178</v>
      </c>
      <c r="AE181" s="59">
        <v>155</v>
      </c>
    </row>
    <row r="182" spans="6:31" x14ac:dyDescent="0.25">
      <c r="F182" s="57">
        <f t="shared" si="3"/>
        <v>86</v>
      </c>
      <c r="G182" s="76">
        <v>6</v>
      </c>
      <c r="H182" s="57">
        <v>6</v>
      </c>
      <c r="I182" s="57">
        <v>7</v>
      </c>
      <c r="J182" s="57">
        <v>8</v>
      </c>
      <c r="K182" s="57">
        <v>9</v>
      </c>
      <c r="L182" s="57">
        <v>9</v>
      </c>
      <c r="M182" s="77">
        <v>10</v>
      </c>
      <c r="AB182" s="57">
        <f t="shared" si="2"/>
        <v>179</v>
      </c>
      <c r="AE182" s="59">
        <v>156</v>
      </c>
    </row>
    <row r="183" spans="6:31" x14ac:dyDescent="0.25">
      <c r="F183" s="57">
        <f t="shared" si="3"/>
        <v>85</v>
      </c>
      <c r="G183" s="76">
        <v>5</v>
      </c>
      <c r="H183" s="57">
        <v>6</v>
      </c>
      <c r="I183" s="57">
        <v>7</v>
      </c>
      <c r="J183" s="57">
        <v>8</v>
      </c>
      <c r="K183" s="57">
        <v>9</v>
      </c>
      <c r="L183" s="57">
        <v>9</v>
      </c>
      <c r="M183" s="77">
        <v>10</v>
      </c>
      <c r="AB183" s="57">
        <f t="shared" si="2"/>
        <v>180</v>
      </c>
      <c r="AE183" s="59">
        <v>157</v>
      </c>
    </row>
    <row r="184" spans="6:31" x14ac:dyDescent="0.25">
      <c r="F184" s="57">
        <f t="shared" si="3"/>
        <v>84</v>
      </c>
      <c r="G184" s="76">
        <v>5</v>
      </c>
      <c r="H184" s="57">
        <v>6</v>
      </c>
      <c r="I184" s="57">
        <v>7</v>
      </c>
      <c r="J184" s="57">
        <v>8</v>
      </c>
      <c r="K184" s="57">
        <v>8</v>
      </c>
      <c r="L184" s="57">
        <v>9</v>
      </c>
      <c r="M184" s="77">
        <v>10</v>
      </c>
      <c r="AB184" s="57">
        <f t="shared" si="2"/>
        <v>181</v>
      </c>
      <c r="AE184" s="59">
        <v>157</v>
      </c>
    </row>
    <row r="185" spans="6:31" x14ac:dyDescent="0.25">
      <c r="F185" s="57">
        <f t="shared" si="3"/>
        <v>83</v>
      </c>
      <c r="G185" s="76">
        <v>5</v>
      </c>
      <c r="H185" s="57">
        <v>6</v>
      </c>
      <c r="I185" s="57">
        <v>7</v>
      </c>
      <c r="J185" s="57">
        <v>7</v>
      </c>
      <c r="K185" s="57">
        <v>8</v>
      </c>
      <c r="L185" s="57">
        <v>9</v>
      </c>
      <c r="M185" s="77">
        <v>9</v>
      </c>
      <c r="AB185" s="57">
        <f t="shared" si="2"/>
        <v>182</v>
      </c>
      <c r="AE185" s="59">
        <v>158</v>
      </c>
    </row>
    <row r="186" spans="6:31" x14ac:dyDescent="0.25">
      <c r="F186" s="57">
        <f t="shared" si="3"/>
        <v>82</v>
      </c>
      <c r="G186" s="76">
        <v>5</v>
      </c>
      <c r="H186" s="57">
        <v>6</v>
      </c>
      <c r="I186" s="57">
        <v>7</v>
      </c>
      <c r="J186" s="57">
        <v>7</v>
      </c>
      <c r="K186" s="57">
        <v>8</v>
      </c>
      <c r="L186" s="57">
        <v>8</v>
      </c>
      <c r="M186" s="77">
        <v>9</v>
      </c>
      <c r="AB186" s="57">
        <f t="shared" si="2"/>
        <v>183</v>
      </c>
      <c r="AE186" s="59">
        <v>159</v>
      </c>
    </row>
    <row r="187" spans="6:31" x14ac:dyDescent="0.25">
      <c r="F187" s="57">
        <f t="shared" si="3"/>
        <v>81</v>
      </c>
      <c r="G187" s="76">
        <v>4</v>
      </c>
      <c r="H187" s="57">
        <v>5</v>
      </c>
      <c r="I187" s="57">
        <v>6</v>
      </c>
      <c r="J187" s="57">
        <v>7</v>
      </c>
      <c r="K187" s="57">
        <v>7</v>
      </c>
      <c r="L187" s="57">
        <v>8</v>
      </c>
      <c r="M187" s="77">
        <v>9</v>
      </c>
      <c r="AB187" s="57">
        <f t="shared" si="2"/>
        <v>184</v>
      </c>
      <c r="AE187" s="59">
        <v>160</v>
      </c>
    </row>
    <row r="188" spans="6:31" x14ac:dyDescent="0.25">
      <c r="F188" s="57">
        <f t="shared" si="3"/>
        <v>80</v>
      </c>
      <c r="G188" s="76">
        <v>4</v>
      </c>
      <c r="H188" s="57">
        <v>5</v>
      </c>
      <c r="I188" s="57">
        <v>6</v>
      </c>
      <c r="J188" s="57">
        <v>7</v>
      </c>
      <c r="K188" s="57">
        <v>7</v>
      </c>
      <c r="L188" s="57">
        <v>8</v>
      </c>
      <c r="M188" s="77">
        <v>9</v>
      </c>
      <c r="AB188" s="57">
        <f t="shared" si="2"/>
        <v>185</v>
      </c>
      <c r="AE188" s="59">
        <v>160</v>
      </c>
    </row>
    <row r="189" spans="6:31" x14ac:dyDescent="0.25">
      <c r="F189" s="57">
        <f t="shared" si="3"/>
        <v>79</v>
      </c>
      <c r="G189" s="76">
        <v>4</v>
      </c>
      <c r="H189" s="57">
        <v>5</v>
      </c>
      <c r="I189" s="57">
        <v>6</v>
      </c>
      <c r="J189" s="57">
        <v>6</v>
      </c>
      <c r="K189" s="57">
        <v>7</v>
      </c>
      <c r="L189" s="57">
        <v>7</v>
      </c>
      <c r="M189" s="77">
        <v>8</v>
      </c>
      <c r="AB189" s="57">
        <f t="shared" si="2"/>
        <v>186</v>
      </c>
      <c r="AE189" s="59">
        <v>160</v>
      </c>
    </row>
    <row r="190" spans="6:31" x14ac:dyDescent="0.25">
      <c r="F190" s="57">
        <f t="shared" si="3"/>
        <v>78</v>
      </c>
      <c r="G190" s="76">
        <v>4</v>
      </c>
      <c r="H190" s="57">
        <v>5</v>
      </c>
      <c r="I190" s="57">
        <v>6</v>
      </c>
      <c r="J190" s="57">
        <v>6</v>
      </c>
      <c r="K190" s="57">
        <v>7</v>
      </c>
      <c r="L190" s="57">
        <v>7</v>
      </c>
      <c r="M190" s="77">
        <v>8</v>
      </c>
      <c r="AB190" s="57">
        <f t="shared" si="2"/>
        <v>187</v>
      </c>
      <c r="AE190" s="59">
        <v>160</v>
      </c>
    </row>
    <row r="191" spans="6:31" x14ac:dyDescent="0.25">
      <c r="F191" s="57">
        <f t="shared" si="3"/>
        <v>77</v>
      </c>
      <c r="G191" s="76">
        <v>3</v>
      </c>
      <c r="H191" s="57">
        <v>4</v>
      </c>
      <c r="I191" s="57">
        <v>5</v>
      </c>
      <c r="J191" s="57">
        <v>6</v>
      </c>
      <c r="K191" s="57">
        <v>6</v>
      </c>
      <c r="L191" s="57">
        <v>7</v>
      </c>
      <c r="M191" s="77">
        <v>8</v>
      </c>
      <c r="AB191" s="57">
        <f t="shared" si="2"/>
        <v>188</v>
      </c>
      <c r="AE191" s="59">
        <v>160</v>
      </c>
    </row>
    <row r="192" spans="6:31" x14ac:dyDescent="0.25">
      <c r="F192" s="57">
        <f t="shared" si="3"/>
        <v>76</v>
      </c>
      <c r="G192" s="76">
        <v>3</v>
      </c>
      <c r="H192" s="57">
        <v>4</v>
      </c>
      <c r="I192" s="57">
        <v>5</v>
      </c>
      <c r="J192" s="57">
        <v>6</v>
      </c>
      <c r="K192" s="57">
        <v>6</v>
      </c>
      <c r="L192" s="57">
        <v>7</v>
      </c>
      <c r="M192" s="77">
        <v>8</v>
      </c>
      <c r="AB192" s="57">
        <f t="shared" si="2"/>
        <v>189</v>
      </c>
      <c r="AE192" s="59">
        <v>160</v>
      </c>
    </row>
    <row r="193" spans="6:31" x14ac:dyDescent="0.25">
      <c r="F193" s="57">
        <f t="shared" si="3"/>
        <v>75</v>
      </c>
      <c r="G193" s="76">
        <v>3</v>
      </c>
      <c r="H193" s="57">
        <v>4</v>
      </c>
      <c r="I193" s="57">
        <v>5</v>
      </c>
      <c r="J193" s="57">
        <v>5</v>
      </c>
      <c r="K193" s="57">
        <v>6</v>
      </c>
      <c r="L193" s="57">
        <v>6</v>
      </c>
      <c r="M193" s="77">
        <v>7</v>
      </c>
      <c r="AB193" s="57">
        <f t="shared" si="2"/>
        <v>190</v>
      </c>
      <c r="AE193" s="59">
        <v>160</v>
      </c>
    </row>
    <row r="194" spans="6:31" x14ac:dyDescent="0.25">
      <c r="F194" s="57">
        <f t="shared" si="3"/>
        <v>74</v>
      </c>
      <c r="G194" s="76">
        <v>3</v>
      </c>
      <c r="H194" s="57">
        <v>4</v>
      </c>
      <c r="I194" s="57">
        <v>5</v>
      </c>
      <c r="J194" s="57">
        <v>5</v>
      </c>
      <c r="K194" s="57">
        <v>6</v>
      </c>
      <c r="L194" s="57">
        <v>6</v>
      </c>
      <c r="M194" s="77">
        <v>7</v>
      </c>
    </row>
    <row r="195" spans="6:31" x14ac:dyDescent="0.25">
      <c r="F195" s="57">
        <f t="shared" si="3"/>
        <v>73</v>
      </c>
      <c r="G195" s="76">
        <v>2</v>
      </c>
      <c r="H195" s="57">
        <v>3</v>
      </c>
      <c r="I195" s="57">
        <v>4</v>
      </c>
      <c r="J195" s="57">
        <v>5</v>
      </c>
      <c r="K195" s="57">
        <v>5</v>
      </c>
      <c r="L195" s="57">
        <v>6</v>
      </c>
      <c r="M195" s="77">
        <v>7</v>
      </c>
    </row>
    <row r="196" spans="6:31" x14ac:dyDescent="0.25">
      <c r="F196" s="57">
        <f t="shared" si="3"/>
        <v>72</v>
      </c>
      <c r="G196" s="76">
        <v>2</v>
      </c>
      <c r="H196" s="57">
        <v>3</v>
      </c>
      <c r="I196" s="57">
        <v>4</v>
      </c>
      <c r="J196" s="57">
        <v>5</v>
      </c>
      <c r="K196" s="57">
        <v>5</v>
      </c>
      <c r="L196" s="57">
        <v>6</v>
      </c>
      <c r="M196" s="77">
        <v>7</v>
      </c>
    </row>
    <row r="197" spans="6:31" x14ac:dyDescent="0.25">
      <c r="F197" s="57">
        <f t="shared" si="3"/>
        <v>71</v>
      </c>
      <c r="G197" s="76">
        <v>2</v>
      </c>
      <c r="H197" s="57">
        <v>3</v>
      </c>
      <c r="I197" s="57">
        <v>4</v>
      </c>
      <c r="J197" s="57">
        <v>4</v>
      </c>
      <c r="K197" s="57">
        <v>5</v>
      </c>
      <c r="L197" s="57">
        <v>6</v>
      </c>
      <c r="M197" s="77">
        <v>6</v>
      </c>
    </row>
    <row r="198" spans="6:31" x14ac:dyDescent="0.25">
      <c r="F198" s="57">
        <f t="shared" si="3"/>
        <v>70</v>
      </c>
      <c r="G198" s="76">
        <v>2</v>
      </c>
      <c r="H198" s="57">
        <v>3</v>
      </c>
      <c r="I198" s="57">
        <v>4</v>
      </c>
      <c r="J198" s="57">
        <v>4</v>
      </c>
      <c r="K198" s="57">
        <v>5</v>
      </c>
      <c r="L198" s="57">
        <v>5</v>
      </c>
      <c r="M198" s="77">
        <v>6</v>
      </c>
    </row>
    <row r="199" spans="6:31" x14ac:dyDescent="0.25">
      <c r="F199" s="57">
        <f t="shared" si="3"/>
        <v>69</v>
      </c>
      <c r="G199" s="76">
        <v>1</v>
      </c>
      <c r="H199" s="57">
        <v>2</v>
      </c>
      <c r="I199" s="57">
        <v>3</v>
      </c>
      <c r="J199" s="57">
        <v>4</v>
      </c>
      <c r="K199" s="57">
        <v>5</v>
      </c>
      <c r="L199" s="57">
        <v>5</v>
      </c>
      <c r="M199" s="77">
        <v>6</v>
      </c>
    </row>
    <row r="200" spans="6:31" x14ac:dyDescent="0.25">
      <c r="F200" s="57">
        <f t="shared" si="3"/>
        <v>68</v>
      </c>
      <c r="G200" s="76">
        <v>1</v>
      </c>
      <c r="H200" s="57">
        <v>2</v>
      </c>
      <c r="I200" s="57">
        <v>3</v>
      </c>
      <c r="J200" s="57">
        <v>4</v>
      </c>
      <c r="K200" s="57">
        <v>5</v>
      </c>
      <c r="L200" s="57">
        <v>5</v>
      </c>
      <c r="M200" s="77">
        <v>6</v>
      </c>
    </row>
    <row r="201" spans="6:31" x14ac:dyDescent="0.25">
      <c r="F201" s="57">
        <f t="shared" si="3"/>
        <v>67</v>
      </c>
      <c r="G201" s="76">
        <v>1</v>
      </c>
      <c r="H201" s="57">
        <v>2</v>
      </c>
      <c r="I201" s="57">
        <v>3</v>
      </c>
      <c r="J201" s="57">
        <v>4</v>
      </c>
      <c r="K201" s="57">
        <v>4</v>
      </c>
      <c r="L201" s="57">
        <v>5</v>
      </c>
      <c r="M201" s="77">
        <v>5</v>
      </c>
    </row>
    <row r="202" spans="6:31" x14ac:dyDescent="0.25">
      <c r="F202" s="57">
        <f t="shared" si="3"/>
        <v>66</v>
      </c>
      <c r="G202" s="76">
        <v>1</v>
      </c>
      <c r="H202" s="57">
        <v>2</v>
      </c>
      <c r="I202" s="57">
        <v>3</v>
      </c>
      <c r="J202" s="57">
        <v>4</v>
      </c>
      <c r="K202" s="57">
        <v>4</v>
      </c>
      <c r="L202" s="57">
        <v>5</v>
      </c>
      <c r="M202" s="77">
        <v>5</v>
      </c>
    </row>
    <row r="203" spans="6:31" x14ac:dyDescent="0.25">
      <c r="F203" s="57">
        <f t="shared" si="3"/>
        <v>65</v>
      </c>
      <c r="G203" s="76">
        <v>1</v>
      </c>
      <c r="H203" s="57">
        <v>2</v>
      </c>
      <c r="I203" s="57">
        <v>2</v>
      </c>
      <c r="J203" s="57">
        <v>3</v>
      </c>
      <c r="K203" s="57">
        <v>4</v>
      </c>
      <c r="L203" s="57">
        <v>4</v>
      </c>
      <c r="M203" s="77">
        <v>5</v>
      </c>
      <c r="N203" s="72"/>
      <c r="O203" s="72"/>
      <c r="P203" s="72"/>
      <c r="Q203" s="72"/>
      <c r="R203" s="72"/>
      <c r="S203" s="72"/>
      <c r="T203" s="72"/>
      <c r="U203" s="72"/>
      <c r="V203" s="72"/>
      <c r="W203" s="72"/>
    </row>
    <row r="204" spans="6:31" x14ac:dyDescent="0.25">
      <c r="F204" s="57">
        <f t="shared" si="3"/>
        <v>64</v>
      </c>
      <c r="G204" s="76">
        <v>1</v>
      </c>
      <c r="H204" s="57">
        <v>2</v>
      </c>
      <c r="I204" s="57">
        <v>2</v>
      </c>
      <c r="J204" s="57">
        <v>3</v>
      </c>
      <c r="K204" s="57">
        <v>4</v>
      </c>
      <c r="L204" s="57">
        <v>4</v>
      </c>
      <c r="M204" s="77">
        <v>5</v>
      </c>
      <c r="N204" s="72"/>
      <c r="O204" s="72"/>
      <c r="P204" s="72"/>
      <c r="Q204" s="72"/>
      <c r="R204" s="72"/>
      <c r="S204" s="72"/>
      <c r="T204" s="72"/>
      <c r="U204" s="72"/>
      <c r="V204" s="72"/>
      <c r="W204" s="72"/>
    </row>
    <row r="205" spans="6:31" x14ac:dyDescent="0.25">
      <c r="F205" s="57">
        <f t="shared" si="3"/>
        <v>63</v>
      </c>
      <c r="G205" s="76">
        <v>1</v>
      </c>
      <c r="H205" s="57">
        <v>1</v>
      </c>
      <c r="I205" s="57">
        <v>2</v>
      </c>
      <c r="J205" s="57">
        <v>3</v>
      </c>
      <c r="K205" s="57">
        <v>4</v>
      </c>
      <c r="L205" s="57">
        <v>4</v>
      </c>
      <c r="M205" s="77">
        <v>5</v>
      </c>
      <c r="N205" s="72"/>
      <c r="O205" s="72"/>
      <c r="P205" s="72"/>
      <c r="Q205" s="72"/>
      <c r="R205" s="72"/>
      <c r="S205" s="72"/>
      <c r="T205" s="72"/>
      <c r="U205" s="72"/>
      <c r="V205" s="72"/>
      <c r="W205" s="72"/>
    </row>
    <row r="206" spans="6:31" x14ac:dyDescent="0.25">
      <c r="F206" s="57">
        <f t="shared" si="3"/>
        <v>62</v>
      </c>
      <c r="G206" s="76">
        <v>1</v>
      </c>
      <c r="H206" s="76">
        <v>1</v>
      </c>
      <c r="I206" s="57">
        <v>2</v>
      </c>
      <c r="J206" s="57">
        <v>3</v>
      </c>
      <c r="K206" s="57">
        <v>4</v>
      </c>
      <c r="L206" s="57">
        <v>4</v>
      </c>
      <c r="M206" s="77">
        <v>4</v>
      </c>
      <c r="N206" s="72"/>
      <c r="O206" s="72"/>
      <c r="P206" s="72"/>
      <c r="Q206" s="72"/>
      <c r="R206" s="72"/>
      <c r="S206" s="72"/>
      <c r="T206" s="72"/>
      <c r="U206" s="72"/>
      <c r="V206" s="72"/>
      <c r="W206" s="72"/>
    </row>
    <row r="207" spans="6:31" x14ac:dyDescent="0.25">
      <c r="F207" s="57">
        <f t="shared" si="3"/>
        <v>61</v>
      </c>
      <c r="G207" s="76">
        <v>1</v>
      </c>
      <c r="H207" s="76">
        <v>1</v>
      </c>
      <c r="I207" s="57">
        <v>2</v>
      </c>
      <c r="J207" s="57">
        <v>3</v>
      </c>
      <c r="K207" s="57">
        <v>3</v>
      </c>
      <c r="L207" s="57">
        <v>4</v>
      </c>
      <c r="M207" s="77">
        <v>4</v>
      </c>
      <c r="N207" s="72"/>
      <c r="O207" s="72"/>
      <c r="P207" s="72"/>
      <c r="Q207" s="72"/>
      <c r="R207" s="72"/>
      <c r="S207" s="72"/>
      <c r="T207" s="72"/>
      <c r="U207" s="72"/>
      <c r="V207" s="72"/>
      <c r="W207" s="72"/>
    </row>
    <row r="208" spans="6:31" x14ac:dyDescent="0.25">
      <c r="F208" s="57">
        <f t="shared" si="3"/>
        <v>60</v>
      </c>
      <c r="G208" s="76">
        <v>1</v>
      </c>
      <c r="H208" s="76">
        <v>1</v>
      </c>
      <c r="I208" s="57">
        <v>2</v>
      </c>
      <c r="J208" s="57">
        <v>3</v>
      </c>
      <c r="K208" s="57">
        <v>3</v>
      </c>
      <c r="L208" s="57">
        <v>4</v>
      </c>
      <c r="M208" s="77">
        <v>4</v>
      </c>
      <c r="N208" s="72"/>
      <c r="O208" s="72"/>
      <c r="P208" s="72"/>
      <c r="Q208" s="72"/>
      <c r="R208" s="72"/>
      <c r="S208" s="72"/>
      <c r="T208" s="72"/>
      <c r="U208" s="72"/>
      <c r="V208" s="72"/>
      <c r="W208" s="72"/>
    </row>
    <row r="209" spans="6:23" ht="15" customHeight="1" x14ac:dyDescent="0.25">
      <c r="F209" s="57">
        <f t="shared" si="3"/>
        <v>59</v>
      </c>
      <c r="G209" s="76">
        <v>1</v>
      </c>
      <c r="H209" s="76">
        <v>1</v>
      </c>
      <c r="I209" s="57">
        <v>2</v>
      </c>
      <c r="J209" s="57">
        <v>2</v>
      </c>
      <c r="K209" s="57">
        <v>3</v>
      </c>
      <c r="L209" s="57">
        <v>4</v>
      </c>
      <c r="M209" s="77">
        <v>4</v>
      </c>
      <c r="N209" s="72"/>
      <c r="O209" s="72"/>
      <c r="P209" s="72"/>
      <c r="Q209" s="72"/>
      <c r="R209" s="72"/>
      <c r="S209" s="72"/>
      <c r="T209" s="72"/>
      <c r="U209" s="72"/>
      <c r="V209" s="72"/>
      <c r="W209" s="72"/>
    </row>
    <row r="210" spans="6:23" ht="15" customHeight="1" x14ac:dyDescent="0.25">
      <c r="F210" s="57">
        <f t="shared" si="3"/>
        <v>58</v>
      </c>
      <c r="G210" s="76">
        <v>1</v>
      </c>
      <c r="H210" s="76">
        <v>1</v>
      </c>
      <c r="I210" s="57">
        <v>1</v>
      </c>
      <c r="J210" s="57">
        <v>2</v>
      </c>
      <c r="K210" s="57">
        <v>3</v>
      </c>
      <c r="L210" s="57">
        <v>3</v>
      </c>
      <c r="M210" s="77">
        <v>4</v>
      </c>
      <c r="N210" s="72"/>
      <c r="O210" s="72"/>
      <c r="P210" s="72"/>
      <c r="Q210" s="72"/>
      <c r="R210" s="72"/>
      <c r="S210" s="72"/>
      <c r="T210" s="72"/>
      <c r="U210" s="72"/>
      <c r="V210" s="72"/>
      <c r="W210" s="72"/>
    </row>
    <row r="211" spans="6:23" x14ac:dyDescent="0.25">
      <c r="F211" s="57">
        <f t="shared" si="3"/>
        <v>57</v>
      </c>
      <c r="G211" s="76">
        <v>1</v>
      </c>
      <c r="H211" s="76">
        <v>1</v>
      </c>
      <c r="I211" s="57">
        <v>1</v>
      </c>
      <c r="J211" s="57">
        <v>2</v>
      </c>
      <c r="K211" s="57">
        <v>3</v>
      </c>
      <c r="L211" s="57">
        <v>3</v>
      </c>
      <c r="M211" s="77">
        <v>4</v>
      </c>
      <c r="N211" s="72"/>
      <c r="O211" s="72"/>
      <c r="P211" s="72"/>
      <c r="Q211" s="72"/>
      <c r="R211" s="72"/>
      <c r="S211" s="72"/>
      <c r="T211" s="72"/>
      <c r="U211" s="72"/>
      <c r="V211" s="72"/>
      <c r="W211" s="72"/>
    </row>
    <row r="212" spans="6:23" x14ac:dyDescent="0.25">
      <c r="F212" s="57">
        <f t="shared" si="3"/>
        <v>56</v>
      </c>
      <c r="G212" s="76">
        <v>1</v>
      </c>
      <c r="H212" s="76">
        <v>1</v>
      </c>
      <c r="I212" s="76">
        <v>1</v>
      </c>
      <c r="J212" s="57">
        <v>2</v>
      </c>
      <c r="K212" s="57">
        <v>3</v>
      </c>
      <c r="L212" s="57">
        <v>3</v>
      </c>
      <c r="M212" s="77">
        <v>3</v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</row>
    <row r="213" spans="6:23" x14ac:dyDescent="0.25">
      <c r="F213" s="57">
        <f t="shared" si="3"/>
        <v>55</v>
      </c>
      <c r="G213" s="76">
        <v>1</v>
      </c>
      <c r="H213" s="76">
        <v>1</v>
      </c>
      <c r="I213" s="76">
        <v>1</v>
      </c>
      <c r="J213" s="57">
        <v>2</v>
      </c>
      <c r="K213" s="57">
        <v>3</v>
      </c>
      <c r="L213" s="57">
        <v>3</v>
      </c>
      <c r="M213" s="77">
        <v>3</v>
      </c>
      <c r="N213" s="72"/>
      <c r="O213" s="72"/>
      <c r="P213" s="72"/>
      <c r="Q213" s="72"/>
      <c r="R213" s="72"/>
      <c r="S213" s="72"/>
      <c r="T213" s="72"/>
      <c r="U213" s="72"/>
      <c r="V213" s="72"/>
      <c r="W213" s="72"/>
    </row>
    <row r="214" spans="6:23" x14ac:dyDescent="0.25">
      <c r="F214" s="57">
        <f t="shared" si="3"/>
        <v>54</v>
      </c>
      <c r="G214" s="76">
        <v>1</v>
      </c>
      <c r="H214" s="76">
        <v>1</v>
      </c>
      <c r="I214" s="76">
        <v>1</v>
      </c>
      <c r="J214" s="57">
        <v>2</v>
      </c>
      <c r="K214" s="57">
        <v>2</v>
      </c>
      <c r="L214" s="57">
        <v>3</v>
      </c>
      <c r="M214" s="77">
        <v>3</v>
      </c>
      <c r="N214" s="72"/>
      <c r="O214" s="72"/>
      <c r="P214" s="72"/>
      <c r="Q214" s="72"/>
      <c r="R214" s="72"/>
      <c r="S214" s="72"/>
      <c r="T214" s="72"/>
      <c r="U214" s="72"/>
      <c r="V214" s="72"/>
      <c r="W214" s="72"/>
    </row>
    <row r="215" spans="6:23" x14ac:dyDescent="0.25">
      <c r="F215" s="57">
        <f t="shared" si="3"/>
        <v>53</v>
      </c>
      <c r="G215" s="76">
        <v>1</v>
      </c>
      <c r="H215" s="76">
        <v>1</v>
      </c>
      <c r="I215" s="76">
        <v>1</v>
      </c>
      <c r="J215" s="57">
        <v>2</v>
      </c>
      <c r="K215" s="57">
        <v>2</v>
      </c>
      <c r="L215" s="57">
        <v>3</v>
      </c>
      <c r="M215" s="77">
        <v>3</v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</row>
    <row r="216" spans="6:23" x14ac:dyDescent="0.25">
      <c r="F216" s="57">
        <f t="shared" si="3"/>
        <v>52</v>
      </c>
      <c r="G216" s="76">
        <v>1</v>
      </c>
      <c r="H216" s="76">
        <v>1</v>
      </c>
      <c r="I216" s="76">
        <v>1</v>
      </c>
      <c r="J216" s="57">
        <v>1</v>
      </c>
      <c r="K216" s="57">
        <v>2</v>
      </c>
      <c r="L216" s="57">
        <v>2</v>
      </c>
      <c r="M216" s="77">
        <v>3</v>
      </c>
      <c r="N216" s="72"/>
      <c r="O216" s="72"/>
      <c r="P216" s="72"/>
      <c r="Q216" s="72"/>
      <c r="R216" s="72"/>
      <c r="S216" s="72"/>
      <c r="T216" s="72"/>
      <c r="U216" s="72"/>
      <c r="V216" s="72"/>
      <c r="W216" s="72"/>
    </row>
    <row r="217" spans="6:23" x14ac:dyDescent="0.25">
      <c r="F217" s="57">
        <f t="shared" si="3"/>
        <v>51</v>
      </c>
      <c r="G217" s="76">
        <v>1</v>
      </c>
      <c r="H217" s="76">
        <v>1</v>
      </c>
      <c r="I217" s="76">
        <v>1</v>
      </c>
      <c r="J217" s="76">
        <v>1</v>
      </c>
      <c r="K217" s="57">
        <v>2</v>
      </c>
      <c r="L217" s="57">
        <v>2</v>
      </c>
      <c r="M217" s="77">
        <v>3</v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</row>
    <row r="218" spans="6:23" x14ac:dyDescent="0.25">
      <c r="F218" s="57">
        <f t="shared" si="3"/>
        <v>50</v>
      </c>
      <c r="G218" s="76">
        <v>1</v>
      </c>
      <c r="H218" s="76">
        <v>1</v>
      </c>
      <c r="I218" s="76">
        <v>1</v>
      </c>
      <c r="J218" s="76">
        <v>1</v>
      </c>
      <c r="K218" s="57">
        <v>2</v>
      </c>
      <c r="L218" s="57">
        <v>2</v>
      </c>
      <c r="M218" s="77">
        <v>2</v>
      </c>
      <c r="N218" s="72"/>
      <c r="O218" s="72"/>
      <c r="P218" s="72"/>
      <c r="Q218" s="72"/>
      <c r="R218" s="72"/>
      <c r="S218" s="72"/>
      <c r="T218" s="72"/>
      <c r="U218" s="72"/>
      <c r="V218" s="72"/>
      <c r="W218" s="72"/>
    </row>
    <row r="219" spans="6:23" x14ac:dyDescent="0.25">
      <c r="F219" s="57">
        <f t="shared" si="3"/>
        <v>49</v>
      </c>
      <c r="G219" s="76">
        <v>1</v>
      </c>
      <c r="H219" s="76">
        <v>1</v>
      </c>
      <c r="I219" s="76">
        <v>1</v>
      </c>
      <c r="J219" s="76">
        <v>1</v>
      </c>
      <c r="K219" s="57">
        <v>2</v>
      </c>
      <c r="L219" s="57">
        <v>2</v>
      </c>
      <c r="M219" s="77">
        <v>2</v>
      </c>
      <c r="N219" s="72"/>
      <c r="O219" s="72"/>
      <c r="P219" s="72"/>
      <c r="Q219" s="72"/>
      <c r="R219" s="72"/>
      <c r="S219" s="72"/>
      <c r="T219" s="72"/>
      <c r="U219" s="72"/>
      <c r="V219" s="72"/>
      <c r="W219" s="72"/>
    </row>
    <row r="220" spans="6:23" x14ac:dyDescent="0.25">
      <c r="F220" s="57">
        <f t="shared" si="3"/>
        <v>48</v>
      </c>
      <c r="G220" s="76">
        <v>1</v>
      </c>
      <c r="H220" s="76">
        <v>1</v>
      </c>
      <c r="I220" s="76">
        <v>1</v>
      </c>
      <c r="J220" s="76">
        <v>1</v>
      </c>
      <c r="K220" s="57">
        <v>1</v>
      </c>
      <c r="L220" s="57">
        <v>2</v>
      </c>
      <c r="M220" s="77">
        <v>2</v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</row>
    <row r="221" spans="6:23" x14ac:dyDescent="0.25">
      <c r="F221" s="57">
        <f t="shared" si="3"/>
        <v>47</v>
      </c>
      <c r="G221" s="76">
        <v>1</v>
      </c>
      <c r="H221" s="76">
        <v>1</v>
      </c>
      <c r="I221" s="76">
        <v>1</v>
      </c>
      <c r="J221" s="76">
        <v>1</v>
      </c>
      <c r="K221" s="57">
        <v>1</v>
      </c>
      <c r="L221" s="57">
        <v>2</v>
      </c>
      <c r="M221" s="77">
        <v>2</v>
      </c>
      <c r="N221" s="72"/>
      <c r="O221" s="72"/>
      <c r="P221" s="72"/>
      <c r="Q221" s="72"/>
      <c r="R221" s="72"/>
      <c r="S221" s="72"/>
      <c r="T221" s="72"/>
      <c r="U221" s="72"/>
      <c r="V221" s="72"/>
      <c r="W221" s="72"/>
    </row>
    <row r="222" spans="6:23" x14ac:dyDescent="0.25">
      <c r="F222" s="57">
        <f t="shared" si="3"/>
        <v>46</v>
      </c>
      <c r="G222" s="76">
        <v>1</v>
      </c>
      <c r="H222" s="76">
        <v>1</v>
      </c>
      <c r="I222" s="76">
        <v>1</v>
      </c>
      <c r="J222" s="76">
        <v>1</v>
      </c>
      <c r="K222" s="57">
        <v>1</v>
      </c>
      <c r="L222" s="57">
        <v>1</v>
      </c>
      <c r="M222" s="77">
        <v>2</v>
      </c>
      <c r="N222" s="72"/>
      <c r="O222" s="72"/>
      <c r="P222" s="72"/>
      <c r="Q222" s="72"/>
      <c r="R222" s="72"/>
      <c r="S222" s="72"/>
      <c r="T222" s="72"/>
      <c r="U222" s="72"/>
      <c r="V222" s="72"/>
      <c r="W222" s="72"/>
    </row>
    <row r="223" spans="6:23" x14ac:dyDescent="0.25">
      <c r="F223" s="57">
        <f t="shared" si="3"/>
        <v>45</v>
      </c>
      <c r="G223" s="76">
        <v>1</v>
      </c>
      <c r="H223" s="76">
        <v>1</v>
      </c>
      <c r="I223" s="76">
        <v>1</v>
      </c>
      <c r="J223" s="76">
        <v>1</v>
      </c>
      <c r="K223" s="57">
        <v>1</v>
      </c>
      <c r="L223" s="57">
        <v>1</v>
      </c>
      <c r="M223" s="77">
        <v>2</v>
      </c>
      <c r="N223" s="72"/>
      <c r="O223" s="72"/>
      <c r="P223" s="72"/>
      <c r="Q223" s="72"/>
      <c r="R223" s="72"/>
      <c r="S223" s="72"/>
      <c r="T223" s="72"/>
      <c r="U223" s="72"/>
      <c r="V223" s="72"/>
      <c r="W223" s="72"/>
    </row>
    <row r="224" spans="6:23" x14ac:dyDescent="0.25">
      <c r="F224" s="57">
        <v>44</v>
      </c>
      <c r="G224" s="78">
        <v>1</v>
      </c>
      <c r="H224" s="78">
        <v>1</v>
      </c>
      <c r="I224" s="78">
        <v>1</v>
      </c>
      <c r="J224" s="78">
        <v>1</v>
      </c>
      <c r="K224" s="79">
        <v>1</v>
      </c>
      <c r="L224" s="79">
        <v>1</v>
      </c>
      <c r="M224" s="80">
        <v>1</v>
      </c>
      <c r="N224" s="72"/>
      <c r="O224" s="72"/>
      <c r="P224" s="72"/>
      <c r="Q224" s="72"/>
      <c r="R224" s="72"/>
      <c r="S224" s="72"/>
      <c r="T224" s="72"/>
      <c r="U224" s="72"/>
      <c r="V224" s="72"/>
      <c r="W224" s="72"/>
    </row>
    <row r="225" spans="6:23" x14ac:dyDescent="0.25"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</row>
    <row r="226" spans="6:23" x14ac:dyDescent="0.25"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</row>
    <row r="227" spans="6:23" x14ac:dyDescent="0.25"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</row>
    <row r="228" spans="6:23" x14ac:dyDescent="0.25"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</row>
    <row r="229" spans="6:23" x14ac:dyDescent="0.25"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</row>
    <row r="230" spans="6:23" x14ac:dyDescent="0.25"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</row>
    <row r="231" spans="6:23" x14ac:dyDescent="0.25"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</row>
    <row r="232" spans="6:23" x14ac:dyDescent="0.25"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</row>
    <row r="233" spans="6:23" x14ac:dyDescent="0.25"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</row>
    <row r="234" spans="6:23" x14ac:dyDescent="0.25"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</row>
    <row r="235" spans="6:23" x14ac:dyDescent="0.25"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</row>
    <row r="236" spans="6:23" x14ac:dyDescent="0.25"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</row>
    <row r="237" spans="6:23" x14ac:dyDescent="0.25"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</row>
    <row r="238" spans="6:23" x14ac:dyDescent="0.25"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</row>
    <row r="239" spans="6:23" x14ac:dyDescent="0.25"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</row>
    <row r="240" spans="6:23" x14ac:dyDescent="0.25"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</row>
    <row r="241" spans="6:23" x14ac:dyDescent="0.25"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</row>
    <row r="242" spans="6:23" x14ac:dyDescent="0.25"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</row>
    <row r="243" spans="6:23" x14ac:dyDescent="0.25"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</row>
    <row r="244" spans="6:23" x14ac:dyDescent="0.25"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</row>
    <row r="245" spans="6:23" x14ac:dyDescent="0.25"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</row>
    <row r="246" spans="6:23" x14ac:dyDescent="0.25"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</row>
    <row r="247" spans="6:23" x14ac:dyDescent="0.25"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</row>
    <row r="248" spans="6:23" x14ac:dyDescent="0.25"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</row>
    <row r="249" spans="6:23" x14ac:dyDescent="0.25"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</row>
    <row r="250" spans="6:23" ht="15" customHeight="1" x14ac:dyDescent="0.25"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</row>
    <row r="251" spans="6:23" ht="15" customHeight="1" x14ac:dyDescent="0.25"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</row>
    <row r="252" spans="6:23" x14ac:dyDescent="0.25"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</row>
    <row r="253" spans="6:23" x14ac:dyDescent="0.25"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</row>
    <row r="254" spans="6:23" x14ac:dyDescent="0.25"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</row>
    <row r="255" spans="6:23" x14ac:dyDescent="0.25"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</row>
    <row r="256" spans="6:23" x14ac:dyDescent="0.25"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</row>
    <row r="257" spans="6:23" x14ac:dyDescent="0.25"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</row>
    <row r="258" spans="6:23" x14ac:dyDescent="0.25"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</row>
    <row r="259" spans="6:23" x14ac:dyDescent="0.25"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</row>
    <row r="260" spans="6:23" x14ac:dyDescent="0.25"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</row>
    <row r="261" spans="6:23" x14ac:dyDescent="0.25"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</row>
    <row r="262" spans="6:23" x14ac:dyDescent="0.25"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</row>
    <row r="263" spans="6:23" x14ac:dyDescent="0.25"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</row>
    <row r="264" spans="6:23" x14ac:dyDescent="0.25"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</row>
    <row r="265" spans="6:23" x14ac:dyDescent="0.25"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</row>
    <row r="266" spans="6:23" x14ac:dyDescent="0.25"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</row>
    <row r="267" spans="6:23" x14ac:dyDescent="0.25"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</row>
    <row r="268" spans="6:23" x14ac:dyDescent="0.25"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</row>
    <row r="269" spans="6:23" x14ac:dyDescent="0.25"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</row>
    <row r="270" spans="6:23" x14ac:dyDescent="0.25"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</row>
    <row r="271" spans="6:23" x14ac:dyDescent="0.25"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</row>
    <row r="272" spans="6:23" x14ac:dyDescent="0.25"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</row>
    <row r="273" spans="6:23" x14ac:dyDescent="0.25"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</row>
    <row r="274" spans="6:23" x14ac:dyDescent="0.25"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</row>
    <row r="275" spans="6:23" x14ac:dyDescent="0.25"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</row>
    <row r="276" spans="6:23" x14ac:dyDescent="0.25"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</row>
    <row r="277" spans="6:23" x14ac:dyDescent="0.25"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</row>
    <row r="278" spans="6:23" x14ac:dyDescent="0.25"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</row>
    <row r="279" spans="6:23" x14ac:dyDescent="0.25"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</row>
    <row r="280" spans="6:23" x14ac:dyDescent="0.25"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</row>
    <row r="281" spans="6:23" x14ac:dyDescent="0.25"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</row>
    <row r="282" spans="6:23" x14ac:dyDescent="0.25"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</row>
    <row r="283" spans="6:23" x14ac:dyDescent="0.25"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</row>
    <row r="284" spans="6:23" x14ac:dyDescent="0.25"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</row>
    <row r="285" spans="6:23" x14ac:dyDescent="0.25"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</row>
    <row r="286" spans="6:23" x14ac:dyDescent="0.25"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</row>
    <row r="287" spans="6:23" x14ac:dyDescent="0.25"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</row>
    <row r="288" spans="6:23" x14ac:dyDescent="0.25"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</row>
    <row r="289" spans="6:23" x14ac:dyDescent="0.25"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</row>
    <row r="290" spans="6:23" x14ac:dyDescent="0.25"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</row>
    <row r="291" spans="6:23" x14ac:dyDescent="0.25"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</row>
    <row r="292" spans="6:23" x14ac:dyDescent="0.25"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</row>
  </sheetData>
  <sheetProtection password="CEE5" sheet="1" objects="1" scenarios="1"/>
  <mergeCells count="20">
    <mergeCell ref="G125:M125"/>
    <mergeCell ref="N125:T125"/>
    <mergeCell ref="U125:AA125"/>
    <mergeCell ref="G166:M166"/>
    <mergeCell ref="G45:M45"/>
    <mergeCell ref="N45:T45"/>
    <mergeCell ref="U45:AA45"/>
    <mergeCell ref="G65:M65"/>
    <mergeCell ref="N65:T65"/>
    <mergeCell ref="G85:M85"/>
    <mergeCell ref="N85:T85"/>
    <mergeCell ref="U85:AA85"/>
    <mergeCell ref="G25:M25"/>
    <mergeCell ref="N25:T25"/>
    <mergeCell ref="U25:AA25"/>
    <mergeCell ref="F1:AA2"/>
    <mergeCell ref="A2:B2"/>
    <mergeCell ref="G5:M5"/>
    <mergeCell ref="N5:T5"/>
    <mergeCell ref="U5:AA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2"/>
  <sheetViews>
    <sheetView workbookViewId="0">
      <selection activeCell="C9" sqref="C9"/>
    </sheetView>
  </sheetViews>
  <sheetFormatPr defaultRowHeight="15" x14ac:dyDescent="0.25"/>
  <cols>
    <col min="2" max="2" width="10" customWidth="1"/>
    <col min="5" max="34" width="6.140625" customWidth="1"/>
  </cols>
  <sheetData>
    <row r="1" spans="1:23" x14ac:dyDescent="0.25">
      <c r="A1" s="93" t="s">
        <v>215</v>
      </c>
      <c r="B1" s="93"/>
      <c r="C1" s="1" t="s">
        <v>149</v>
      </c>
      <c r="E1" s="125" t="s">
        <v>225</v>
      </c>
      <c r="F1" s="126"/>
      <c r="G1" s="126"/>
      <c r="H1" s="126"/>
      <c r="I1" s="126"/>
      <c r="J1" s="126"/>
      <c r="K1" s="126"/>
      <c r="L1" s="126"/>
      <c r="M1" s="127"/>
      <c r="O1" s="125" t="s">
        <v>228</v>
      </c>
      <c r="P1" s="126"/>
      <c r="Q1" s="126"/>
      <c r="R1" s="126"/>
      <c r="S1" s="126"/>
      <c r="T1" s="126"/>
      <c r="U1" s="126"/>
      <c r="V1" s="126"/>
      <c r="W1" s="127"/>
    </row>
    <row r="2" spans="1:23" x14ac:dyDescent="0.25">
      <c r="A2" s="110" t="s">
        <v>180</v>
      </c>
      <c r="B2" s="110"/>
      <c r="C2" s="48">
        <f>'Scores Summary 3'!E16</f>
        <v>10</v>
      </c>
      <c r="E2" s="49" t="s">
        <v>216</v>
      </c>
      <c r="F2" s="36" t="s">
        <v>217</v>
      </c>
      <c r="G2" s="36" t="s">
        <v>218</v>
      </c>
      <c r="H2" s="36" t="s">
        <v>219</v>
      </c>
      <c r="I2" s="36" t="s">
        <v>220</v>
      </c>
      <c r="J2" s="36" t="s">
        <v>221</v>
      </c>
      <c r="K2" s="36" t="s">
        <v>222</v>
      </c>
      <c r="L2" s="36" t="s">
        <v>223</v>
      </c>
      <c r="M2" s="50" t="s">
        <v>224</v>
      </c>
      <c r="O2" s="55" t="s">
        <v>227</v>
      </c>
      <c r="P2" s="36" t="s">
        <v>217</v>
      </c>
      <c r="Q2" s="36" t="s">
        <v>218</v>
      </c>
      <c r="R2" s="36" t="s">
        <v>219</v>
      </c>
      <c r="S2" s="36" t="s">
        <v>220</v>
      </c>
      <c r="T2" s="36" t="s">
        <v>221</v>
      </c>
      <c r="U2" s="36" t="s">
        <v>222</v>
      </c>
      <c r="V2" s="36" t="s">
        <v>223</v>
      </c>
      <c r="W2" s="50" t="s">
        <v>224</v>
      </c>
    </row>
    <row r="3" spans="1:23" x14ac:dyDescent="0.25">
      <c r="A3" s="110" t="s">
        <v>184</v>
      </c>
      <c r="B3" s="110"/>
      <c r="C3" s="48">
        <f>'Scores Summary 3'!E20</f>
        <v>9</v>
      </c>
      <c r="E3" s="49">
        <v>1</v>
      </c>
      <c r="F3" s="1">
        <v>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51">
        <v>1</v>
      </c>
      <c r="O3" s="49">
        <v>1</v>
      </c>
      <c r="P3" s="1">
        <v>3</v>
      </c>
      <c r="Q3" s="1">
        <v>2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51">
        <v>1</v>
      </c>
    </row>
    <row r="4" spans="1:23" x14ac:dyDescent="0.25">
      <c r="A4" s="110" t="s">
        <v>185</v>
      </c>
      <c r="B4" s="110"/>
      <c r="C4" s="48">
        <f>'Scores Summary 3'!E21</f>
        <v>13</v>
      </c>
      <c r="E4" s="49">
        <v>2</v>
      </c>
      <c r="F4" s="1">
        <v>4</v>
      </c>
      <c r="G4" s="1">
        <v>3</v>
      </c>
      <c r="H4" s="1">
        <v>2</v>
      </c>
      <c r="I4" s="1">
        <v>2</v>
      </c>
      <c r="J4" s="1">
        <v>1</v>
      </c>
      <c r="K4" s="1">
        <v>1</v>
      </c>
      <c r="L4" s="1">
        <v>1</v>
      </c>
      <c r="M4" s="51">
        <v>1</v>
      </c>
      <c r="O4" s="49">
        <v>2</v>
      </c>
      <c r="P4" s="1">
        <v>5</v>
      </c>
      <c r="Q4" s="1">
        <v>3</v>
      </c>
      <c r="R4" s="1">
        <v>2</v>
      </c>
      <c r="S4" s="1">
        <v>1</v>
      </c>
      <c r="T4" s="1">
        <v>1</v>
      </c>
      <c r="U4" s="1">
        <v>1</v>
      </c>
      <c r="V4" s="1">
        <v>1</v>
      </c>
      <c r="W4" s="51">
        <v>1</v>
      </c>
    </row>
    <row r="5" spans="1:23" x14ac:dyDescent="0.25">
      <c r="A5" s="110" t="s">
        <v>186</v>
      </c>
      <c r="B5" s="110"/>
      <c r="C5" s="48">
        <f>'Scores Summary 3'!E22</f>
        <v>7</v>
      </c>
      <c r="E5" s="49">
        <v>3</v>
      </c>
      <c r="F5" s="1">
        <v>5</v>
      </c>
      <c r="G5" s="1">
        <v>4</v>
      </c>
      <c r="H5" s="1">
        <v>3</v>
      </c>
      <c r="I5" s="1">
        <v>3</v>
      </c>
      <c r="J5" s="1">
        <v>2</v>
      </c>
      <c r="K5" s="1">
        <v>2</v>
      </c>
      <c r="L5" s="1">
        <v>1</v>
      </c>
      <c r="M5" s="51">
        <v>1</v>
      </c>
      <c r="O5" s="49">
        <v>3</v>
      </c>
      <c r="P5" s="1">
        <v>7</v>
      </c>
      <c r="Q5" s="1">
        <v>5</v>
      </c>
      <c r="R5" s="1">
        <v>3</v>
      </c>
      <c r="S5" s="1">
        <v>2</v>
      </c>
      <c r="T5" s="1">
        <v>1</v>
      </c>
      <c r="U5" s="1">
        <v>1</v>
      </c>
      <c r="V5" s="1">
        <v>1</v>
      </c>
      <c r="W5" s="51">
        <v>1</v>
      </c>
    </row>
    <row r="6" spans="1:23" x14ac:dyDescent="0.25">
      <c r="A6" s="110" t="s">
        <v>188</v>
      </c>
      <c r="B6" s="110"/>
      <c r="C6" s="48">
        <f>'Scores Summary 3'!E24</f>
        <v>8</v>
      </c>
      <c r="E6" s="49">
        <v>4</v>
      </c>
      <c r="F6" s="1">
        <v>7</v>
      </c>
      <c r="G6" s="1">
        <v>5</v>
      </c>
      <c r="H6" s="1">
        <v>4</v>
      </c>
      <c r="I6" s="1">
        <v>4</v>
      </c>
      <c r="J6" s="1">
        <v>3</v>
      </c>
      <c r="K6" s="1">
        <v>3</v>
      </c>
      <c r="L6" s="1">
        <v>2</v>
      </c>
      <c r="M6" s="51">
        <v>2</v>
      </c>
      <c r="O6" s="49">
        <v>4</v>
      </c>
      <c r="P6" s="1">
        <v>8</v>
      </c>
      <c r="Q6" s="1">
        <v>7</v>
      </c>
      <c r="R6" s="1">
        <v>5</v>
      </c>
      <c r="S6" s="1">
        <v>3</v>
      </c>
      <c r="T6" s="1">
        <v>2</v>
      </c>
      <c r="U6" s="1">
        <v>1</v>
      </c>
      <c r="V6" s="1">
        <v>1</v>
      </c>
      <c r="W6" s="51">
        <v>1</v>
      </c>
    </row>
    <row r="7" spans="1:23" x14ac:dyDescent="0.25">
      <c r="A7" s="110" t="s">
        <v>205</v>
      </c>
      <c r="B7" s="110"/>
      <c r="C7" s="48">
        <f>'Scores Summary 3'!E33</f>
        <v>8</v>
      </c>
      <c r="E7" s="49">
        <v>5</v>
      </c>
      <c r="F7" s="1">
        <v>8</v>
      </c>
      <c r="G7" s="1">
        <v>7</v>
      </c>
      <c r="H7" s="1">
        <v>5</v>
      </c>
      <c r="I7" s="1">
        <v>5</v>
      </c>
      <c r="J7" s="1">
        <v>4</v>
      </c>
      <c r="K7" s="1">
        <v>4</v>
      </c>
      <c r="L7" s="1">
        <v>3</v>
      </c>
      <c r="M7" s="51">
        <v>3</v>
      </c>
      <c r="O7" s="49">
        <v>5</v>
      </c>
      <c r="P7" s="1">
        <v>10</v>
      </c>
      <c r="Q7" s="1">
        <v>8</v>
      </c>
      <c r="R7" s="1">
        <v>7</v>
      </c>
      <c r="S7" s="1">
        <v>5</v>
      </c>
      <c r="T7" s="1">
        <v>3</v>
      </c>
      <c r="U7" s="1">
        <v>1</v>
      </c>
      <c r="V7" s="1">
        <v>1</v>
      </c>
      <c r="W7" s="51">
        <v>1</v>
      </c>
    </row>
    <row r="8" spans="1:23" x14ac:dyDescent="0.25">
      <c r="B8" s="42"/>
      <c r="C8" s="26"/>
      <c r="E8" s="49">
        <v>6</v>
      </c>
      <c r="F8" s="1">
        <v>9</v>
      </c>
      <c r="G8" s="1">
        <v>8</v>
      </c>
      <c r="H8" s="1">
        <v>7</v>
      </c>
      <c r="I8" s="1">
        <v>6</v>
      </c>
      <c r="J8" s="1">
        <v>5</v>
      </c>
      <c r="K8" s="1">
        <v>5</v>
      </c>
      <c r="L8" s="1">
        <v>4</v>
      </c>
      <c r="M8" s="51">
        <v>4</v>
      </c>
      <c r="O8" s="49">
        <v>6</v>
      </c>
      <c r="P8" s="1">
        <v>12</v>
      </c>
      <c r="Q8" s="1">
        <v>10</v>
      </c>
      <c r="R8" s="1">
        <v>8</v>
      </c>
      <c r="S8" s="1">
        <v>6</v>
      </c>
      <c r="T8" s="1">
        <v>4</v>
      </c>
      <c r="U8" s="1">
        <v>2</v>
      </c>
      <c r="V8" s="1">
        <v>1</v>
      </c>
      <c r="W8" s="51">
        <v>1</v>
      </c>
    </row>
    <row r="9" spans="1:23" x14ac:dyDescent="0.25">
      <c r="A9" s="110" t="s">
        <v>208</v>
      </c>
      <c r="B9" s="110"/>
      <c r="C9" s="47">
        <f>IF(C4="","",IF(C2="","",VLOOKUP(C4,E3:M21,VLOOKUP(C2,E24:G42,3,FALSE))))</f>
        <v>13</v>
      </c>
      <c r="E9" s="49">
        <v>7</v>
      </c>
      <c r="F9" s="1">
        <v>9</v>
      </c>
      <c r="G9" s="1">
        <v>9</v>
      </c>
      <c r="H9" s="1">
        <v>8</v>
      </c>
      <c r="I9" s="1">
        <v>8</v>
      </c>
      <c r="J9" s="1">
        <v>6</v>
      </c>
      <c r="K9" s="1">
        <v>6</v>
      </c>
      <c r="L9" s="1">
        <v>5</v>
      </c>
      <c r="M9" s="51">
        <v>5</v>
      </c>
      <c r="O9" s="49">
        <v>7</v>
      </c>
      <c r="P9" s="1">
        <v>14</v>
      </c>
      <c r="Q9" s="1">
        <v>12</v>
      </c>
      <c r="R9" s="1">
        <v>9</v>
      </c>
      <c r="S9" s="1">
        <v>7</v>
      </c>
      <c r="T9" s="1">
        <v>5</v>
      </c>
      <c r="U9" s="1">
        <v>3</v>
      </c>
      <c r="V9" s="1">
        <v>2</v>
      </c>
      <c r="W9" s="51">
        <v>1</v>
      </c>
    </row>
    <row r="10" spans="1:23" x14ac:dyDescent="0.25">
      <c r="A10" s="110" t="s">
        <v>207</v>
      </c>
      <c r="B10" s="110"/>
      <c r="C10" s="47">
        <f>IF(C5="","",IF(C3="","",VLOOKUP(C5,O2:W21,VLOOKUP(C3,E24:G42,3,FALSE))))</f>
        <v>7</v>
      </c>
      <c r="E10" s="49">
        <v>8</v>
      </c>
      <c r="F10" s="1">
        <v>10</v>
      </c>
      <c r="G10" s="1">
        <v>10</v>
      </c>
      <c r="H10" s="1">
        <v>9</v>
      </c>
      <c r="I10" s="1">
        <v>9</v>
      </c>
      <c r="J10" s="1">
        <v>8</v>
      </c>
      <c r="K10" s="1">
        <v>7</v>
      </c>
      <c r="L10" s="1">
        <v>6</v>
      </c>
      <c r="M10" s="51">
        <v>6</v>
      </c>
      <c r="O10" s="49">
        <v>8</v>
      </c>
      <c r="P10" s="1">
        <v>16</v>
      </c>
      <c r="Q10" s="1">
        <v>14</v>
      </c>
      <c r="R10" s="1">
        <v>11</v>
      </c>
      <c r="S10" s="1">
        <v>9</v>
      </c>
      <c r="T10" s="1">
        <v>6</v>
      </c>
      <c r="U10" s="1">
        <v>4</v>
      </c>
      <c r="V10" s="1">
        <v>3</v>
      </c>
      <c r="W10" s="51">
        <v>2</v>
      </c>
    </row>
    <row r="11" spans="1:23" x14ac:dyDescent="0.25">
      <c r="A11" s="110" t="s">
        <v>209</v>
      </c>
      <c r="B11" s="110"/>
      <c r="C11" s="47">
        <f>IF(C6="","",IF(C3="","",VLOOKUP(C6,H23:P42,VLOOKUP(C3,E24:G42,3,FALSE))))</f>
        <v>9</v>
      </c>
      <c r="E11" s="49">
        <v>9</v>
      </c>
      <c r="F11" s="1">
        <v>11</v>
      </c>
      <c r="G11" s="1">
        <v>11</v>
      </c>
      <c r="H11" s="1">
        <v>10</v>
      </c>
      <c r="I11" s="1">
        <v>10</v>
      </c>
      <c r="J11" s="1">
        <v>9</v>
      </c>
      <c r="K11" s="1">
        <v>8</v>
      </c>
      <c r="L11" s="1">
        <v>7</v>
      </c>
      <c r="M11" s="51">
        <v>7</v>
      </c>
      <c r="O11" s="49">
        <v>9</v>
      </c>
      <c r="P11" s="1">
        <v>18</v>
      </c>
      <c r="Q11" s="1">
        <v>16</v>
      </c>
      <c r="R11" s="1">
        <v>13</v>
      </c>
      <c r="S11" s="1">
        <v>10</v>
      </c>
      <c r="T11" s="1">
        <v>8</v>
      </c>
      <c r="U11" s="1">
        <v>5</v>
      </c>
      <c r="V11" s="1">
        <v>4</v>
      </c>
      <c r="W11" s="51">
        <v>3</v>
      </c>
    </row>
    <row r="12" spans="1:23" x14ac:dyDescent="0.25">
      <c r="A12" s="110" t="s">
        <v>210</v>
      </c>
      <c r="B12" s="110"/>
      <c r="C12" s="47">
        <f>IF(C6="","",IF(C5="","",VLOOKUP(C6,Q23:Y42,VLOOKUP(C5,E24:G42,3,FALSE))))</f>
        <v>12</v>
      </c>
      <c r="E12" s="49">
        <v>10</v>
      </c>
      <c r="F12" s="1">
        <v>12</v>
      </c>
      <c r="G12" s="1">
        <v>12</v>
      </c>
      <c r="H12" s="1">
        <v>12</v>
      </c>
      <c r="I12" s="1">
        <v>11</v>
      </c>
      <c r="J12" s="1">
        <v>10</v>
      </c>
      <c r="K12" s="1">
        <v>9</v>
      </c>
      <c r="L12" s="1">
        <v>8</v>
      </c>
      <c r="M12" s="51">
        <v>8</v>
      </c>
      <c r="O12" s="49">
        <v>10</v>
      </c>
      <c r="P12" s="1">
        <v>19</v>
      </c>
      <c r="Q12" s="1">
        <v>18</v>
      </c>
      <c r="R12" s="1">
        <v>15</v>
      </c>
      <c r="S12" s="1">
        <v>12</v>
      </c>
      <c r="T12" s="1">
        <v>9</v>
      </c>
      <c r="U12" s="1">
        <v>7</v>
      </c>
      <c r="V12" s="1">
        <v>5</v>
      </c>
      <c r="W12" s="51">
        <v>4</v>
      </c>
    </row>
    <row r="13" spans="1:23" x14ac:dyDescent="0.25">
      <c r="A13" s="110" t="s">
        <v>211</v>
      </c>
      <c r="B13" s="110"/>
      <c r="C13" s="47">
        <f>IF(C6="","",IF(C7="","",VLOOKUP(C6,Z23:AH42,VLOOKUP(C7,E24:G42,3,FALSE))))</f>
        <v>9</v>
      </c>
      <c r="E13" s="49">
        <v>11</v>
      </c>
      <c r="F13" s="1">
        <v>13</v>
      </c>
      <c r="G13" s="1">
        <v>13</v>
      </c>
      <c r="H13" s="1">
        <v>13</v>
      </c>
      <c r="I13" s="1">
        <v>12</v>
      </c>
      <c r="J13" s="1">
        <v>11</v>
      </c>
      <c r="K13" s="1">
        <v>10</v>
      </c>
      <c r="L13" s="1">
        <v>9</v>
      </c>
      <c r="M13" s="51">
        <v>9</v>
      </c>
      <c r="O13" s="49">
        <v>11</v>
      </c>
      <c r="P13" s="1">
        <v>19</v>
      </c>
      <c r="Q13" s="1">
        <v>19</v>
      </c>
      <c r="R13" s="1">
        <v>17</v>
      </c>
      <c r="S13" s="1">
        <v>13</v>
      </c>
      <c r="T13" s="1">
        <v>11</v>
      </c>
      <c r="U13" s="1">
        <v>9</v>
      </c>
      <c r="V13" s="1">
        <v>7</v>
      </c>
      <c r="W13" s="51">
        <v>6</v>
      </c>
    </row>
    <row r="14" spans="1:23" x14ac:dyDescent="0.25">
      <c r="A14" s="42"/>
      <c r="B14" s="42"/>
      <c r="C14" s="26"/>
      <c r="E14" s="49">
        <v>12</v>
      </c>
      <c r="F14" s="1">
        <v>14</v>
      </c>
      <c r="G14" s="1">
        <v>14</v>
      </c>
      <c r="H14" s="1">
        <v>14</v>
      </c>
      <c r="I14" s="1">
        <v>13</v>
      </c>
      <c r="J14" s="1">
        <v>12</v>
      </c>
      <c r="K14" s="1">
        <v>11</v>
      </c>
      <c r="L14" s="1">
        <v>10</v>
      </c>
      <c r="M14" s="51">
        <v>10</v>
      </c>
      <c r="O14" s="49">
        <v>12</v>
      </c>
      <c r="P14" s="1">
        <v>19</v>
      </c>
      <c r="Q14" s="1">
        <v>19</v>
      </c>
      <c r="R14" s="1">
        <v>19</v>
      </c>
      <c r="S14" s="1">
        <v>15</v>
      </c>
      <c r="T14" s="1">
        <v>12</v>
      </c>
      <c r="U14" s="1">
        <v>10</v>
      </c>
      <c r="V14" s="1">
        <v>8</v>
      </c>
      <c r="W14" s="51">
        <v>7</v>
      </c>
    </row>
    <row r="15" spans="1:23" x14ac:dyDescent="0.25">
      <c r="A15" s="42"/>
      <c r="B15" s="42"/>
      <c r="C15" s="26"/>
      <c r="E15" s="49">
        <v>13</v>
      </c>
      <c r="F15" s="1">
        <v>15</v>
      </c>
      <c r="G15" s="1">
        <v>15</v>
      </c>
      <c r="H15" s="1">
        <v>15</v>
      </c>
      <c r="I15" s="1">
        <v>14</v>
      </c>
      <c r="J15" s="1">
        <v>13</v>
      </c>
      <c r="K15" s="1">
        <v>12</v>
      </c>
      <c r="L15" s="1">
        <v>11</v>
      </c>
      <c r="M15" s="51">
        <v>11</v>
      </c>
      <c r="O15" s="49">
        <v>13</v>
      </c>
      <c r="P15" s="1">
        <v>19</v>
      </c>
      <c r="Q15" s="1">
        <v>19</v>
      </c>
      <c r="R15" s="1">
        <v>19</v>
      </c>
      <c r="S15" s="1">
        <v>17</v>
      </c>
      <c r="T15" s="1">
        <v>14</v>
      </c>
      <c r="U15" s="1">
        <v>12</v>
      </c>
      <c r="V15" s="1">
        <v>9</v>
      </c>
      <c r="W15" s="51">
        <v>8</v>
      </c>
    </row>
    <row r="16" spans="1:23" x14ac:dyDescent="0.25">
      <c r="A16" s="42"/>
      <c r="B16" s="42"/>
      <c r="C16" s="26"/>
      <c r="E16" s="49">
        <v>14</v>
      </c>
      <c r="F16" s="1">
        <v>16</v>
      </c>
      <c r="G16" s="1">
        <v>16</v>
      </c>
      <c r="H16" s="1">
        <v>16</v>
      </c>
      <c r="I16" s="1">
        <v>15</v>
      </c>
      <c r="J16" s="1">
        <v>15</v>
      </c>
      <c r="K16" s="1">
        <v>13</v>
      </c>
      <c r="L16" s="1">
        <v>12</v>
      </c>
      <c r="M16" s="51">
        <v>12</v>
      </c>
      <c r="O16" s="49">
        <v>14</v>
      </c>
      <c r="P16" s="1">
        <v>19</v>
      </c>
      <c r="Q16" s="1">
        <v>19</v>
      </c>
      <c r="R16" s="1">
        <v>19</v>
      </c>
      <c r="S16" s="1">
        <v>19</v>
      </c>
      <c r="T16" s="1">
        <v>16</v>
      </c>
      <c r="U16" s="1">
        <v>13</v>
      </c>
      <c r="V16" s="1">
        <v>11</v>
      </c>
      <c r="W16" s="51">
        <v>10</v>
      </c>
    </row>
    <row r="17" spans="1:34" x14ac:dyDescent="0.25">
      <c r="A17" s="42"/>
      <c r="B17" s="42"/>
      <c r="C17" s="26"/>
      <c r="E17" s="49">
        <v>15</v>
      </c>
      <c r="F17" s="1">
        <v>17</v>
      </c>
      <c r="G17" s="1">
        <v>17</v>
      </c>
      <c r="H17" s="1">
        <v>17</v>
      </c>
      <c r="I17" s="1">
        <v>16</v>
      </c>
      <c r="J17" s="1">
        <v>16</v>
      </c>
      <c r="K17" s="1">
        <v>14</v>
      </c>
      <c r="L17" s="1">
        <v>14</v>
      </c>
      <c r="M17" s="51">
        <v>14</v>
      </c>
      <c r="O17" s="49">
        <v>15</v>
      </c>
      <c r="P17" s="1">
        <v>19</v>
      </c>
      <c r="Q17" s="1">
        <v>19</v>
      </c>
      <c r="R17" s="1">
        <v>19</v>
      </c>
      <c r="S17" s="1">
        <v>19</v>
      </c>
      <c r="T17" s="1">
        <v>18</v>
      </c>
      <c r="U17" s="1">
        <v>15</v>
      </c>
      <c r="V17" s="1">
        <v>12</v>
      </c>
      <c r="W17" s="51">
        <v>11</v>
      </c>
    </row>
    <row r="18" spans="1:34" x14ac:dyDescent="0.25">
      <c r="A18" s="42"/>
      <c r="B18" s="42"/>
      <c r="C18" s="26"/>
      <c r="E18" s="49">
        <v>16</v>
      </c>
      <c r="F18" s="1">
        <v>18</v>
      </c>
      <c r="G18" s="1">
        <v>18</v>
      </c>
      <c r="H18" s="1">
        <v>18</v>
      </c>
      <c r="I18" s="1">
        <v>17</v>
      </c>
      <c r="J18" s="1">
        <v>17</v>
      </c>
      <c r="K18" s="1">
        <v>15</v>
      </c>
      <c r="L18" s="1">
        <v>15</v>
      </c>
      <c r="M18" s="51">
        <v>15</v>
      </c>
      <c r="O18" s="49">
        <v>16</v>
      </c>
      <c r="P18" s="1">
        <v>19</v>
      </c>
      <c r="Q18" s="1">
        <v>19</v>
      </c>
      <c r="R18" s="1">
        <v>19</v>
      </c>
      <c r="S18" s="1">
        <v>19</v>
      </c>
      <c r="T18" s="1">
        <v>19</v>
      </c>
      <c r="U18" s="1">
        <v>17</v>
      </c>
      <c r="V18" s="1">
        <v>14</v>
      </c>
      <c r="W18" s="51">
        <v>13</v>
      </c>
    </row>
    <row r="19" spans="1:34" x14ac:dyDescent="0.25">
      <c r="A19" s="42"/>
      <c r="B19" s="42"/>
      <c r="C19" s="26"/>
      <c r="E19" s="49">
        <v>17</v>
      </c>
      <c r="F19" s="1">
        <v>19</v>
      </c>
      <c r="G19" s="1">
        <v>19</v>
      </c>
      <c r="H19" s="1">
        <v>19</v>
      </c>
      <c r="I19" s="1">
        <v>18</v>
      </c>
      <c r="J19" s="1">
        <v>18</v>
      </c>
      <c r="K19" s="1">
        <v>16</v>
      </c>
      <c r="L19" s="1">
        <v>16</v>
      </c>
      <c r="M19" s="51">
        <v>16</v>
      </c>
      <c r="O19" s="49">
        <v>17</v>
      </c>
      <c r="P19" s="1">
        <v>19</v>
      </c>
      <c r="Q19" s="1">
        <v>19</v>
      </c>
      <c r="R19" s="1">
        <v>19</v>
      </c>
      <c r="S19" s="1">
        <v>19</v>
      </c>
      <c r="T19" s="1">
        <v>19</v>
      </c>
      <c r="U19" s="1">
        <v>19</v>
      </c>
      <c r="V19" s="1">
        <v>16</v>
      </c>
      <c r="W19" s="51">
        <v>15</v>
      </c>
    </row>
    <row r="20" spans="1:34" x14ac:dyDescent="0.25">
      <c r="A20" s="42"/>
      <c r="B20" s="42"/>
      <c r="C20" s="26"/>
      <c r="E20" s="49">
        <v>18</v>
      </c>
      <c r="F20" s="1">
        <v>19</v>
      </c>
      <c r="G20" s="1">
        <v>19</v>
      </c>
      <c r="H20" s="1">
        <v>19</v>
      </c>
      <c r="I20" s="1">
        <v>19</v>
      </c>
      <c r="J20" s="1">
        <v>19</v>
      </c>
      <c r="K20" s="1">
        <v>18</v>
      </c>
      <c r="L20" s="1">
        <v>18</v>
      </c>
      <c r="M20" s="51">
        <v>18</v>
      </c>
      <c r="O20" s="49">
        <v>18</v>
      </c>
      <c r="P20" s="1">
        <v>19</v>
      </c>
      <c r="Q20" s="1">
        <v>19</v>
      </c>
      <c r="R20" s="1">
        <v>19</v>
      </c>
      <c r="S20" s="1">
        <v>19</v>
      </c>
      <c r="T20" s="1">
        <v>19</v>
      </c>
      <c r="U20" s="1">
        <v>19</v>
      </c>
      <c r="V20" s="1">
        <v>18</v>
      </c>
      <c r="W20" s="51">
        <v>17</v>
      </c>
    </row>
    <row r="21" spans="1:34" ht="15.75" thickBot="1" x14ac:dyDescent="0.3">
      <c r="A21" s="42"/>
      <c r="B21" s="42"/>
      <c r="C21" s="26"/>
      <c r="E21" s="52">
        <v>19</v>
      </c>
      <c r="F21" s="53">
        <v>19</v>
      </c>
      <c r="G21" s="53">
        <v>19</v>
      </c>
      <c r="H21" s="53">
        <v>19</v>
      </c>
      <c r="I21" s="1">
        <v>19</v>
      </c>
      <c r="J21" s="1">
        <v>19</v>
      </c>
      <c r="K21" s="1">
        <v>19</v>
      </c>
      <c r="L21" s="1">
        <v>19</v>
      </c>
      <c r="M21" s="51">
        <v>19</v>
      </c>
      <c r="O21" s="49">
        <v>19</v>
      </c>
      <c r="P21" s="1">
        <v>19</v>
      </c>
      <c r="Q21" s="53">
        <v>19</v>
      </c>
      <c r="R21" s="1">
        <v>19</v>
      </c>
      <c r="S21" s="1">
        <v>19</v>
      </c>
      <c r="T21" s="1">
        <v>19</v>
      </c>
      <c r="U21" s="1">
        <v>19</v>
      </c>
      <c r="V21" s="1">
        <v>19</v>
      </c>
      <c r="W21" s="51">
        <v>19</v>
      </c>
    </row>
    <row r="22" spans="1:34" x14ac:dyDescent="0.25">
      <c r="B22" s="42"/>
      <c r="C22" s="26"/>
      <c r="I22" s="125" t="s">
        <v>230</v>
      </c>
      <c r="J22" s="126"/>
      <c r="K22" s="126"/>
      <c r="L22" s="126"/>
      <c r="M22" s="126"/>
      <c r="N22" s="126"/>
      <c r="O22" s="126"/>
      <c r="P22" s="127"/>
      <c r="R22" s="125" t="s">
        <v>231</v>
      </c>
      <c r="S22" s="126"/>
      <c r="T22" s="126"/>
      <c r="U22" s="126"/>
      <c r="V22" s="126"/>
      <c r="W22" s="126"/>
      <c r="X22" s="126"/>
      <c r="Y22" s="127"/>
      <c r="AA22" s="125" t="s">
        <v>232</v>
      </c>
      <c r="AB22" s="126"/>
      <c r="AC22" s="126"/>
      <c r="AD22" s="126"/>
      <c r="AE22" s="126"/>
      <c r="AF22" s="126"/>
      <c r="AG22" s="126"/>
      <c r="AH22" s="127"/>
    </row>
    <row r="23" spans="1:34" x14ac:dyDescent="0.25">
      <c r="A23" s="42"/>
      <c r="C23" s="26"/>
      <c r="E23" s="1" t="s">
        <v>229</v>
      </c>
      <c r="F23" s="1" t="s">
        <v>38</v>
      </c>
      <c r="G23" s="1" t="s">
        <v>226</v>
      </c>
      <c r="I23" s="55" t="s">
        <v>217</v>
      </c>
      <c r="J23" s="36" t="s">
        <v>218</v>
      </c>
      <c r="K23" s="36" t="s">
        <v>219</v>
      </c>
      <c r="L23" s="36" t="s">
        <v>220</v>
      </c>
      <c r="M23" s="36" t="s">
        <v>221</v>
      </c>
      <c r="N23" s="36" t="s">
        <v>222</v>
      </c>
      <c r="O23" s="36" t="s">
        <v>223</v>
      </c>
      <c r="P23" s="50" t="s">
        <v>224</v>
      </c>
      <c r="R23" s="55" t="s">
        <v>217</v>
      </c>
      <c r="S23" s="36" t="s">
        <v>218</v>
      </c>
      <c r="T23" s="36" t="s">
        <v>219</v>
      </c>
      <c r="U23" s="36" t="s">
        <v>220</v>
      </c>
      <c r="V23" s="36" t="s">
        <v>221</v>
      </c>
      <c r="W23" s="36" t="s">
        <v>222</v>
      </c>
      <c r="X23" s="36" t="s">
        <v>223</v>
      </c>
      <c r="Y23" s="50" t="s">
        <v>224</v>
      </c>
      <c r="AA23" s="55" t="s">
        <v>217</v>
      </c>
      <c r="AB23" s="36" t="s">
        <v>218</v>
      </c>
      <c r="AC23" s="36" t="s">
        <v>219</v>
      </c>
      <c r="AD23" s="36" t="s">
        <v>220</v>
      </c>
      <c r="AE23" s="36" t="s">
        <v>221</v>
      </c>
      <c r="AF23" s="36" t="s">
        <v>222</v>
      </c>
      <c r="AG23" s="36" t="s">
        <v>223</v>
      </c>
      <c r="AH23" s="50" t="s">
        <v>224</v>
      </c>
    </row>
    <row r="24" spans="1:34" x14ac:dyDescent="0.25">
      <c r="A24" s="42"/>
      <c r="B24" s="42"/>
      <c r="C24" s="26"/>
      <c r="E24" s="1">
        <v>1</v>
      </c>
      <c r="F24" s="36" t="s">
        <v>217</v>
      </c>
      <c r="G24" s="1">
        <v>2</v>
      </c>
      <c r="H24" s="56">
        <v>1</v>
      </c>
      <c r="I24" s="49">
        <v>4</v>
      </c>
      <c r="J24" s="1">
        <v>2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51">
        <v>1</v>
      </c>
      <c r="Q24" s="56">
        <v>1</v>
      </c>
      <c r="R24" s="49">
        <v>3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51">
        <v>1</v>
      </c>
      <c r="Z24" s="56">
        <v>1</v>
      </c>
      <c r="AA24" s="49">
        <v>4</v>
      </c>
      <c r="AB24" s="1">
        <v>3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51">
        <v>1</v>
      </c>
    </row>
    <row r="25" spans="1:34" x14ac:dyDescent="0.25">
      <c r="A25" s="42"/>
      <c r="C25" s="26"/>
      <c r="E25" s="1">
        <v>2</v>
      </c>
      <c r="F25" s="36" t="s">
        <v>217</v>
      </c>
      <c r="G25" s="1">
        <v>2</v>
      </c>
      <c r="H25" s="56">
        <v>2</v>
      </c>
      <c r="I25" s="49">
        <v>6</v>
      </c>
      <c r="J25" s="1">
        <v>4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51">
        <v>1</v>
      </c>
      <c r="Q25" s="56">
        <v>2</v>
      </c>
      <c r="R25" s="49">
        <v>6</v>
      </c>
      <c r="S25" s="1">
        <v>3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51">
        <v>1</v>
      </c>
      <c r="Z25" s="56">
        <v>2</v>
      </c>
      <c r="AA25" s="49">
        <v>6</v>
      </c>
      <c r="AB25" s="1">
        <v>5</v>
      </c>
      <c r="AC25" s="1">
        <v>2</v>
      </c>
      <c r="AD25" s="1">
        <v>1</v>
      </c>
      <c r="AE25" s="1">
        <v>1</v>
      </c>
      <c r="AF25" s="1">
        <v>1</v>
      </c>
      <c r="AG25" s="1">
        <v>1</v>
      </c>
      <c r="AH25" s="51">
        <v>1</v>
      </c>
    </row>
    <row r="26" spans="1:34" x14ac:dyDescent="0.25">
      <c r="E26" s="1">
        <v>3</v>
      </c>
      <c r="F26" s="36" t="s">
        <v>217</v>
      </c>
      <c r="G26" s="1">
        <v>2</v>
      </c>
      <c r="H26" s="56">
        <v>3</v>
      </c>
      <c r="I26" s="49">
        <v>7</v>
      </c>
      <c r="J26" s="1">
        <v>6</v>
      </c>
      <c r="K26" s="1">
        <v>2</v>
      </c>
      <c r="L26" s="1">
        <v>1</v>
      </c>
      <c r="M26" s="1">
        <v>1</v>
      </c>
      <c r="N26" s="1">
        <v>1</v>
      </c>
      <c r="O26" s="1">
        <v>1</v>
      </c>
      <c r="P26" s="51">
        <v>1</v>
      </c>
      <c r="Q26" s="56">
        <v>3</v>
      </c>
      <c r="R26" s="49">
        <v>8</v>
      </c>
      <c r="S26" s="1">
        <v>5</v>
      </c>
      <c r="T26" s="1">
        <v>2</v>
      </c>
      <c r="U26" s="1">
        <v>1</v>
      </c>
      <c r="V26" s="1">
        <v>1</v>
      </c>
      <c r="W26" s="1">
        <v>1</v>
      </c>
      <c r="X26" s="1">
        <v>1</v>
      </c>
      <c r="Y26" s="51">
        <v>1</v>
      </c>
      <c r="Z26" s="56">
        <v>3</v>
      </c>
      <c r="AA26" s="49">
        <v>7</v>
      </c>
      <c r="AB26" s="1">
        <v>6</v>
      </c>
      <c r="AC26" s="1">
        <v>3</v>
      </c>
      <c r="AD26" s="1">
        <v>1</v>
      </c>
      <c r="AE26" s="1">
        <v>1</v>
      </c>
      <c r="AF26" s="1">
        <v>1</v>
      </c>
      <c r="AG26" s="1">
        <v>1</v>
      </c>
      <c r="AH26" s="51">
        <v>1</v>
      </c>
    </row>
    <row r="27" spans="1:34" x14ac:dyDescent="0.25">
      <c r="E27" s="1">
        <v>4</v>
      </c>
      <c r="F27" s="36" t="s">
        <v>218</v>
      </c>
      <c r="G27" s="1">
        <v>3</v>
      </c>
      <c r="H27" s="56">
        <v>4</v>
      </c>
      <c r="I27" s="49">
        <v>8</v>
      </c>
      <c r="J27" s="1">
        <v>7</v>
      </c>
      <c r="K27" s="1">
        <v>4</v>
      </c>
      <c r="L27" s="1">
        <v>1</v>
      </c>
      <c r="M27" s="1">
        <v>1</v>
      </c>
      <c r="N27" s="1">
        <v>1</v>
      </c>
      <c r="O27" s="1">
        <v>1</v>
      </c>
      <c r="P27" s="51">
        <v>1</v>
      </c>
      <c r="Q27" s="56">
        <v>4</v>
      </c>
      <c r="R27" s="49">
        <v>10</v>
      </c>
      <c r="S27" s="1">
        <v>7</v>
      </c>
      <c r="T27" s="1">
        <v>4</v>
      </c>
      <c r="U27" s="1">
        <v>1</v>
      </c>
      <c r="V27" s="1">
        <v>1</v>
      </c>
      <c r="W27" s="1">
        <v>1</v>
      </c>
      <c r="X27" s="1">
        <v>1</v>
      </c>
      <c r="Y27" s="51">
        <v>1</v>
      </c>
      <c r="Z27" s="56">
        <v>4</v>
      </c>
      <c r="AA27" s="49">
        <v>8</v>
      </c>
      <c r="AB27" s="1">
        <v>7</v>
      </c>
      <c r="AC27" s="1">
        <v>4</v>
      </c>
      <c r="AD27" s="1">
        <v>2</v>
      </c>
      <c r="AE27" s="1">
        <v>1</v>
      </c>
      <c r="AF27" s="1">
        <v>1</v>
      </c>
      <c r="AG27" s="1">
        <v>1</v>
      </c>
      <c r="AH27" s="51">
        <v>1</v>
      </c>
    </row>
    <row r="28" spans="1:34" x14ac:dyDescent="0.25">
      <c r="E28" s="1">
        <v>5</v>
      </c>
      <c r="F28" s="36" t="s">
        <v>218</v>
      </c>
      <c r="G28" s="1">
        <v>3</v>
      </c>
      <c r="H28" s="56">
        <v>5</v>
      </c>
      <c r="I28" s="49">
        <v>9</v>
      </c>
      <c r="J28" s="1">
        <v>8</v>
      </c>
      <c r="K28" s="1">
        <v>6</v>
      </c>
      <c r="L28" s="1">
        <v>3</v>
      </c>
      <c r="M28" s="1">
        <v>1</v>
      </c>
      <c r="N28" s="1">
        <v>1</v>
      </c>
      <c r="O28" s="1">
        <v>1</v>
      </c>
      <c r="P28" s="51">
        <v>1</v>
      </c>
      <c r="Q28" s="56">
        <v>5</v>
      </c>
      <c r="R28" s="49">
        <v>11</v>
      </c>
      <c r="S28" s="1">
        <v>9</v>
      </c>
      <c r="T28" s="1">
        <v>6</v>
      </c>
      <c r="U28" s="1">
        <v>3</v>
      </c>
      <c r="V28" s="1">
        <v>1</v>
      </c>
      <c r="W28" s="1">
        <v>1</v>
      </c>
      <c r="X28" s="1">
        <v>1</v>
      </c>
      <c r="Y28" s="51">
        <v>1</v>
      </c>
      <c r="Z28" s="56">
        <v>5</v>
      </c>
      <c r="AA28" s="49">
        <v>9</v>
      </c>
      <c r="AB28" s="1">
        <v>8</v>
      </c>
      <c r="AC28" s="1">
        <v>5</v>
      </c>
      <c r="AD28" s="1">
        <v>3</v>
      </c>
      <c r="AE28" s="1">
        <v>2</v>
      </c>
      <c r="AF28" s="1">
        <v>1</v>
      </c>
      <c r="AG28" s="1">
        <v>1</v>
      </c>
      <c r="AH28" s="51">
        <v>1</v>
      </c>
    </row>
    <row r="29" spans="1:34" x14ac:dyDescent="0.25">
      <c r="E29" s="1">
        <v>6</v>
      </c>
      <c r="F29" s="36" t="s">
        <v>219</v>
      </c>
      <c r="G29" s="1">
        <v>4</v>
      </c>
      <c r="H29" s="56">
        <v>6</v>
      </c>
      <c r="I29" s="49">
        <v>11</v>
      </c>
      <c r="J29" s="1">
        <v>10</v>
      </c>
      <c r="K29" s="1">
        <v>8</v>
      </c>
      <c r="L29" s="1">
        <v>5</v>
      </c>
      <c r="M29" s="1">
        <v>3</v>
      </c>
      <c r="N29" s="1">
        <v>1</v>
      </c>
      <c r="O29" s="1">
        <v>1</v>
      </c>
      <c r="P29" s="51">
        <v>1</v>
      </c>
      <c r="Q29" s="56">
        <v>6</v>
      </c>
      <c r="R29" s="49">
        <v>13</v>
      </c>
      <c r="S29" s="1">
        <v>11</v>
      </c>
      <c r="T29" s="1">
        <v>8</v>
      </c>
      <c r="U29" s="1">
        <v>5</v>
      </c>
      <c r="V29" s="1">
        <v>2</v>
      </c>
      <c r="W29" s="1">
        <v>1</v>
      </c>
      <c r="X29" s="1">
        <v>1</v>
      </c>
      <c r="Y29" s="51">
        <v>1</v>
      </c>
      <c r="Z29" s="56">
        <v>6</v>
      </c>
      <c r="AA29" s="49">
        <v>11</v>
      </c>
      <c r="AB29" s="1">
        <v>10</v>
      </c>
      <c r="AC29" s="1">
        <v>7</v>
      </c>
      <c r="AD29" s="1">
        <v>5</v>
      </c>
      <c r="AE29" s="1">
        <v>3</v>
      </c>
      <c r="AF29" s="1">
        <v>2</v>
      </c>
      <c r="AG29" s="1">
        <v>1</v>
      </c>
      <c r="AH29" s="51">
        <v>1</v>
      </c>
    </row>
    <row r="30" spans="1:34" x14ac:dyDescent="0.25">
      <c r="E30" s="1">
        <v>7</v>
      </c>
      <c r="F30" s="36" t="s">
        <v>219</v>
      </c>
      <c r="G30" s="1">
        <v>4</v>
      </c>
      <c r="H30" s="56">
        <v>7</v>
      </c>
      <c r="I30" s="49">
        <v>13</v>
      </c>
      <c r="J30" s="1">
        <v>12</v>
      </c>
      <c r="K30" s="1">
        <v>10</v>
      </c>
      <c r="L30" s="1">
        <v>7</v>
      </c>
      <c r="M30" s="1">
        <v>5</v>
      </c>
      <c r="N30" s="1">
        <v>3</v>
      </c>
      <c r="O30" s="1">
        <v>1</v>
      </c>
      <c r="P30" s="51">
        <v>1</v>
      </c>
      <c r="Q30" s="56">
        <v>7</v>
      </c>
      <c r="R30" s="49">
        <v>15</v>
      </c>
      <c r="S30" s="1">
        <v>13</v>
      </c>
      <c r="T30" s="1">
        <v>10</v>
      </c>
      <c r="U30" s="1">
        <v>7</v>
      </c>
      <c r="V30" s="1">
        <v>4</v>
      </c>
      <c r="W30" s="1">
        <v>2</v>
      </c>
      <c r="X30" s="1">
        <v>1</v>
      </c>
      <c r="Y30" s="51">
        <v>1</v>
      </c>
      <c r="Z30" s="56">
        <v>7</v>
      </c>
      <c r="AA30" s="49">
        <v>13</v>
      </c>
      <c r="AB30" s="1">
        <v>12</v>
      </c>
      <c r="AC30" s="1">
        <v>9</v>
      </c>
      <c r="AD30" s="1">
        <v>7</v>
      </c>
      <c r="AE30" s="1">
        <v>5</v>
      </c>
      <c r="AF30" s="1">
        <v>4</v>
      </c>
      <c r="AG30" s="1">
        <v>2</v>
      </c>
      <c r="AH30" s="51">
        <v>1</v>
      </c>
    </row>
    <row r="31" spans="1:34" x14ac:dyDescent="0.25">
      <c r="E31" s="1">
        <v>8</v>
      </c>
      <c r="F31" s="36" t="s">
        <v>220</v>
      </c>
      <c r="G31" s="1">
        <v>5</v>
      </c>
      <c r="H31" s="56">
        <v>8</v>
      </c>
      <c r="I31" s="49">
        <v>15</v>
      </c>
      <c r="J31" s="1">
        <v>14</v>
      </c>
      <c r="K31" s="1">
        <v>12</v>
      </c>
      <c r="L31" s="1">
        <v>9</v>
      </c>
      <c r="M31" s="1">
        <v>7</v>
      </c>
      <c r="N31" s="1">
        <v>5</v>
      </c>
      <c r="O31" s="1">
        <v>2</v>
      </c>
      <c r="P31" s="51">
        <v>1</v>
      </c>
      <c r="Q31" s="56">
        <v>8</v>
      </c>
      <c r="R31" s="49">
        <v>16</v>
      </c>
      <c r="S31" s="1">
        <v>15</v>
      </c>
      <c r="T31" s="1">
        <v>12</v>
      </c>
      <c r="U31" s="1">
        <v>9</v>
      </c>
      <c r="V31" s="1">
        <v>6</v>
      </c>
      <c r="W31" s="1">
        <v>4</v>
      </c>
      <c r="X31" s="1">
        <v>2</v>
      </c>
      <c r="Y31" s="51">
        <v>1</v>
      </c>
      <c r="Z31" s="56">
        <v>8</v>
      </c>
      <c r="AA31" s="49">
        <v>15</v>
      </c>
      <c r="AB31" s="1">
        <v>13</v>
      </c>
      <c r="AC31" s="1">
        <v>11</v>
      </c>
      <c r="AD31" s="1">
        <v>9</v>
      </c>
      <c r="AE31" s="1">
        <v>7</v>
      </c>
      <c r="AF31" s="1">
        <v>6</v>
      </c>
      <c r="AG31" s="1">
        <v>4</v>
      </c>
      <c r="AH31" s="51">
        <v>2</v>
      </c>
    </row>
    <row r="32" spans="1:34" x14ac:dyDescent="0.25">
      <c r="E32" s="1">
        <v>9</v>
      </c>
      <c r="F32" s="36" t="s">
        <v>220</v>
      </c>
      <c r="G32" s="1">
        <v>5</v>
      </c>
      <c r="H32" s="56">
        <v>9</v>
      </c>
      <c r="I32" s="49">
        <v>17</v>
      </c>
      <c r="J32" s="1">
        <v>15</v>
      </c>
      <c r="K32" s="1">
        <v>14</v>
      </c>
      <c r="L32" s="1">
        <v>11</v>
      </c>
      <c r="M32" s="1">
        <v>8</v>
      </c>
      <c r="N32" s="1">
        <v>6</v>
      </c>
      <c r="O32" s="1">
        <v>4</v>
      </c>
      <c r="P32" s="51">
        <v>3</v>
      </c>
      <c r="Q32" s="56">
        <v>9</v>
      </c>
      <c r="R32" s="49">
        <v>17</v>
      </c>
      <c r="S32" s="1">
        <v>16</v>
      </c>
      <c r="T32" s="1">
        <v>14</v>
      </c>
      <c r="U32" s="1">
        <v>11</v>
      </c>
      <c r="V32" s="1">
        <v>8</v>
      </c>
      <c r="W32" s="1">
        <v>5</v>
      </c>
      <c r="X32" s="1">
        <v>3</v>
      </c>
      <c r="Y32" s="51">
        <v>1</v>
      </c>
      <c r="Z32" s="56">
        <v>9</v>
      </c>
      <c r="AA32" s="49">
        <v>17</v>
      </c>
      <c r="AB32" s="1">
        <v>15</v>
      </c>
      <c r="AC32" s="1">
        <v>13</v>
      </c>
      <c r="AD32" s="1">
        <v>10</v>
      </c>
      <c r="AE32" s="1">
        <v>8</v>
      </c>
      <c r="AF32" s="1">
        <v>7</v>
      </c>
      <c r="AG32" s="1">
        <v>5</v>
      </c>
      <c r="AH32" s="51">
        <v>4</v>
      </c>
    </row>
    <row r="33" spans="5:34" x14ac:dyDescent="0.25">
      <c r="E33" s="1">
        <v>10</v>
      </c>
      <c r="F33" s="36" t="s">
        <v>221</v>
      </c>
      <c r="G33" s="1">
        <v>6</v>
      </c>
      <c r="H33" s="56">
        <v>10</v>
      </c>
      <c r="I33" s="49">
        <v>19</v>
      </c>
      <c r="J33" s="1">
        <v>17</v>
      </c>
      <c r="K33" s="1">
        <v>15</v>
      </c>
      <c r="L33" s="1">
        <v>12</v>
      </c>
      <c r="M33" s="1">
        <v>9</v>
      </c>
      <c r="N33" s="1">
        <v>7</v>
      </c>
      <c r="O33" s="1">
        <v>5</v>
      </c>
      <c r="P33" s="51">
        <v>4</v>
      </c>
      <c r="Q33" s="56">
        <v>10</v>
      </c>
      <c r="R33" s="49">
        <v>18</v>
      </c>
      <c r="S33" s="1">
        <v>17</v>
      </c>
      <c r="T33" s="1">
        <v>15</v>
      </c>
      <c r="U33" s="1">
        <v>12</v>
      </c>
      <c r="V33" s="1">
        <v>9</v>
      </c>
      <c r="W33" s="1">
        <v>6</v>
      </c>
      <c r="X33" s="1">
        <v>4</v>
      </c>
      <c r="Y33" s="51">
        <v>2</v>
      </c>
      <c r="Z33" s="56">
        <v>10</v>
      </c>
      <c r="AA33" s="49">
        <v>19</v>
      </c>
      <c r="AB33" s="1">
        <v>17</v>
      </c>
      <c r="AC33" s="1">
        <v>14</v>
      </c>
      <c r="AD33" s="1">
        <v>11</v>
      </c>
      <c r="AE33" s="1">
        <v>10</v>
      </c>
      <c r="AF33" s="1">
        <v>8</v>
      </c>
      <c r="AG33" s="1">
        <v>6</v>
      </c>
      <c r="AH33" s="51">
        <v>5</v>
      </c>
    </row>
    <row r="34" spans="5:34" x14ac:dyDescent="0.25">
      <c r="E34" s="1">
        <v>11</v>
      </c>
      <c r="F34" s="36" t="s">
        <v>221</v>
      </c>
      <c r="G34" s="1">
        <v>6</v>
      </c>
      <c r="H34" s="56">
        <v>11</v>
      </c>
      <c r="I34" s="49">
        <v>19</v>
      </c>
      <c r="J34" s="1">
        <v>19</v>
      </c>
      <c r="K34" s="1">
        <v>16</v>
      </c>
      <c r="L34" s="1">
        <v>13</v>
      </c>
      <c r="M34" s="1">
        <v>11</v>
      </c>
      <c r="N34" s="1">
        <v>8</v>
      </c>
      <c r="O34" s="1">
        <v>6</v>
      </c>
      <c r="P34" s="51">
        <v>5</v>
      </c>
      <c r="Q34" s="56">
        <v>11</v>
      </c>
      <c r="R34" s="49">
        <v>19</v>
      </c>
      <c r="S34" s="1">
        <v>18</v>
      </c>
      <c r="T34" s="1">
        <v>16</v>
      </c>
      <c r="U34" s="1">
        <v>14</v>
      </c>
      <c r="V34" s="1">
        <v>11</v>
      </c>
      <c r="W34" s="1">
        <v>8</v>
      </c>
      <c r="X34" s="1">
        <v>5</v>
      </c>
      <c r="Y34" s="51">
        <v>3</v>
      </c>
      <c r="Z34" s="56">
        <v>11</v>
      </c>
      <c r="AA34" s="49">
        <v>19</v>
      </c>
      <c r="AB34" s="1">
        <v>19</v>
      </c>
      <c r="AC34" s="1">
        <v>16</v>
      </c>
      <c r="AD34" s="1">
        <v>13</v>
      </c>
      <c r="AE34" s="1">
        <v>11</v>
      </c>
      <c r="AF34" s="1">
        <v>9</v>
      </c>
      <c r="AG34" s="1">
        <v>7</v>
      </c>
      <c r="AH34" s="51">
        <v>6</v>
      </c>
    </row>
    <row r="35" spans="5:34" x14ac:dyDescent="0.25">
      <c r="E35" s="1">
        <v>12</v>
      </c>
      <c r="F35" s="36" t="s">
        <v>222</v>
      </c>
      <c r="G35" s="1">
        <v>7</v>
      </c>
      <c r="H35" s="56">
        <v>12</v>
      </c>
      <c r="I35" s="49">
        <v>19</v>
      </c>
      <c r="J35" s="1">
        <v>19</v>
      </c>
      <c r="K35" s="1">
        <v>19</v>
      </c>
      <c r="L35" s="1">
        <v>15</v>
      </c>
      <c r="M35" s="1">
        <v>12</v>
      </c>
      <c r="N35" s="1">
        <v>10</v>
      </c>
      <c r="O35" s="1">
        <v>7</v>
      </c>
      <c r="P35" s="51">
        <v>6</v>
      </c>
      <c r="Q35" s="56">
        <v>12</v>
      </c>
      <c r="R35" s="49">
        <v>19</v>
      </c>
      <c r="S35" s="1">
        <v>19</v>
      </c>
      <c r="T35" s="1">
        <v>18</v>
      </c>
      <c r="U35" s="1">
        <v>15</v>
      </c>
      <c r="V35" s="1">
        <v>13</v>
      </c>
      <c r="W35" s="1">
        <v>10</v>
      </c>
      <c r="X35" s="1">
        <v>7</v>
      </c>
      <c r="Y35" s="51">
        <v>4</v>
      </c>
      <c r="Z35" s="56">
        <v>12</v>
      </c>
      <c r="AA35" s="49">
        <v>19</v>
      </c>
      <c r="AB35" s="1">
        <v>19</v>
      </c>
      <c r="AC35" s="1">
        <v>18</v>
      </c>
      <c r="AD35" s="1">
        <v>14</v>
      </c>
      <c r="AE35" s="1">
        <v>12</v>
      </c>
      <c r="AF35" s="1">
        <v>10</v>
      </c>
      <c r="AG35" s="1">
        <v>8</v>
      </c>
      <c r="AH35" s="51">
        <v>7</v>
      </c>
    </row>
    <row r="36" spans="5:34" x14ac:dyDescent="0.25">
      <c r="E36" s="1">
        <v>13</v>
      </c>
      <c r="F36" s="36" t="s">
        <v>222</v>
      </c>
      <c r="G36" s="1">
        <v>7</v>
      </c>
      <c r="H36" s="56">
        <v>13</v>
      </c>
      <c r="I36" s="49">
        <v>19</v>
      </c>
      <c r="J36" s="1">
        <v>19</v>
      </c>
      <c r="K36" s="1">
        <v>19</v>
      </c>
      <c r="L36" s="1">
        <v>16</v>
      </c>
      <c r="M36" s="1">
        <v>14</v>
      </c>
      <c r="N36" s="1">
        <v>12</v>
      </c>
      <c r="O36" s="1">
        <v>9</v>
      </c>
      <c r="P36" s="51">
        <v>8</v>
      </c>
      <c r="Q36" s="56">
        <v>13</v>
      </c>
      <c r="R36" s="49">
        <v>19</v>
      </c>
      <c r="S36" s="1">
        <v>19</v>
      </c>
      <c r="T36" s="1">
        <v>19</v>
      </c>
      <c r="U36" s="1">
        <v>17</v>
      </c>
      <c r="V36" s="1">
        <v>14</v>
      </c>
      <c r="W36" s="1">
        <v>12</v>
      </c>
      <c r="X36" s="1">
        <v>9</v>
      </c>
      <c r="Y36" s="51">
        <v>5</v>
      </c>
      <c r="Z36" s="56">
        <v>13</v>
      </c>
      <c r="AA36" s="49">
        <v>19</v>
      </c>
      <c r="AB36" s="1">
        <v>19</v>
      </c>
      <c r="AC36" s="1">
        <v>19</v>
      </c>
      <c r="AD36" s="1">
        <v>16</v>
      </c>
      <c r="AE36" s="1">
        <v>14</v>
      </c>
      <c r="AF36" s="1">
        <v>11</v>
      </c>
      <c r="AG36" s="1">
        <v>9</v>
      </c>
      <c r="AH36" s="51">
        <v>8</v>
      </c>
    </row>
    <row r="37" spans="5:34" x14ac:dyDescent="0.25">
      <c r="E37" s="1">
        <v>14</v>
      </c>
      <c r="F37" s="36" t="s">
        <v>223</v>
      </c>
      <c r="G37" s="1">
        <v>8</v>
      </c>
      <c r="H37" s="56">
        <v>14</v>
      </c>
      <c r="I37" s="49">
        <v>19</v>
      </c>
      <c r="J37" s="1">
        <v>19</v>
      </c>
      <c r="K37" s="1">
        <v>19</v>
      </c>
      <c r="L37" s="1">
        <v>19</v>
      </c>
      <c r="M37" s="1">
        <v>16</v>
      </c>
      <c r="N37" s="1">
        <v>14</v>
      </c>
      <c r="O37" s="1">
        <v>11</v>
      </c>
      <c r="P37" s="51">
        <v>10</v>
      </c>
      <c r="Q37" s="56">
        <v>14</v>
      </c>
      <c r="R37" s="49">
        <v>19</v>
      </c>
      <c r="S37" s="1">
        <v>19</v>
      </c>
      <c r="T37" s="1">
        <v>19</v>
      </c>
      <c r="U37" s="1">
        <v>18</v>
      </c>
      <c r="V37" s="1">
        <v>16</v>
      </c>
      <c r="W37" s="1">
        <v>13</v>
      </c>
      <c r="X37" s="1">
        <v>11</v>
      </c>
      <c r="Y37" s="51">
        <v>7</v>
      </c>
      <c r="Z37" s="56">
        <v>14</v>
      </c>
      <c r="AA37" s="49">
        <v>19</v>
      </c>
      <c r="AB37" s="1">
        <v>19</v>
      </c>
      <c r="AC37" s="1">
        <v>19</v>
      </c>
      <c r="AD37" s="1">
        <v>18</v>
      </c>
      <c r="AE37" s="1">
        <v>15</v>
      </c>
      <c r="AF37" s="1">
        <v>13</v>
      </c>
      <c r="AG37" s="1">
        <v>11</v>
      </c>
      <c r="AH37" s="51">
        <v>9</v>
      </c>
    </row>
    <row r="38" spans="5:34" x14ac:dyDescent="0.25">
      <c r="E38" s="1">
        <v>15</v>
      </c>
      <c r="F38" s="36" t="s">
        <v>223</v>
      </c>
      <c r="G38" s="1">
        <v>8</v>
      </c>
      <c r="H38" s="56">
        <v>15</v>
      </c>
      <c r="I38" s="49">
        <v>19</v>
      </c>
      <c r="J38" s="1">
        <v>19</v>
      </c>
      <c r="K38" s="1">
        <v>19</v>
      </c>
      <c r="L38" s="1">
        <v>19</v>
      </c>
      <c r="M38" s="1">
        <v>18</v>
      </c>
      <c r="N38" s="1">
        <v>15</v>
      </c>
      <c r="O38" s="1">
        <v>12</v>
      </c>
      <c r="P38" s="51">
        <v>11</v>
      </c>
      <c r="Q38" s="56">
        <v>15</v>
      </c>
      <c r="R38" s="49">
        <v>19</v>
      </c>
      <c r="S38" s="1">
        <v>19</v>
      </c>
      <c r="T38" s="1">
        <v>19</v>
      </c>
      <c r="U38" s="1">
        <v>19</v>
      </c>
      <c r="V38" s="1">
        <v>17</v>
      </c>
      <c r="W38" s="1">
        <v>15</v>
      </c>
      <c r="X38" s="1">
        <v>13</v>
      </c>
      <c r="Y38" s="51">
        <v>10</v>
      </c>
      <c r="Z38" s="56">
        <v>15</v>
      </c>
      <c r="AA38" s="49">
        <v>19</v>
      </c>
      <c r="AB38" s="1">
        <v>19</v>
      </c>
      <c r="AC38" s="1">
        <v>19</v>
      </c>
      <c r="AD38" s="1">
        <v>19</v>
      </c>
      <c r="AE38" s="1">
        <v>17</v>
      </c>
      <c r="AF38" s="1">
        <v>15</v>
      </c>
      <c r="AG38" s="1">
        <v>13</v>
      </c>
      <c r="AH38" s="51">
        <v>11</v>
      </c>
    </row>
    <row r="39" spans="5:34" x14ac:dyDescent="0.25">
      <c r="E39" s="1">
        <v>16</v>
      </c>
      <c r="F39" s="36" t="s">
        <v>224</v>
      </c>
      <c r="G39" s="1">
        <v>9</v>
      </c>
      <c r="H39" s="56">
        <v>16</v>
      </c>
      <c r="I39" s="49">
        <v>19</v>
      </c>
      <c r="J39" s="1">
        <v>19</v>
      </c>
      <c r="K39" s="1">
        <v>19</v>
      </c>
      <c r="L39" s="1">
        <v>19</v>
      </c>
      <c r="M39" s="1">
        <v>19</v>
      </c>
      <c r="N39" s="1">
        <v>17</v>
      </c>
      <c r="O39" s="1">
        <v>14</v>
      </c>
      <c r="P39" s="51">
        <v>13</v>
      </c>
      <c r="Q39" s="56">
        <v>16</v>
      </c>
      <c r="R39" s="49">
        <v>19</v>
      </c>
      <c r="S39" s="1">
        <v>19</v>
      </c>
      <c r="T39" s="1">
        <v>19</v>
      </c>
      <c r="U39" s="1">
        <v>19</v>
      </c>
      <c r="V39" s="1">
        <v>19</v>
      </c>
      <c r="W39" s="1">
        <v>17</v>
      </c>
      <c r="X39" s="1">
        <v>15</v>
      </c>
      <c r="Y39" s="51">
        <v>13</v>
      </c>
      <c r="Z39" s="56">
        <v>16</v>
      </c>
      <c r="AA39" s="49">
        <v>19</v>
      </c>
      <c r="AB39" s="1">
        <v>19</v>
      </c>
      <c r="AC39" s="1">
        <v>19</v>
      </c>
      <c r="AD39" s="1">
        <v>19</v>
      </c>
      <c r="AE39" s="1">
        <v>19</v>
      </c>
      <c r="AF39" s="1">
        <v>17</v>
      </c>
      <c r="AG39" s="1">
        <v>15</v>
      </c>
      <c r="AH39" s="51">
        <v>13</v>
      </c>
    </row>
    <row r="40" spans="5:34" x14ac:dyDescent="0.25">
      <c r="E40" s="1">
        <v>17</v>
      </c>
      <c r="F40" s="36" t="s">
        <v>224</v>
      </c>
      <c r="G40" s="1">
        <v>9</v>
      </c>
      <c r="H40" s="56">
        <v>17</v>
      </c>
      <c r="I40" s="49">
        <v>19</v>
      </c>
      <c r="J40" s="1">
        <v>19</v>
      </c>
      <c r="K40" s="1">
        <v>19</v>
      </c>
      <c r="L40" s="1">
        <v>19</v>
      </c>
      <c r="M40" s="1">
        <v>19</v>
      </c>
      <c r="N40" s="1">
        <v>19</v>
      </c>
      <c r="O40" s="1">
        <v>16</v>
      </c>
      <c r="P40" s="51">
        <v>16</v>
      </c>
      <c r="Q40" s="56">
        <v>17</v>
      </c>
      <c r="R40" s="49">
        <v>19</v>
      </c>
      <c r="S40" s="1">
        <v>19</v>
      </c>
      <c r="T40" s="1">
        <v>19</v>
      </c>
      <c r="U40" s="1">
        <v>19</v>
      </c>
      <c r="V40" s="1">
        <v>19</v>
      </c>
      <c r="W40" s="1">
        <v>19</v>
      </c>
      <c r="X40" s="1">
        <v>17</v>
      </c>
      <c r="Y40" s="51">
        <v>15</v>
      </c>
      <c r="Z40" s="56">
        <v>17</v>
      </c>
      <c r="AA40" s="49">
        <v>19</v>
      </c>
      <c r="AB40" s="1">
        <v>19</v>
      </c>
      <c r="AC40" s="1">
        <v>19</v>
      </c>
      <c r="AD40" s="1">
        <v>19</v>
      </c>
      <c r="AE40" s="1">
        <v>19</v>
      </c>
      <c r="AF40" s="1">
        <v>19</v>
      </c>
      <c r="AG40" s="1">
        <v>17</v>
      </c>
      <c r="AH40" s="51">
        <v>16</v>
      </c>
    </row>
    <row r="41" spans="5:34" x14ac:dyDescent="0.25">
      <c r="E41" s="1">
        <v>18</v>
      </c>
      <c r="F41" s="36" t="s">
        <v>224</v>
      </c>
      <c r="G41" s="1">
        <v>9</v>
      </c>
      <c r="H41" s="56">
        <v>18</v>
      </c>
      <c r="I41" s="49">
        <v>19</v>
      </c>
      <c r="J41" s="1">
        <v>19</v>
      </c>
      <c r="K41" s="1">
        <v>19</v>
      </c>
      <c r="L41" s="1">
        <v>19</v>
      </c>
      <c r="M41" s="1">
        <v>19</v>
      </c>
      <c r="N41" s="1">
        <v>19</v>
      </c>
      <c r="O41" s="1">
        <v>18</v>
      </c>
      <c r="P41" s="51">
        <v>18</v>
      </c>
      <c r="Q41" s="56">
        <v>18</v>
      </c>
      <c r="R41" s="49">
        <v>19</v>
      </c>
      <c r="S41" s="1">
        <v>19</v>
      </c>
      <c r="T41" s="1">
        <v>19</v>
      </c>
      <c r="U41" s="1">
        <v>19</v>
      </c>
      <c r="V41" s="1">
        <v>19</v>
      </c>
      <c r="W41" s="1">
        <v>19</v>
      </c>
      <c r="X41" s="1">
        <v>19</v>
      </c>
      <c r="Y41" s="51">
        <v>17</v>
      </c>
      <c r="Z41" s="56">
        <v>18</v>
      </c>
      <c r="AA41" s="49">
        <v>19</v>
      </c>
      <c r="AB41" s="1">
        <v>19</v>
      </c>
      <c r="AC41" s="1">
        <v>19</v>
      </c>
      <c r="AD41" s="1">
        <v>19</v>
      </c>
      <c r="AE41" s="1">
        <v>19</v>
      </c>
      <c r="AF41" s="1">
        <v>19</v>
      </c>
      <c r="AG41" s="1">
        <v>19</v>
      </c>
      <c r="AH41" s="51">
        <v>18</v>
      </c>
    </row>
    <row r="42" spans="5:34" ht="15.75" thickBot="1" x14ac:dyDescent="0.3">
      <c r="E42" s="1">
        <v>19</v>
      </c>
      <c r="F42" s="36" t="s">
        <v>224</v>
      </c>
      <c r="G42" s="1">
        <v>9</v>
      </c>
      <c r="H42" s="56">
        <v>19</v>
      </c>
      <c r="I42" s="52">
        <v>19</v>
      </c>
      <c r="J42" s="53">
        <v>19</v>
      </c>
      <c r="K42" s="53">
        <v>19</v>
      </c>
      <c r="L42" s="53">
        <v>19</v>
      </c>
      <c r="M42" s="53">
        <v>19</v>
      </c>
      <c r="N42" s="53">
        <v>19</v>
      </c>
      <c r="O42" s="53">
        <v>19</v>
      </c>
      <c r="P42" s="54">
        <v>19</v>
      </c>
      <c r="Q42" s="56">
        <v>19</v>
      </c>
      <c r="R42" s="52">
        <v>19</v>
      </c>
      <c r="S42" s="53">
        <v>19</v>
      </c>
      <c r="T42" s="53">
        <v>19</v>
      </c>
      <c r="U42" s="53">
        <v>19</v>
      </c>
      <c r="V42" s="53">
        <v>19</v>
      </c>
      <c r="W42" s="53">
        <v>19</v>
      </c>
      <c r="X42" s="53">
        <v>19</v>
      </c>
      <c r="Y42" s="54">
        <v>19</v>
      </c>
      <c r="Z42" s="56">
        <v>19</v>
      </c>
      <c r="AA42" s="52">
        <v>19</v>
      </c>
      <c r="AB42" s="53">
        <v>19</v>
      </c>
      <c r="AC42" s="53">
        <v>19</v>
      </c>
      <c r="AD42" s="53">
        <v>19</v>
      </c>
      <c r="AE42" s="53">
        <v>19</v>
      </c>
      <c r="AF42" s="53">
        <v>19</v>
      </c>
      <c r="AG42" s="53">
        <v>19</v>
      </c>
      <c r="AH42" s="54">
        <v>19</v>
      </c>
    </row>
  </sheetData>
  <sheetProtection password="CEE5" sheet="1" objects="1" scenarios="1"/>
  <mergeCells count="17">
    <mergeCell ref="O1:W1"/>
    <mergeCell ref="I22:P22"/>
    <mergeCell ref="R22:Y22"/>
    <mergeCell ref="A1:B1"/>
    <mergeCell ref="E1:M1"/>
    <mergeCell ref="AA22:AH22"/>
    <mergeCell ref="A13:B13"/>
    <mergeCell ref="A2:B2"/>
    <mergeCell ref="A3:B3"/>
    <mergeCell ref="A4:B4"/>
    <mergeCell ref="A5:B5"/>
    <mergeCell ref="A6:B6"/>
    <mergeCell ref="A7:B7"/>
    <mergeCell ref="A9:B9"/>
    <mergeCell ref="A10:B10"/>
    <mergeCell ref="A11:B11"/>
    <mergeCell ref="A1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80"/>
  <sheetViews>
    <sheetView topLeftCell="D1" workbookViewId="0">
      <selection activeCell="W2" sqref="W2"/>
    </sheetView>
  </sheetViews>
  <sheetFormatPr defaultRowHeight="15" x14ac:dyDescent="0.25"/>
  <cols>
    <col min="1" max="1" width="14.7109375" style="1" customWidth="1"/>
    <col min="2" max="2" width="9.140625" style="1"/>
    <col min="4" max="5" width="9.140625" style="1"/>
    <col min="7" max="8" width="9.140625" style="1"/>
    <col min="10" max="11" width="9.140625" style="1"/>
    <col min="14" max="14" width="9.140625" style="1"/>
    <col min="16" max="17" width="9.140625" style="1"/>
    <col min="19" max="20" width="9.140625" style="1"/>
    <col min="22" max="32" width="9.140625" style="1"/>
  </cols>
  <sheetData>
    <row r="1" spans="1:32" x14ac:dyDescent="0.25">
      <c r="B1" s="20" t="s">
        <v>36</v>
      </c>
      <c r="E1" s="20" t="s">
        <v>36</v>
      </c>
      <c r="H1" s="20" t="s">
        <v>36</v>
      </c>
      <c r="K1" s="20" t="s">
        <v>172</v>
      </c>
      <c r="N1" s="20" t="s">
        <v>173</v>
      </c>
      <c r="Q1" s="20" t="s">
        <v>173</v>
      </c>
      <c r="T1" s="20" t="s">
        <v>173</v>
      </c>
      <c r="W1" s="20" t="s">
        <v>173</v>
      </c>
      <c r="Z1" s="20" t="s">
        <v>172</v>
      </c>
      <c r="AC1" s="20" t="s">
        <v>173</v>
      </c>
      <c r="AF1" s="20" t="s">
        <v>173</v>
      </c>
    </row>
    <row r="2" spans="1:32" x14ac:dyDescent="0.25">
      <c r="A2" s="46" t="s">
        <v>154</v>
      </c>
      <c r="B2" s="1" t="str">
        <f>IF('Scores Summary 2'!D20="","",'Scores Summary 2'!D20)</f>
        <v/>
      </c>
      <c r="D2" s="46" t="s">
        <v>162</v>
      </c>
      <c r="E2" s="1" t="str">
        <f>IF('Scores Summary 2'!D16="","",'Scores Summary 2'!D16)</f>
        <v/>
      </c>
      <c r="G2" s="46" t="s">
        <v>163</v>
      </c>
      <c r="H2" s="1" t="str">
        <f>IF('Scores Summary 2'!D17="","",'Scores Summary 2'!D17)</f>
        <v/>
      </c>
      <c r="J2" s="46" t="s">
        <v>152</v>
      </c>
      <c r="K2" s="1" t="str">
        <f>IF('Scores Summary 2'!D18="","",ROUND('Scores Summary 2'!D18,0))</f>
        <v/>
      </c>
      <c r="M2" s="46" t="s">
        <v>153</v>
      </c>
      <c r="N2" s="1" t="str">
        <f>IF('Scores Summary 2'!D19="","",IF(ROUND('Scores Summary 2'!D19,0)&gt;=300,"300+",ROUND('Scores Summary 2'!D19,0)))</f>
        <v/>
      </c>
      <c r="P2" s="46" t="s">
        <v>164</v>
      </c>
      <c r="Q2" s="1" t="str">
        <f>IF('Scores Summary 2'!D21="","",IF(ROUND('Scores Summary 2'!D21,0)&gt;=166,"166+",ROUND('Scores Summary 2'!D21,0)))</f>
        <v/>
      </c>
      <c r="S2" s="46" t="s">
        <v>165</v>
      </c>
      <c r="T2" s="1" t="str">
        <f>IF('Scores Summary 2'!D22="","",IF(ROUND('Scores Summary 2'!D22,0)&gt;=202,"202+",ROUND('Scores Summary 2'!D22,0)))</f>
        <v/>
      </c>
      <c r="V2" s="20" t="s">
        <v>166</v>
      </c>
      <c r="W2" s="1" t="str">
        <f>IF('Scores Summary 2'!D23="","",IF(ROUND('Scores Summary 2'!D23,1)&gt;=71.1,"71.1+",ROUND('Scores Summary 2'!D23,1)))</f>
        <v/>
      </c>
      <c r="Y2" s="20" t="s">
        <v>167</v>
      </c>
      <c r="Z2" s="1" t="str">
        <f>IF('Scores Summary 2'!D24="","",IF(ROUND('Scores Summary 2'!D24,1)&gt;=68.1,"68.1+",ROUND('Scores Summary 2'!D24,1)))</f>
        <v/>
      </c>
      <c r="AB2" s="20" t="s">
        <v>168</v>
      </c>
      <c r="AE2" s="20" t="s">
        <v>169</v>
      </c>
    </row>
    <row r="3" spans="1:32" x14ac:dyDescent="0.25">
      <c r="V3" s="20" t="s">
        <v>170</v>
      </c>
      <c r="W3" s="1" t="str">
        <f>IF(W2="","",IF(W2="71.1+",19,IF(W2&gt;=70.1,18,IF(W2&gt;=67.6,17,IF(W2&gt;=64.9,16,IF(W2&gt;=62.5,15,IF(W2&gt;=59.5,14,IF(W2&gt;=57.3,13,IF(W2&gt;=55.3,12,IF(W2&gt;=53.2,11,IF(W2&gt;=51.3,10,IF(W2&gt;=47.8,9,IF(W2&gt;=45.1,8,IF(W2&gt;=42.1,7,IF(W2&gt;=38.3,6,IF(W2&gt;=35.1,5,IF(W2&gt;=32.1,4,IF(W2&gt;=27.1,3,IF(W2&gt;=23.1,2,IF(W2&gt;=21.3,1,IF(W2&gt;=0,0,"")))))))))))))))))))))</f>
        <v/>
      </c>
      <c r="Y3" s="20" t="s">
        <v>170</v>
      </c>
      <c r="Z3" s="1" t="str">
        <f>IF(Z2="","",IF(Z2="68.1+",19,IF(Z2&gt;=64,18,IF(Z2&gt;=63,17,IF(Z2&gt;=58.1,16,IF(Z2&gt;=57,15,IF(Z2&gt;=54,14,IF(Z2&gt;=52,13,IF(Z2&gt;=50.1,12,IF(Z2&gt;=48,11,IF(Z2&gt;=45.1,10,IF(Z2&gt;=43,9,IF(Z2&gt;=40.1,8,IF(Z2&gt;=37.1,7,IF(Z2&gt;=35,6,IF(Z2&gt;=31.1,5,IF(Z2&gt;=29,4,IF(Z2&gt;=25.1,3,IF(Z2&gt;=23.1,2,IF(Z2&gt;=22.1,1,IF(Z2&gt;=0,0,"")))))))))))))))))))))</f>
        <v/>
      </c>
    </row>
    <row r="4" spans="1:32" x14ac:dyDescent="0.25">
      <c r="A4" s="33" t="s">
        <v>154</v>
      </c>
      <c r="B4" s="33" t="s">
        <v>149</v>
      </c>
      <c r="D4" s="33" t="s">
        <v>171</v>
      </c>
      <c r="E4" s="33" t="s">
        <v>149</v>
      </c>
      <c r="G4" s="33" t="s">
        <v>163</v>
      </c>
      <c r="H4" s="33" t="s">
        <v>149</v>
      </c>
      <c r="J4" s="33" t="s">
        <v>152</v>
      </c>
      <c r="K4" s="33" t="s">
        <v>149</v>
      </c>
      <c r="M4" s="33" t="s">
        <v>153</v>
      </c>
      <c r="N4" s="33" t="s">
        <v>149</v>
      </c>
      <c r="P4" s="33" t="s">
        <v>175</v>
      </c>
      <c r="Q4" s="33" t="s">
        <v>149</v>
      </c>
      <c r="S4" s="33" t="s">
        <v>177</v>
      </c>
      <c r="T4" s="33" t="s">
        <v>149</v>
      </c>
    </row>
    <row r="5" spans="1:32" x14ac:dyDescent="0.25">
      <c r="A5" s="1">
        <v>60</v>
      </c>
      <c r="B5" s="1">
        <v>16</v>
      </c>
      <c r="D5" s="1">
        <v>78</v>
      </c>
      <c r="E5" s="1">
        <v>18</v>
      </c>
      <c r="G5" s="1">
        <v>38</v>
      </c>
      <c r="H5" s="1">
        <v>18</v>
      </c>
      <c r="J5" s="1">
        <v>91</v>
      </c>
      <c r="K5" s="1">
        <v>2</v>
      </c>
      <c r="M5" s="1">
        <v>25</v>
      </c>
      <c r="N5" s="1">
        <v>18</v>
      </c>
      <c r="P5" s="1">
        <v>46</v>
      </c>
      <c r="Q5" s="1">
        <v>18</v>
      </c>
      <c r="S5" s="1">
        <v>45</v>
      </c>
      <c r="T5" s="1">
        <v>18</v>
      </c>
    </row>
    <row r="6" spans="1:32" x14ac:dyDescent="0.25">
      <c r="A6" s="1">
        <f>A5-1</f>
        <v>59</v>
      </c>
      <c r="B6" s="1">
        <v>14</v>
      </c>
      <c r="D6" s="1">
        <f>D5-1</f>
        <v>77</v>
      </c>
      <c r="E6" s="1">
        <v>18</v>
      </c>
      <c r="G6" s="1">
        <f>G5-1</f>
        <v>37</v>
      </c>
      <c r="H6" s="1">
        <v>18</v>
      </c>
      <c r="J6" s="1">
        <f>J5-1</f>
        <v>90</v>
      </c>
      <c r="K6" s="1">
        <v>2</v>
      </c>
      <c r="M6" s="1">
        <f>M5+1</f>
        <v>26</v>
      </c>
      <c r="N6" s="1">
        <v>18</v>
      </c>
      <c r="P6" s="1">
        <f>P5+1</f>
        <v>47</v>
      </c>
      <c r="Q6" s="1">
        <v>17</v>
      </c>
      <c r="S6" s="1">
        <f>S5+1</f>
        <v>46</v>
      </c>
      <c r="T6" s="1">
        <v>18</v>
      </c>
    </row>
    <row r="7" spans="1:32" x14ac:dyDescent="0.25">
      <c r="A7" s="1">
        <f t="shared" ref="A7:A60" si="0">A6-1</f>
        <v>58</v>
      </c>
      <c r="B7" s="1">
        <v>13</v>
      </c>
      <c r="D7" s="1">
        <f t="shared" ref="D7:D70" si="1">D6-1</f>
        <v>76</v>
      </c>
      <c r="E7" s="1">
        <v>18</v>
      </c>
      <c r="G7" s="1">
        <f t="shared" ref="G7:G39" si="2">G6-1</f>
        <v>36</v>
      </c>
      <c r="H7" s="1">
        <v>18</v>
      </c>
      <c r="J7" s="1">
        <f t="shared" ref="J7:J70" si="3">J6-1</f>
        <v>89</v>
      </c>
      <c r="K7" s="1">
        <v>2</v>
      </c>
      <c r="M7" s="1">
        <f t="shared" ref="M7:M39" si="4">M6+1</f>
        <v>27</v>
      </c>
      <c r="N7" s="1">
        <v>18</v>
      </c>
      <c r="P7" s="1">
        <f t="shared" ref="P7:P70" si="5">P6+1</f>
        <v>48</v>
      </c>
      <c r="Q7" s="1">
        <v>16</v>
      </c>
      <c r="S7" s="1">
        <f t="shared" ref="S7:S70" si="6">S6+1</f>
        <v>47</v>
      </c>
      <c r="T7" s="1">
        <v>18</v>
      </c>
    </row>
    <row r="8" spans="1:32" x14ac:dyDescent="0.25">
      <c r="A8" s="1">
        <f t="shared" si="0"/>
        <v>57</v>
      </c>
      <c r="B8" s="1">
        <v>11</v>
      </c>
      <c r="D8" s="1">
        <f t="shared" si="1"/>
        <v>75</v>
      </c>
      <c r="E8" s="1">
        <v>18</v>
      </c>
      <c r="G8" s="1">
        <f t="shared" si="2"/>
        <v>35</v>
      </c>
      <c r="H8" s="1">
        <v>17</v>
      </c>
      <c r="J8" s="1">
        <f t="shared" si="3"/>
        <v>88</v>
      </c>
      <c r="K8" s="1">
        <v>2</v>
      </c>
      <c r="M8" s="1">
        <f t="shared" si="4"/>
        <v>28</v>
      </c>
      <c r="N8" s="1">
        <v>17</v>
      </c>
      <c r="P8" s="1">
        <f t="shared" si="5"/>
        <v>49</v>
      </c>
      <c r="Q8" s="1">
        <v>16</v>
      </c>
      <c r="S8" s="1">
        <f t="shared" si="6"/>
        <v>48</v>
      </c>
      <c r="T8" s="1">
        <v>18</v>
      </c>
    </row>
    <row r="9" spans="1:32" x14ac:dyDescent="0.25">
      <c r="A9" s="1">
        <f t="shared" si="0"/>
        <v>56</v>
      </c>
      <c r="B9" s="1">
        <v>10</v>
      </c>
      <c r="D9" s="1">
        <f t="shared" si="1"/>
        <v>74</v>
      </c>
      <c r="E9" s="1">
        <v>18</v>
      </c>
      <c r="G9" s="1">
        <f t="shared" si="2"/>
        <v>34</v>
      </c>
      <c r="H9" s="1">
        <v>17</v>
      </c>
      <c r="J9" s="1">
        <f t="shared" si="3"/>
        <v>87</v>
      </c>
      <c r="K9" s="1">
        <v>2</v>
      </c>
      <c r="M9" s="1">
        <f t="shared" si="4"/>
        <v>29</v>
      </c>
      <c r="N9" s="1">
        <v>16</v>
      </c>
      <c r="P9" s="1">
        <f t="shared" si="5"/>
        <v>50</v>
      </c>
      <c r="Q9" s="1">
        <v>15</v>
      </c>
      <c r="S9" s="1">
        <f t="shared" si="6"/>
        <v>49</v>
      </c>
      <c r="T9" s="1">
        <v>17</v>
      </c>
    </row>
    <row r="10" spans="1:32" x14ac:dyDescent="0.25">
      <c r="A10" s="1">
        <f t="shared" si="0"/>
        <v>55</v>
      </c>
      <c r="B10" s="1">
        <v>9</v>
      </c>
      <c r="D10" s="1">
        <f t="shared" si="1"/>
        <v>73</v>
      </c>
      <c r="E10" s="1">
        <v>18</v>
      </c>
      <c r="G10" s="1">
        <f t="shared" si="2"/>
        <v>33</v>
      </c>
      <c r="H10" s="1">
        <v>16</v>
      </c>
      <c r="J10" s="1">
        <f t="shared" si="3"/>
        <v>86</v>
      </c>
      <c r="K10" s="1">
        <v>2</v>
      </c>
      <c r="M10" s="1">
        <f t="shared" si="4"/>
        <v>30</v>
      </c>
      <c r="N10" s="1">
        <v>16</v>
      </c>
      <c r="P10" s="1">
        <f t="shared" si="5"/>
        <v>51</v>
      </c>
      <c r="Q10" s="1">
        <v>15</v>
      </c>
      <c r="S10" s="1">
        <f t="shared" si="6"/>
        <v>50</v>
      </c>
      <c r="T10" s="1">
        <v>17</v>
      </c>
    </row>
    <row r="11" spans="1:32" x14ac:dyDescent="0.25">
      <c r="A11" s="1">
        <f t="shared" si="0"/>
        <v>54</v>
      </c>
      <c r="B11" s="1">
        <v>9</v>
      </c>
      <c r="D11" s="1">
        <f t="shared" si="1"/>
        <v>72</v>
      </c>
      <c r="E11" s="1">
        <v>17</v>
      </c>
      <c r="G11" s="1">
        <f t="shared" si="2"/>
        <v>32</v>
      </c>
      <c r="H11" s="1">
        <v>16</v>
      </c>
      <c r="J11" s="1">
        <f t="shared" si="3"/>
        <v>85</v>
      </c>
      <c r="K11" s="1">
        <v>2</v>
      </c>
      <c r="M11" s="1">
        <f t="shared" si="4"/>
        <v>31</v>
      </c>
      <c r="N11" s="1">
        <v>16</v>
      </c>
      <c r="P11" s="1">
        <f t="shared" si="5"/>
        <v>52</v>
      </c>
      <c r="Q11" s="1">
        <v>14</v>
      </c>
      <c r="S11" s="1">
        <f t="shared" si="6"/>
        <v>51</v>
      </c>
      <c r="T11" s="1">
        <v>17</v>
      </c>
    </row>
    <row r="12" spans="1:32" x14ac:dyDescent="0.25">
      <c r="A12" s="1">
        <f t="shared" si="0"/>
        <v>53</v>
      </c>
      <c r="B12" s="1">
        <v>8</v>
      </c>
      <c r="D12" s="1">
        <f t="shared" si="1"/>
        <v>71</v>
      </c>
      <c r="E12" s="1">
        <v>17</v>
      </c>
      <c r="G12" s="1">
        <f t="shared" si="2"/>
        <v>31</v>
      </c>
      <c r="H12" s="1">
        <v>15</v>
      </c>
      <c r="J12" s="1">
        <f t="shared" si="3"/>
        <v>84</v>
      </c>
      <c r="K12" s="1">
        <v>2</v>
      </c>
      <c r="M12" s="1">
        <f t="shared" si="4"/>
        <v>32</v>
      </c>
      <c r="N12" s="1">
        <v>16</v>
      </c>
      <c r="P12" s="1">
        <f t="shared" si="5"/>
        <v>53</v>
      </c>
      <c r="Q12" s="1">
        <v>14</v>
      </c>
      <c r="S12" s="1">
        <f t="shared" si="6"/>
        <v>52</v>
      </c>
      <c r="T12" s="1">
        <v>16</v>
      </c>
    </row>
    <row r="13" spans="1:32" x14ac:dyDescent="0.25">
      <c r="A13" s="1">
        <f t="shared" si="0"/>
        <v>52</v>
      </c>
      <c r="B13" s="1">
        <v>8</v>
      </c>
      <c r="D13" s="1">
        <f t="shared" si="1"/>
        <v>70</v>
      </c>
      <c r="E13" s="1">
        <v>17</v>
      </c>
      <c r="G13" s="1">
        <f t="shared" si="2"/>
        <v>30</v>
      </c>
      <c r="H13" s="1">
        <v>15</v>
      </c>
      <c r="J13" s="1">
        <f t="shared" si="3"/>
        <v>83</v>
      </c>
      <c r="K13" s="1">
        <v>2</v>
      </c>
      <c r="M13" s="1">
        <f t="shared" si="4"/>
        <v>33</v>
      </c>
      <c r="N13" s="1">
        <v>16</v>
      </c>
      <c r="P13" s="1">
        <f t="shared" si="5"/>
        <v>54</v>
      </c>
      <c r="Q13" s="1">
        <v>13</v>
      </c>
      <c r="S13" s="1">
        <f t="shared" si="6"/>
        <v>53</v>
      </c>
      <c r="T13" s="1">
        <v>15</v>
      </c>
    </row>
    <row r="14" spans="1:32" x14ac:dyDescent="0.25">
      <c r="A14" s="1">
        <f t="shared" si="0"/>
        <v>51</v>
      </c>
      <c r="B14" s="1">
        <v>8</v>
      </c>
      <c r="D14" s="1">
        <f t="shared" si="1"/>
        <v>69</v>
      </c>
      <c r="E14" s="1">
        <v>17</v>
      </c>
      <c r="G14" s="1">
        <f t="shared" si="2"/>
        <v>29</v>
      </c>
      <c r="H14" s="1">
        <v>14</v>
      </c>
      <c r="J14" s="1">
        <f t="shared" si="3"/>
        <v>82</v>
      </c>
      <c r="K14" s="1">
        <v>2</v>
      </c>
      <c r="M14" s="1">
        <f t="shared" si="4"/>
        <v>34</v>
      </c>
      <c r="N14" s="1">
        <v>15</v>
      </c>
      <c r="P14" s="1">
        <f t="shared" si="5"/>
        <v>55</v>
      </c>
      <c r="Q14" s="1">
        <v>13</v>
      </c>
      <c r="S14" s="1">
        <f t="shared" si="6"/>
        <v>54</v>
      </c>
      <c r="T14" s="1">
        <v>15</v>
      </c>
    </row>
    <row r="15" spans="1:32" x14ac:dyDescent="0.25">
      <c r="A15" s="1">
        <f t="shared" si="0"/>
        <v>50</v>
      </c>
      <c r="B15" s="1">
        <v>7</v>
      </c>
      <c r="D15" s="1">
        <f t="shared" si="1"/>
        <v>68</v>
      </c>
      <c r="E15" s="1">
        <v>17</v>
      </c>
      <c r="G15" s="1">
        <f t="shared" si="2"/>
        <v>28</v>
      </c>
      <c r="H15" s="1">
        <v>14</v>
      </c>
      <c r="J15" s="1">
        <f t="shared" si="3"/>
        <v>81</v>
      </c>
      <c r="K15" s="1">
        <v>2</v>
      </c>
      <c r="M15" s="1">
        <f t="shared" si="4"/>
        <v>35</v>
      </c>
      <c r="N15" s="1">
        <v>15</v>
      </c>
      <c r="P15" s="1">
        <f t="shared" si="5"/>
        <v>56</v>
      </c>
      <c r="Q15" s="1">
        <v>13</v>
      </c>
      <c r="S15" s="1">
        <f t="shared" si="6"/>
        <v>55</v>
      </c>
      <c r="T15" s="1">
        <v>15</v>
      </c>
    </row>
    <row r="16" spans="1:32" x14ac:dyDescent="0.25">
      <c r="A16" s="1">
        <f t="shared" si="0"/>
        <v>49</v>
      </c>
      <c r="B16" s="1">
        <v>7</v>
      </c>
      <c r="D16" s="1">
        <f t="shared" si="1"/>
        <v>67</v>
      </c>
      <c r="E16" s="1">
        <v>17</v>
      </c>
      <c r="G16" s="1">
        <f t="shared" si="2"/>
        <v>27</v>
      </c>
      <c r="H16" s="1">
        <v>13</v>
      </c>
      <c r="J16" s="1">
        <f t="shared" si="3"/>
        <v>80</v>
      </c>
      <c r="K16" s="1">
        <v>3</v>
      </c>
      <c r="M16" s="1">
        <f t="shared" si="4"/>
        <v>36</v>
      </c>
      <c r="N16" s="1">
        <v>15</v>
      </c>
      <c r="P16" s="1">
        <f t="shared" si="5"/>
        <v>57</v>
      </c>
      <c r="Q16" s="1">
        <v>12</v>
      </c>
      <c r="S16" s="1">
        <f t="shared" si="6"/>
        <v>56</v>
      </c>
      <c r="T16" s="1">
        <v>14</v>
      </c>
    </row>
    <row r="17" spans="1:20" x14ac:dyDescent="0.25">
      <c r="A17" s="1">
        <f t="shared" si="0"/>
        <v>48</v>
      </c>
      <c r="B17" s="1">
        <v>7</v>
      </c>
      <c r="D17" s="1">
        <f t="shared" si="1"/>
        <v>66</v>
      </c>
      <c r="E17" s="1">
        <v>16</v>
      </c>
      <c r="G17" s="1">
        <f t="shared" si="2"/>
        <v>26</v>
      </c>
      <c r="H17" s="1">
        <v>13</v>
      </c>
      <c r="J17" s="1">
        <f t="shared" si="3"/>
        <v>79</v>
      </c>
      <c r="K17" s="1">
        <v>3</v>
      </c>
      <c r="M17" s="1">
        <f t="shared" si="4"/>
        <v>37</v>
      </c>
      <c r="N17" s="1">
        <v>15</v>
      </c>
      <c r="P17" s="1">
        <f t="shared" si="5"/>
        <v>58</v>
      </c>
      <c r="Q17" s="1">
        <v>12</v>
      </c>
      <c r="S17" s="1">
        <f t="shared" si="6"/>
        <v>57</v>
      </c>
      <c r="T17" s="1">
        <v>14</v>
      </c>
    </row>
    <row r="18" spans="1:20" x14ac:dyDescent="0.25">
      <c r="A18" s="1">
        <f t="shared" si="0"/>
        <v>47</v>
      </c>
      <c r="B18" s="1">
        <v>7</v>
      </c>
      <c r="D18" s="1">
        <f t="shared" si="1"/>
        <v>65</v>
      </c>
      <c r="E18" s="1">
        <v>16</v>
      </c>
      <c r="G18" s="1">
        <f t="shared" si="2"/>
        <v>25</v>
      </c>
      <c r="H18" s="1">
        <v>13</v>
      </c>
      <c r="J18" s="1">
        <f t="shared" si="3"/>
        <v>78</v>
      </c>
      <c r="K18" s="1">
        <v>3</v>
      </c>
      <c r="M18" s="1">
        <f t="shared" si="4"/>
        <v>38</v>
      </c>
      <c r="N18" s="1">
        <v>15</v>
      </c>
      <c r="P18" s="1">
        <f t="shared" si="5"/>
        <v>59</v>
      </c>
      <c r="Q18" s="1">
        <v>12</v>
      </c>
      <c r="S18" s="1">
        <f t="shared" si="6"/>
        <v>58</v>
      </c>
      <c r="T18" s="1">
        <v>14</v>
      </c>
    </row>
    <row r="19" spans="1:20" x14ac:dyDescent="0.25">
      <c r="A19" s="1">
        <f t="shared" si="0"/>
        <v>46</v>
      </c>
      <c r="B19" s="1">
        <v>6</v>
      </c>
      <c r="D19" s="1">
        <f t="shared" si="1"/>
        <v>64</v>
      </c>
      <c r="E19" s="1">
        <v>16</v>
      </c>
      <c r="G19" s="1">
        <f t="shared" si="2"/>
        <v>24</v>
      </c>
      <c r="H19" s="1">
        <v>12</v>
      </c>
      <c r="J19" s="1">
        <f t="shared" si="3"/>
        <v>77</v>
      </c>
      <c r="K19" s="1">
        <v>3</v>
      </c>
      <c r="M19" s="1">
        <f t="shared" si="4"/>
        <v>39</v>
      </c>
      <c r="N19" s="1">
        <v>14</v>
      </c>
      <c r="P19" s="1">
        <f t="shared" si="5"/>
        <v>60</v>
      </c>
      <c r="Q19" s="1">
        <v>11</v>
      </c>
      <c r="S19" s="1">
        <f t="shared" si="6"/>
        <v>59</v>
      </c>
      <c r="T19" s="1">
        <v>13</v>
      </c>
    </row>
    <row r="20" spans="1:20" x14ac:dyDescent="0.25">
      <c r="A20" s="1">
        <f t="shared" si="0"/>
        <v>45</v>
      </c>
      <c r="B20" s="1">
        <v>6</v>
      </c>
      <c r="D20" s="1">
        <f t="shared" si="1"/>
        <v>63</v>
      </c>
      <c r="E20" s="1">
        <v>16</v>
      </c>
      <c r="G20" s="1">
        <f t="shared" si="2"/>
        <v>23</v>
      </c>
      <c r="H20" s="1">
        <v>12</v>
      </c>
      <c r="J20" s="1">
        <f t="shared" si="3"/>
        <v>76</v>
      </c>
      <c r="K20" s="1">
        <v>3</v>
      </c>
      <c r="M20" s="1">
        <f t="shared" si="4"/>
        <v>40</v>
      </c>
      <c r="N20" s="1">
        <v>14</v>
      </c>
      <c r="P20" s="1">
        <f t="shared" si="5"/>
        <v>61</v>
      </c>
      <c r="Q20" s="1">
        <v>11</v>
      </c>
      <c r="S20" s="1">
        <f t="shared" si="6"/>
        <v>60</v>
      </c>
      <c r="T20" s="1">
        <v>13</v>
      </c>
    </row>
    <row r="21" spans="1:20" x14ac:dyDescent="0.25">
      <c r="A21" s="1">
        <f t="shared" si="0"/>
        <v>44</v>
      </c>
      <c r="B21" s="1">
        <v>5</v>
      </c>
      <c r="D21" s="1">
        <f t="shared" si="1"/>
        <v>62</v>
      </c>
      <c r="E21" s="1">
        <v>15</v>
      </c>
      <c r="G21" s="1">
        <f t="shared" si="2"/>
        <v>22</v>
      </c>
      <c r="H21" s="1">
        <v>11</v>
      </c>
      <c r="J21" s="1">
        <f t="shared" si="3"/>
        <v>75</v>
      </c>
      <c r="K21" s="1">
        <v>3</v>
      </c>
      <c r="M21" s="1">
        <f t="shared" si="4"/>
        <v>41</v>
      </c>
      <c r="N21" s="1">
        <v>14</v>
      </c>
      <c r="P21" s="1">
        <f t="shared" si="5"/>
        <v>62</v>
      </c>
      <c r="Q21" s="1">
        <v>11</v>
      </c>
      <c r="S21" s="1">
        <f t="shared" si="6"/>
        <v>61</v>
      </c>
      <c r="T21" s="1">
        <v>13</v>
      </c>
    </row>
    <row r="22" spans="1:20" x14ac:dyDescent="0.25">
      <c r="A22" s="1">
        <f t="shared" si="0"/>
        <v>43</v>
      </c>
      <c r="B22" s="1">
        <v>5</v>
      </c>
      <c r="D22" s="1">
        <f t="shared" si="1"/>
        <v>61</v>
      </c>
      <c r="E22" s="1">
        <v>15</v>
      </c>
      <c r="G22" s="1">
        <f t="shared" si="2"/>
        <v>21</v>
      </c>
      <c r="H22" s="1">
        <v>11</v>
      </c>
      <c r="J22" s="1">
        <f t="shared" si="3"/>
        <v>74</v>
      </c>
      <c r="K22" s="1">
        <v>3</v>
      </c>
      <c r="M22" s="1">
        <f t="shared" si="4"/>
        <v>42</v>
      </c>
      <c r="N22" s="1">
        <v>14</v>
      </c>
      <c r="P22" s="1">
        <f t="shared" si="5"/>
        <v>63</v>
      </c>
      <c r="Q22" s="1">
        <v>10</v>
      </c>
      <c r="S22" s="1">
        <f t="shared" si="6"/>
        <v>62</v>
      </c>
      <c r="T22" s="1">
        <v>12</v>
      </c>
    </row>
    <row r="23" spans="1:20" x14ac:dyDescent="0.25">
      <c r="A23" s="1">
        <f t="shared" si="0"/>
        <v>42</v>
      </c>
      <c r="B23" s="1">
        <v>5</v>
      </c>
      <c r="D23" s="1">
        <f t="shared" si="1"/>
        <v>60</v>
      </c>
      <c r="E23" s="1">
        <v>15</v>
      </c>
      <c r="G23" s="1">
        <f t="shared" si="2"/>
        <v>20</v>
      </c>
      <c r="H23" s="1">
        <v>10</v>
      </c>
      <c r="J23" s="1">
        <f t="shared" si="3"/>
        <v>73</v>
      </c>
      <c r="K23" s="1">
        <v>3</v>
      </c>
      <c r="M23" s="1">
        <f t="shared" si="4"/>
        <v>43</v>
      </c>
      <c r="N23" s="1">
        <v>14</v>
      </c>
      <c r="P23" s="1">
        <f t="shared" si="5"/>
        <v>64</v>
      </c>
      <c r="Q23" s="1">
        <v>10</v>
      </c>
      <c r="S23" s="1">
        <f t="shared" si="6"/>
        <v>63</v>
      </c>
      <c r="T23" s="1">
        <v>12</v>
      </c>
    </row>
    <row r="24" spans="1:20" x14ac:dyDescent="0.25">
      <c r="A24" s="1">
        <f t="shared" si="0"/>
        <v>41</v>
      </c>
      <c r="B24" s="1">
        <v>5</v>
      </c>
      <c r="D24" s="1">
        <f t="shared" si="1"/>
        <v>59</v>
      </c>
      <c r="E24" s="1">
        <v>15</v>
      </c>
      <c r="G24" s="1">
        <f t="shared" si="2"/>
        <v>19</v>
      </c>
      <c r="H24" s="1">
        <v>10</v>
      </c>
      <c r="J24" s="1">
        <f t="shared" si="3"/>
        <v>72</v>
      </c>
      <c r="K24" s="1">
        <v>3</v>
      </c>
      <c r="M24" s="1">
        <f t="shared" si="4"/>
        <v>44</v>
      </c>
      <c r="N24" s="1">
        <v>13</v>
      </c>
      <c r="P24" s="1">
        <f t="shared" si="5"/>
        <v>65</v>
      </c>
      <c r="Q24" s="1">
        <v>10</v>
      </c>
      <c r="S24" s="1">
        <f t="shared" si="6"/>
        <v>64</v>
      </c>
      <c r="T24" s="1">
        <v>12</v>
      </c>
    </row>
    <row r="25" spans="1:20" x14ac:dyDescent="0.25">
      <c r="A25" s="1">
        <f t="shared" si="0"/>
        <v>40</v>
      </c>
      <c r="B25" s="1">
        <v>5</v>
      </c>
      <c r="D25" s="1">
        <f t="shared" si="1"/>
        <v>58</v>
      </c>
      <c r="E25" s="1">
        <v>15</v>
      </c>
      <c r="G25" s="1">
        <f t="shared" si="2"/>
        <v>18</v>
      </c>
      <c r="H25" s="1">
        <v>9</v>
      </c>
      <c r="J25" s="1">
        <f t="shared" si="3"/>
        <v>71</v>
      </c>
      <c r="K25" s="1">
        <v>3</v>
      </c>
      <c r="M25" s="1">
        <f t="shared" si="4"/>
        <v>45</v>
      </c>
      <c r="N25" s="1">
        <v>13</v>
      </c>
      <c r="P25" s="1">
        <f t="shared" si="5"/>
        <v>66</v>
      </c>
      <c r="Q25" s="1">
        <v>10</v>
      </c>
      <c r="S25" s="1">
        <f t="shared" si="6"/>
        <v>65</v>
      </c>
      <c r="T25" s="1">
        <v>11</v>
      </c>
    </row>
    <row r="26" spans="1:20" x14ac:dyDescent="0.25">
      <c r="A26" s="1">
        <f t="shared" si="0"/>
        <v>39</v>
      </c>
      <c r="B26" s="1">
        <v>4</v>
      </c>
      <c r="D26" s="1">
        <f t="shared" si="1"/>
        <v>57</v>
      </c>
      <c r="E26" s="1">
        <v>14</v>
      </c>
      <c r="G26" s="1">
        <f t="shared" si="2"/>
        <v>17</v>
      </c>
      <c r="H26" s="1">
        <v>9</v>
      </c>
      <c r="J26" s="1">
        <f t="shared" si="3"/>
        <v>70</v>
      </c>
      <c r="K26" s="1">
        <v>4</v>
      </c>
      <c r="M26" s="1">
        <f t="shared" si="4"/>
        <v>46</v>
      </c>
      <c r="N26" s="1">
        <v>13</v>
      </c>
      <c r="P26" s="1">
        <f t="shared" si="5"/>
        <v>67</v>
      </c>
      <c r="Q26" s="1">
        <v>9</v>
      </c>
      <c r="S26" s="1">
        <f t="shared" si="6"/>
        <v>66</v>
      </c>
      <c r="T26" s="1">
        <v>11</v>
      </c>
    </row>
    <row r="27" spans="1:20" x14ac:dyDescent="0.25">
      <c r="A27" s="1">
        <f t="shared" si="0"/>
        <v>38</v>
      </c>
      <c r="B27" s="1">
        <v>4</v>
      </c>
      <c r="D27" s="1">
        <f t="shared" si="1"/>
        <v>56</v>
      </c>
      <c r="E27" s="1">
        <v>14</v>
      </c>
      <c r="G27" s="1">
        <f t="shared" si="2"/>
        <v>16</v>
      </c>
      <c r="H27" s="1">
        <v>8</v>
      </c>
      <c r="J27" s="1">
        <f t="shared" si="3"/>
        <v>69</v>
      </c>
      <c r="K27" s="1">
        <v>4</v>
      </c>
      <c r="M27" s="1">
        <f t="shared" si="4"/>
        <v>47</v>
      </c>
      <c r="N27" s="1">
        <v>13</v>
      </c>
      <c r="P27" s="1">
        <f t="shared" si="5"/>
        <v>68</v>
      </c>
      <c r="Q27" s="1">
        <v>9</v>
      </c>
      <c r="S27" s="1">
        <f t="shared" si="6"/>
        <v>67</v>
      </c>
      <c r="T27" s="1">
        <v>11</v>
      </c>
    </row>
    <row r="28" spans="1:20" x14ac:dyDescent="0.25">
      <c r="A28" s="1">
        <f t="shared" si="0"/>
        <v>37</v>
      </c>
      <c r="B28" s="1">
        <v>4</v>
      </c>
      <c r="D28" s="1">
        <f t="shared" si="1"/>
        <v>55</v>
      </c>
      <c r="E28" s="1">
        <v>14</v>
      </c>
      <c r="G28" s="1">
        <f t="shared" si="2"/>
        <v>15</v>
      </c>
      <c r="H28" s="1">
        <v>8</v>
      </c>
      <c r="J28" s="1">
        <f t="shared" si="3"/>
        <v>68</v>
      </c>
      <c r="K28" s="1">
        <v>4</v>
      </c>
      <c r="M28" s="1">
        <f t="shared" si="4"/>
        <v>48</v>
      </c>
      <c r="N28" s="1">
        <v>13</v>
      </c>
      <c r="P28" s="1">
        <f t="shared" si="5"/>
        <v>69</v>
      </c>
      <c r="Q28" s="1">
        <v>9</v>
      </c>
      <c r="S28" s="1">
        <f t="shared" si="6"/>
        <v>68</v>
      </c>
      <c r="T28" s="1">
        <v>10</v>
      </c>
    </row>
    <row r="29" spans="1:20" x14ac:dyDescent="0.25">
      <c r="A29" s="1">
        <f t="shared" si="0"/>
        <v>36</v>
      </c>
      <c r="B29" s="1">
        <v>4</v>
      </c>
      <c r="D29" s="1">
        <f t="shared" si="1"/>
        <v>54</v>
      </c>
      <c r="E29" s="1">
        <v>14</v>
      </c>
      <c r="G29" s="1">
        <f t="shared" si="2"/>
        <v>14</v>
      </c>
      <c r="H29" s="1">
        <v>7</v>
      </c>
      <c r="J29" s="1">
        <f t="shared" si="3"/>
        <v>67</v>
      </c>
      <c r="K29" s="1">
        <v>4</v>
      </c>
      <c r="M29" s="1">
        <f t="shared" si="4"/>
        <v>49</v>
      </c>
      <c r="N29" s="1">
        <v>12</v>
      </c>
      <c r="P29" s="1">
        <f t="shared" si="5"/>
        <v>70</v>
      </c>
      <c r="Q29" s="1">
        <v>9</v>
      </c>
      <c r="S29" s="1">
        <f t="shared" si="6"/>
        <v>69</v>
      </c>
      <c r="T29" s="1">
        <v>10</v>
      </c>
    </row>
    <row r="30" spans="1:20" x14ac:dyDescent="0.25">
      <c r="A30" s="1">
        <f t="shared" si="0"/>
        <v>35</v>
      </c>
      <c r="B30" s="1">
        <v>4</v>
      </c>
      <c r="D30" s="1">
        <f t="shared" si="1"/>
        <v>53</v>
      </c>
      <c r="E30" s="1">
        <v>13</v>
      </c>
      <c r="G30" s="1">
        <f t="shared" si="2"/>
        <v>13</v>
      </c>
      <c r="H30" s="1">
        <v>6</v>
      </c>
      <c r="J30" s="1">
        <f t="shared" si="3"/>
        <v>66</v>
      </c>
      <c r="K30" s="1">
        <v>4</v>
      </c>
      <c r="M30" s="1">
        <f t="shared" si="4"/>
        <v>50</v>
      </c>
      <c r="N30" s="1">
        <v>12</v>
      </c>
      <c r="P30" s="1">
        <f t="shared" si="5"/>
        <v>71</v>
      </c>
      <c r="Q30" s="1">
        <v>8</v>
      </c>
      <c r="S30" s="1">
        <f t="shared" si="6"/>
        <v>70</v>
      </c>
      <c r="T30" s="1">
        <v>10</v>
      </c>
    </row>
    <row r="31" spans="1:20" x14ac:dyDescent="0.25">
      <c r="A31" s="1">
        <f t="shared" si="0"/>
        <v>34</v>
      </c>
      <c r="B31" s="1">
        <v>4</v>
      </c>
      <c r="D31" s="1">
        <f t="shared" si="1"/>
        <v>52</v>
      </c>
      <c r="E31" s="1">
        <v>13</v>
      </c>
      <c r="G31" s="1">
        <f t="shared" si="2"/>
        <v>12</v>
      </c>
      <c r="H31" s="1">
        <v>6</v>
      </c>
      <c r="J31" s="1">
        <f t="shared" si="3"/>
        <v>65</v>
      </c>
      <c r="K31" s="1">
        <v>4</v>
      </c>
      <c r="M31" s="1">
        <f t="shared" si="4"/>
        <v>51</v>
      </c>
      <c r="N31" s="1">
        <v>12</v>
      </c>
      <c r="P31" s="1">
        <f t="shared" si="5"/>
        <v>72</v>
      </c>
      <c r="Q31" s="1">
        <v>8</v>
      </c>
      <c r="S31" s="1">
        <f t="shared" si="6"/>
        <v>71</v>
      </c>
      <c r="T31" s="1">
        <v>10</v>
      </c>
    </row>
    <row r="32" spans="1:20" x14ac:dyDescent="0.25">
      <c r="A32" s="1">
        <f t="shared" si="0"/>
        <v>33</v>
      </c>
      <c r="B32" s="1">
        <v>4</v>
      </c>
      <c r="D32" s="1">
        <f t="shared" si="1"/>
        <v>51</v>
      </c>
      <c r="E32" s="1">
        <v>13</v>
      </c>
      <c r="G32" s="1">
        <f t="shared" si="2"/>
        <v>11</v>
      </c>
      <c r="H32" s="1">
        <v>5</v>
      </c>
      <c r="J32" s="1">
        <f t="shared" si="3"/>
        <v>64</v>
      </c>
      <c r="K32" s="1">
        <v>4</v>
      </c>
      <c r="M32" s="1">
        <f t="shared" si="4"/>
        <v>52</v>
      </c>
      <c r="N32" s="1">
        <v>12</v>
      </c>
      <c r="P32" s="1">
        <f t="shared" si="5"/>
        <v>73</v>
      </c>
      <c r="Q32" s="1">
        <v>8</v>
      </c>
      <c r="S32" s="1">
        <f t="shared" si="6"/>
        <v>72</v>
      </c>
      <c r="T32" s="1">
        <v>9</v>
      </c>
    </row>
    <row r="33" spans="1:20" x14ac:dyDescent="0.25">
      <c r="A33" s="1">
        <f t="shared" si="0"/>
        <v>32</v>
      </c>
      <c r="B33" s="1">
        <v>4</v>
      </c>
      <c r="D33" s="1">
        <f t="shared" si="1"/>
        <v>50</v>
      </c>
      <c r="E33" s="1">
        <v>13</v>
      </c>
      <c r="G33" s="1">
        <f t="shared" si="2"/>
        <v>10</v>
      </c>
      <c r="H33" s="1">
        <v>4</v>
      </c>
      <c r="J33" s="1">
        <f t="shared" si="3"/>
        <v>63</v>
      </c>
      <c r="K33" s="1">
        <v>4</v>
      </c>
      <c r="M33" s="1">
        <f t="shared" si="4"/>
        <v>53</v>
      </c>
      <c r="N33" s="1">
        <v>12</v>
      </c>
      <c r="P33" s="1">
        <f t="shared" si="5"/>
        <v>74</v>
      </c>
      <c r="Q33" s="1">
        <v>8</v>
      </c>
      <c r="S33" s="1">
        <f t="shared" si="6"/>
        <v>73</v>
      </c>
      <c r="T33" s="1">
        <v>9</v>
      </c>
    </row>
    <row r="34" spans="1:20" x14ac:dyDescent="0.25">
      <c r="A34" s="1">
        <f t="shared" si="0"/>
        <v>31</v>
      </c>
      <c r="B34" s="1">
        <v>4</v>
      </c>
      <c r="D34" s="1">
        <f t="shared" si="1"/>
        <v>49</v>
      </c>
      <c r="E34" s="1">
        <v>12</v>
      </c>
      <c r="G34" s="1">
        <f t="shared" si="2"/>
        <v>9</v>
      </c>
      <c r="H34" s="1">
        <v>4</v>
      </c>
      <c r="J34" s="1">
        <f t="shared" si="3"/>
        <v>62</v>
      </c>
      <c r="K34" s="1">
        <v>5</v>
      </c>
      <c r="M34" s="1">
        <f t="shared" si="4"/>
        <v>54</v>
      </c>
      <c r="N34" s="1">
        <v>12</v>
      </c>
      <c r="P34" s="1">
        <f t="shared" si="5"/>
        <v>75</v>
      </c>
      <c r="Q34" s="1">
        <v>7</v>
      </c>
      <c r="S34" s="1">
        <f t="shared" si="6"/>
        <v>74</v>
      </c>
      <c r="T34" s="1">
        <v>9</v>
      </c>
    </row>
    <row r="35" spans="1:20" x14ac:dyDescent="0.25">
      <c r="A35" s="1">
        <f t="shared" si="0"/>
        <v>30</v>
      </c>
      <c r="B35" s="1">
        <v>4</v>
      </c>
      <c r="D35" s="1">
        <f t="shared" si="1"/>
        <v>48</v>
      </c>
      <c r="E35" s="1">
        <v>12</v>
      </c>
      <c r="G35" s="1">
        <f t="shared" si="2"/>
        <v>8</v>
      </c>
      <c r="H35" s="1">
        <v>3</v>
      </c>
      <c r="J35" s="1">
        <f t="shared" si="3"/>
        <v>61</v>
      </c>
      <c r="K35" s="1">
        <v>5</v>
      </c>
      <c r="M35" s="1">
        <f t="shared" si="4"/>
        <v>55</v>
      </c>
      <c r="N35" s="1">
        <v>12</v>
      </c>
      <c r="P35" s="1">
        <f t="shared" si="5"/>
        <v>76</v>
      </c>
      <c r="Q35" s="1">
        <v>7</v>
      </c>
      <c r="S35" s="1">
        <f t="shared" si="6"/>
        <v>75</v>
      </c>
      <c r="T35" s="1">
        <v>9</v>
      </c>
    </row>
    <row r="36" spans="1:20" x14ac:dyDescent="0.25">
      <c r="A36" s="1">
        <f t="shared" si="0"/>
        <v>29</v>
      </c>
      <c r="B36" s="1">
        <v>4</v>
      </c>
      <c r="D36" s="1">
        <f t="shared" si="1"/>
        <v>47</v>
      </c>
      <c r="E36" s="1">
        <v>12</v>
      </c>
      <c r="G36" s="1">
        <f t="shared" si="2"/>
        <v>7</v>
      </c>
      <c r="H36" s="1">
        <v>2</v>
      </c>
      <c r="J36" s="1">
        <f t="shared" si="3"/>
        <v>60</v>
      </c>
      <c r="K36" s="1">
        <v>5</v>
      </c>
      <c r="M36" s="1">
        <f t="shared" si="4"/>
        <v>56</v>
      </c>
      <c r="N36" s="1">
        <v>11</v>
      </c>
      <c r="P36" s="1">
        <f t="shared" si="5"/>
        <v>77</v>
      </c>
      <c r="Q36" s="1">
        <v>7</v>
      </c>
      <c r="S36" s="1">
        <f t="shared" si="6"/>
        <v>76</v>
      </c>
      <c r="T36" s="1">
        <v>9</v>
      </c>
    </row>
    <row r="37" spans="1:20" x14ac:dyDescent="0.25">
      <c r="A37" s="1">
        <f t="shared" si="0"/>
        <v>28</v>
      </c>
      <c r="B37" s="1">
        <v>4</v>
      </c>
      <c r="D37" s="1">
        <f t="shared" si="1"/>
        <v>46</v>
      </c>
      <c r="E37" s="1">
        <v>12</v>
      </c>
      <c r="G37" s="1">
        <f t="shared" si="2"/>
        <v>6</v>
      </c>
      <c r="H37" s="1">
        <v>2</v>
      </c>
      <c r="J37" s="1">
        <f t="shared" si="3"/>
        <v>59</v>
      </c>
      <c r="K37" s="1">
        <v>5</v>
      </c>
      <c r="M37" s="1">
        <f t="shared" si="4"/>
        <v>57</v>
      </c>
      <c r="N37" s="1">
        <v>11</v>
      </c>
      <c r="P37" s="1">
        <f t="shared" si="5"/>
        <v>78</v>
      </c>
      <c r="Q37" s="1">
        <v>7</v>
      </c>
      <c r="S37" s="1">
        <f t="shared" si="6"/>
        <v>77</v>
      </c>
      <c r="T37" s="1">
        <v>8</v>
      </c>
    </row>
    <row r="38" spans="1:20" x14ac:dyDescent="0.25">
      <c r="A38" s="1">
        <f t="shared" si="0"/>
        <v>27</v>
      </c>
      <c r="B38" s="1">
        <v>3</v>
      </c>
      <c r="D38" s="1">
        <f t="shared" si="1"/>
        <v>45</v>
      </c>
      <c r="E38" s="1">
        <v>11</v>
      </c>
      <c r="G38" s="1">
        <f t="shared" si="2"/>
        <v>5</v>
      </c>
      <c r="H38" s="1">
        <v>1</v>
      </c>
      <c r="J38" s="1">
        <f t="shared" si="3"/>
        <v>58</v>
      </c>
      <c r="K38" s="1">
        <v>5</v>
      </c>
      <c r="M38" s="1">
        <f t="shared" si="4"/>
        <v>58</v>
      </c>
      <c r="N38" s="1">
        <v>11</v>
      </c>
      <c r="P38" s="1">
        <f t="shared" si="5"/>
        <v>79</v>
      </c>
      <c r="Q38" s="1">
        <v>7</v>
      </c>
      <c r="S38" s="1">
        <f t="shared" si="6"/>
        <v>78</v>
      </c>
      <c r="T38" s="1">
        <v>8</v>
      </c>
    </row>
    <row r="39" spans="1:20" x14ac:dyDescent="0.25">
      <c r="A39" s="1">
        <f t="shared" si="0"/>
        <v>26</v>
      </c>
      <c r="B39" s="1">
        <v>3</v>
      </c>
      <c r="D39" s="1">
        <f t="shared" si="1"/>
        <v>44</v>
      </c>
      <c r="E39" s="1">
        <v>11</v>
      </c>
      <c r="G39" s="1">
        <f t="shared" si="2"/>
        <v>4</v>
      </c>
      <c r="H39" s="1">
        <v>0</v>
      </c>
      <c r="J39" s="1">
        <f t="shared" si="3"/>
        <v>57</v>
      </c>
      <c r="K39" s="1">
        <v>5</v>
      </c>
      <c r="M39" s="1">
        <f t="shared" si="4"/>
        <v>59</v>
      </c>
      <c r="N39" s="1">
        <v>11</v>
      </c>
      <c r="P39" s="1">
        <f t="shared" si="5"/>
        <v>80</v>
      </c>
      <c r="Q39" s="1">
        <v>7</v>
      </c>
      <c r="S39" s="1">
        <f t="shared" si="6"/>
        <v>79</v>
      </c>
      <c r="T39" s="1">
        <v>8</v>
      </c>
    </row>
    <row r="40" spans="1:20" x14ac:dyDescent="0.25">
      <c r="A40" s="1">
        <f t="shared" si="0"/>
        <v>25</v>
      </c>
      <c r="B40" s="1">
        <v>2</v>
      </c>
      <c r="D40" s="1">
        <f t="shared" si="1"/>
        <v>43</v>
      </c>
      <c r="E40" s="1">
        <v>11</v>
      </c>
      <c r="G40" s="1">
        <f>G39-1</f>
        <v>3</v>
      </c>
      <c r="H40" s="1">
        <v>0</v>
      </c>
      <c r="J40" s="1">
        <f t="shared" si="3"/>
        <v>56</v>
      </c>
      <c r="K40" s="1">
        <v>5</v>
      </c>
      <c r="M40" s="1">
        <f>M39+1</f>
        <v>60</v>
      </c>
      <c r="N40" s="1">
        <v>11</v>
      </c>
      <c r="P40" s="1">
        <f t="shared" si="5"/>
        <v>81</v>
      </c>
      <c r="Q40" s="1">
        <v>7</v>
      </c>
      <c r="S40" s="1">
        <f t="shared" si="6"/>
        <v>80</v>
      </c>
      <c r="T40" s="1">
        <v>8</v>
      </c>
    </row>
    <row r="41" spans="1:20" x14ac:dyDescent="0.25">
      <c r="A41" s="1">
        <f t="shared" si="0"/>
        <v>24</v>
      </c>
      <c r="B41" s="1">
        <v>2</v>
      </c>
      <c r="D41" s="1">
        <f t="shared" si="1"/>
        <v>42</v>
      </c>
      <c r="E41" s="1">
        <v>11</v>
      </c>
      <c r="G41" s="1">
        <f>G40-1</f>
        <v>2</v>
      </c>
      <c r="H41" s="1">
        <v>0</v>
      </c>
      <c r="J41" s="1">
        <f t="shared" si="3"/>
        <v>55</v>
      </c>
      <c r="K41" s="1">
        <v>5</v>
      </c>
      <c r="M41" s="1">
        <f>M40+1</f>
        <v>61</v>
      </c>
      <c r="N41" s="1">
        <v>11</v>
      </c>
      <c r="P41" s="1">
        <f t="shared" si="5"/>
        <v>82</v>
      </c>
      <c r="Q41" s="1">
        <v>6</v>
      </c>
      <c r="S41" s="1">
        <f t="shared" si="6"/>
        <v>81</v>
      </c>
      <c r="T41" s="1">
        <v>8</v>
      </c>
    </row>
    <row r="42" spans="1:20" x14ac:dyDescent="0.25">
      <c r="A42" s="1">
        <f t="shared" si="0"/>
        <v>23</v>
      </c>
      <c r="B42" s="1">
        <v>2</v>
      </c>
      <c r="D42" s="1">
        <f t="shared" si="1"/>
        <v>41</v>
      </c>
      <c r="E42" s="1">
        <v>10</v>
      </c>
      <c r="G42" s="1">
        <f>G41-1</f>
        <v>1</v>
      </c>
      <c r="H42" s="1">
        <v>0</v>
      </c>
      <c r="J42" s="1">
        <f t="shared" si="3"/>
        <v>54</v>
      </c>
      <c r="K42" s="1">
        <v>5</v>
      </c>
      <c r="M42" s="1">
        <f>M41+1</f>
        <v>62</v>
      </c>
      <c r="N42" s="1">
        <v>11</v>
      </c>
      <c r="P42" s="1">
        <f t="shared" si="5"/>
        <v>83</v>
      </c>
      <c r="Q42" s="1">
        <v>6</v>
      </c>
      <c r="S42" s="1">
        <f t="shared" si="6"/>
        <v>82</v>
      </c>
      <c r="T42" s="1">
        <v>8</v>
      </c>
    </row>
    <row r="43" spans="1:20" x14ac:dyDescent="0.25">
      <c r="A43" s="1">
        <f t="shared" si="0"/>
        <v>22</v>
      </c>
      <c r="B43" s="1">
        <v>2</v>
      </c>
      <c r="D43" s="1">
        <f t="shared" si="1"/>
        <v>40</v>
      </c>
      <c r="E43" s="1">
        <v>10</v>
      </c>
      <c r="G43" s="1">
        <f>G42-1</f>
        <v>0</v>
      </c>
      <c r="H43" s="1">
        <v>0</v>
      </c>
      <c r="J43" s="1">
        <f t="shared" si="3"/>
        <v>53</v>
      </c>
      <c r="K43" s="1">
        <v>5</v>
      </c>
      <c r="M43" s="1">
        <f>M42+1</f>
        <v>63</v>
      </c>
      <c r="N43" s="1">
        <v>11</v>
      </c>
      <c r="P43" s="1">
        <f t="shared" si="5"/>
        <v>84</v>
      </c>
      <c r="Q43" s="1">
        <v>6</v>
      </c>
      <c r="S43" s="1">
        <f t="shared" si="6"/>
        <v>83</v>
      </c>
      <c r="T43" s="1">
        <v>7</v>
      </c>
    </row>
    <row r="44" spans="1:20" x14ac:dyDescent="0.25">
      <c r="A44" s="1">
        <f t="shared" si="0"/>
        <v>21</v>
      </c>
      <c r="B44" s="1">
        <v>2</v>
      </c>
      <c r="D44" s="1">
        <f t="shared" si="1"/>
        <v>39</v>
      </c>
      <c r="E44" s="1">
        <v>10</v>
      </c>
      <c r="J44" s="1">
        <f t="shared" si="3"/>
        <v>52</v>
      </c>
      <c r="K44" s="1">
        <v>6</v>
      </c>
      <c r="M44" s="1">
        <f t="shared" ref="M44:M107" si="7">M43+1</f>
        <v>64</v>
      </c>
      <c r="N44" s="1">
        <v>10</v>
      </c>
      <c r="P44" s="1">
        <f t="shared" si="5"/>
        <v>85</v>
      </c>
      <c r="Q44" s="1">
        <v>6</v>
      </c>
      <c r="S44" s="1">
        <f t="shared" si="6"/>
        <v>84</v>
      </c>
      <c r="T44" s="1">
        <v>7</v>
      </c>
    </row>
    <row r="45" spans="1:20" x14ac:dyDescent="0.25">
      <c r="A45" s="1">
        <f t="shared" si="0"/>
        <v>20</v>
      </c>
      <c r="B45" s="1">
        <v>2</v>
      </c>
      <c r="D45" s="1">
        <f t="shared" si="1"/>
        <v>38</v>
      </c>
      <c r="E45" s="1">
        <v>10</v>
      </c>
      <c r="J45" s="1">
        <f t="shared" si="3"/>
        <v>51</v>
      </c>
      <c r="K45" s="1">
        <v>6</v>
      </c>
      <c r="M45" s="1">
        <f t="shared" si="7"/>
        <v>65</v>
      </c>
      <c r="N45" s="1">
        <v>10</v>
      </c>
      <c r="P45" s="1">
        <f t="shared" si="5"/>
        <v>86</v>
      </c>
      <c r="Q45" s="1">
        <v>6</v>
      </c>
      <c r="S45" s="1">
        <f t="shared" si="6"/>
        <v>85</v>
      </c>
      <c r="T45" s="1">
        <v>7</v>
      </c>
    </row>
    <row r="46" spans="1:20" x14ac:dyDescent="0.25">
      <c r="A46" s="1">
        <f t="shared" si="0"/>
        <v>19</v>
      </c>
      <c r="B46" s="1">
        <v>2</v>
      </c>
      <c r="D46" s="1">
        <f t="shared" si="1"/>
        <v>37</v>
      </c>
      <c r="E46" s="1">
        <v>9</v>
      </c>
      <c r="J46" s="1">
        <f t="shared" si="3"/>
        <v>50</v>
      </c>
      <c r="K46" s="1">
        <v>6</v>
      </c>
      <c r="M46" s="1">
        <f t="shared" si="7"/>
        <v>66</v>
      </c>
      <c r="N46" s="1">
        <v>10</v>
      </c>
      <c r="P46" s="1">
        <f t="shared" si="5"/>
        <v>87</v>
      </c>
      <c r="Q46" s="1">
        <v>6</v>
      </c>
      <c r="S46" s="1">
        <f t="shared" si="6"/>
        <v>86</v>
      </c>
      <c r="T46" s="1">
        <v>7</v>
      </c>
    </row>
    <row r="47" spans="1:20" x14ac:dyDescent="0.25">
      <c r="A47" s="1">
        <f t="shared" si="0"/>
        <v>18</v>
      </c>
      <c r="B47" s="1">
        <v>2</v>
      </c>
      <c r="D47" s="1">
        <f t="shared" si="1"/>
        <v>36</v>
      </c>
      <c r="E47" s="1">
        <v>9</v>
      </c>
      <c r="J47" s="1">
        <f t="shared" si="3"/>
        <v>49</v>
      </c>
      <c r="K47" s="1">
        <v>6</v>
      </c>
      <c r="M47" s="1">
        <f t="shared" si="7"/>
        <v>67</v>
      </c>
      <c r="N47" s="1">
        <v>10</v>
      </c>
      <c r="P47" s="1">
        <f t="shared" si="5"/>
        <v>88</v>
      </c>
      <c r="Q47" s="1">
        <v>6</v>
      </c>
      <c r="S47" s="1">
        <f t="shared" si="6"/>
        <v>87</v>
      </c>
      <c r="T47" s="1">
        <v>7</v>
      </c>
    </row>
    <row r="48" spans="1:20" x14ac:dyDescent="0.25">
      <c r="A48" s="1">
        <f t="shared" si="0"/>
        <v>17</v>
      </c>
      <c r="B48" s="1">
        <v>2</v>
      </c>
      <c r="D48" s="1">
        <f t="shared" si="1"/>
        <v>35</v>
      </c>
      <c r="E48" s="1">
        <v>9</v>
      </c>
      <c r="J48" s="1">
        <f t="shared" si="3"/>
        <v>48</v>
      </c>
      <c r="K48" s="1">
        <v>6</v>
      </c>
      <c r="M48" s="1">
        <f t="shared" si="7"/>
        <v>68</v>
      </c>
      <c r="N48" s="1">
        <v>10</v>
      </c>
      <c r="P48" s="1">
        <f t="shared" si="5"/>
        <v>89</v>
      </c>
      <c r="Q48" s="1">
        <v>5</v>
      </c>
      <c r="S48" s="1">
        <f t="shared" si="6"/>
        <v>88</v>
      </c>
      <c r="T48" s="1">
        <v>7</v>
      </c>
    </row>
    <row r="49" spans="1:20" x14ac:dyDescent="0.25">
      <c r="A49" s="1">
        <f t="shared" si="0"/>
        <v>16</v>
      </c>
      <c r="B49" s="1">
        <v>2</v>
      </c>
      <c r="D49" s="1">
        <f t="shared" si="1"/>
        <v>34</v>
      </c>
      <c r="E49" s="1">
        <v>9</v>
      </c>
      <c r="J49" s="1">
        <f t="shared" si="3"/>
        <v>47</v>
      </c>
      <c r="K49" s="1">
        <v>6</v>
      </c>
      <c r="M49" s="1">
        <f t="shared" si="7"/>
        <v>69</v>
      </c>
      <c r="N49" s="1">
        <v>10</v>
      </c>
      <c r="P49" s="1">
        <f t="shared" si="5"/>
        <v>90</v>
      </c>
      <c r="Q49" s="1">
        <v>5</v>
      </c>
      <c r="S49" s="1">
        <f t="shared" si="6"/>
        <v>89</v>
      </c>
      <c r="T49" s="1">
        <v>6</v>
      </c>
    </row>
    <row r="50" spans="1:20" x14ac:dyDescent="0.25">
      <c r="A50" s="1">
        <f t="shared" si="0"/>
        <v>15</v>
      </c>
      <c r="B50" s="1">
        <v>2</v>
      </c>
      <c r="D50" s="1">
        <f t="shared" si="1"/>
        <v>33</v>
      </c>
      <c r="E50" s="1">
        <v>8</v>
      </c>
      <c r="J50" s="1">
        <f t="shared" si="3"/>
        <v>46</v>
      </c>
      <c r="K50" s="1">
        <v>6</v>
      </c>
      <c r="M50" s="1">
        <f t="shared" si="7"/>
        <v>70</v>
      </c>
      <c r="N50" s="1">
        <v>10</v>
      </c>
      <c r="P50" s="1">
        <f t="shared" si="5"/>
        <v>91</v>
      </c>
      <c r="Q50" s="1">
        <v>5</v>
      </c>
      <c r="S50" s="1">
        <f t="shared" si="6"/>
        <v>90</v>
      </c>
      <c r="T50" s="1">
        <v>6</v>
      </c>
    </row>
    <row r="51" spans="1:20" x14ac:dyDescent="0.25">
      <c r="A51" s="1">
        <f t="shared" si="0"/>
        <v>14</v>
      </c>
      <c r="B51" s="1">
        <v>2</v>
      </c>
      <c r="D51" s="1">
        <f t="shared" si="1"/>
        <v>32</v>
      </c>
      <c r="E51" s="1">
        <v>8</v>
      </c>
      <c r="J51" s="1">
        <f t="shared" si="3"/>
        <v>45</v>
      </c>
      <c r="K51" s="1">
        <v>6</v>
      </c>
      <c r="M51" s="1">
        <f t="shared" si="7"/>
        <v>71</v>
      </c>
      <c r="N51" s="1">
        <v>10</v>
      </c>
      <c r="P51" s="1">
        <f t="shared" si="5"/>
        <v>92</v>
      </c>
      <c r="Q51" s="1">
        <v>5</v>
      </c>
      <c r="S51" s="1">
        <f t="shared" si="6"/>
        <v>91</v>
      </c>
      <c r="T51" s="1">
        <v>6</v>
      </c>
    </row>
    <row r="52" spans="1:20" x14ac:dyDescent="0.25">
      <c r="A52" s="1">
        <f t="shared" si="0"/>
        <v>13</v>
      </c>
      <c r="B52" s="1">
        <v>1</v>
      </c>
      <c r="D52" s="1">
        <f t="shared" si="1"/>
        <v>31</v>
      </c>
      <c r="E52" s="1">
        <v>8</v>
      </c>
      <c r="J52" s="1">
        <f t="shared" si="3"/>
        <v>44</v>
      </c>
      <c r="K52" s="1">
        <v>7</v>
      </c>
      <c r="M52" s="1">
        <f t="shared" si="7"/>
        <v>72</v>
      </c>
      <c r="N52" s="1">
        <v>10</v>
      </c>
      <c r="P52" s="1">
        <f t="shared" si="5"/>
        <v>93</v>
      </c>
      <c r="Q52" s="1">
        <v>5</v>
      </c>
      <c r="S52" s="1">
        <f t="shared" si="6"/>
        <v>92</v>
      </c>
      <c r="T52" s="1">
        <v>6</v>
      </c>
    </row>
    <row r="53" spans="1:20" x14ac:dyDescent="0.25">
      <c r="A53" s="1">
        <f t="shared" si="0"/>
        <v>12</v>
      </c>
      <c r="B53" s="1">
        <v>1</v>
      </c>
      <c r="D53" s="1">
        <f t="shared" si="1"/>
        <v>30</v>
      </c>
      <c r="E53" s="1">
        <v>8</v>
      </c>
      <c r="J53" s="1">
        <f t="shared" si="3"/>
        <v>43</v>
      </c>
      <c r="K53" s="1">
        <v>7</v>
      </c>
      <c r="M53" s="1">
        <f t="shared" si="7"/>
        <v>73</v>
      </c>
      <c r="N53" s="1">
        <v>10</v>
      </c>
      <c r="P53" s="1">
        <f t="shared" si="5"/>
        <v>94</v>
      </c>
      <c r="Q53" s="1">
        <v>5</v>
      </c>
      <c r="S53" s="1">
        <f t="shared" si="6"/>
        <v>93</v>
      </c>
      <c r="T53" s="1">
        <v>6</v>
      </c>
    </row>
    <row r="54" spans="1:20" x14ac:dyDescent="0.25">
      <c r="A54" s="1">
        <f t="shared" si="0"/>
        <v>11</v>
      </c>
      <c r="B54" s="1">
        <v>1</v>
      </c>
      <c r="D54" s="1">
        <f t="shared" si="1"/>
        <v>29</v>
      </c>
      <c r="E54" s="1">
        <v>8</v>
      </c>
      <c r="J54" s="1">
        <f t="shared" si="3"/>
        <v>42</v>
      </c>
      <c r="K54" s="1">
        <v>7</v>
      </c>
      <c r="M54" s="1">
        <f t="shared" si="7"/>
        <v>74</v>
      </c>
      <c r="N54" s="1">
        <v>10</v>
      </c>
      <c r="P54" s="1">
        <f t="shared" si="5"/>
        <v>95</v>
      </c>
      <c r="Q54" s="1">
        <v>5</v>
      </c>
      <c r="S54" s="1">
        <f t="shared" si="6"/>
        <v>94</v>
      </c>
      <c r="T54" s="1">
        <v>6</v>
      </c>
    </row>
    <row r="55" spans="1:20" x14ac:dyDescent="0.25">
      <c r="A55" s="1">
        <f t="shared" si="0"/>
        <v>10</v>
      </c>
      <c r="B55" s="1">
        <v>1</v>
      </c>
      <c r="D55" s="1">
        <f t="shared" si="1"/>
        <v>28</v>
      </c>
      <c r="E55" s="1">
        <v>7</v>
      </c>
      <c r="J55" s="1">
        <f t="shared" si="3"/>
        <v>41</v>
      </c>
      <c r="K55" s="1">
        <v>7</v>
      </c>
      <c r="M55" s="1">
        <f t="shared" si="7"/>
        <v>75</v>
      </c>
      <c r="N55" s="1">
        <v>9</v>
      </c>
      <c r="P55" s="1">
        <f t="shared" si="5"/>
        <v>96</v>
      </c>
      <c r="Q55" s="1">
        <v>5</v>
      </c>
      <c r="S55" s="1">
        <f t="shared" si="6"/>
        <v>95</v>
      </c>
      <c r="T55" s="1">
        <v>6</v>
      </c>
    </row>
    <row r="56" spans="1:20" x14ac:dyDescent="0.25">
      <c r="A56" s="1">
        <f t="shared" si="0"/>
        <v>9</v>
      </c>
      <c r="B56" s="1">
        <v>1</v>
      </c>
      <c r="D56" s="1">
        <f t="shared" si="1"/>
        <v>27</v>
      </c>
      <c r="E56" s="1">
        <v>7</v>
      </c>
      <c r="J56" s="1">
        <f t="shared" si="3"/>
        <v>40</v>
      </c>
      <c r="K56" s="1">
        <v>7</v>
      </c>
      <c r="M56" s="1">
        <f t="shared" si="7"/>
        <v>76</v>
      </c>
      <c r="N56" s="1">
        <v>9</v>
      </c>
      <c r="P56" s="1">
        <f t="shared" si="5"/>
        <v>97</v>
      </c>
      <c r="Q56" s="1">
        <v>5</v>
      </c>
      <c r="S56" s="1">
        <f t="shared" si="6"/>
        <v>96</v>
      </c>
      <c r="T56" s="1">
        <v>6</v>
      </c>
    </row>
    <row r="57" spans="1:20" x14ac:dyDescent="0.25">
      <c r="A57" s="1">
        <f t="shared" si="0"/>
        <v>8</v>
      </c>
      <c r="B57" s="1">
        <v>1</v>
      </c>
      <c r="D57" s="1">
        <f t="shared" si="1"/>
        <v>26</v>
      </c>
      <c r="E57" s="1">
        <v>7</v>
      </c>
      <c r="J57" s="1">
        <f t="shared" si="3"/>
        <v>39</v>
      </c>
      <c r="K57" s="1">
        <v>7</v>
      </c>
      <c r="M57" s="1">
        <f t="shared" si="7"/>
        <v>77</v>
      </c>
      <c r="N57" s="1">
        <v>9</v>
      </c>
      <c r="P57" s="1">
        <f t="shared" si="5"/>
        <v>98</v>
      </c>
      <c r="Q57" s="1">
        <v>5</v>
      </c>
      <c r="S57" s="1">
        <f t="shared" si="6"/>
        <v>97</v>
      </c>
      <c r="T57" s="1">
        <v>6</v>
      </c>
    </row>
    <row r="58" spans="1:20" x14ac:dyDescent="0.25">
      <c r="A58" s="1">
        <f t="shared" si="0"/>
        <v>7</v>
      </c>
      <c r="B58" s="1">
        <v>1</v>
      </c>
      <c r="D58" s="1">
        <f t="shared" si="1"/>
        <v>25</v>
      </c>
      <c r="E58" s="1">
        <v>6</v>
      </c>
      <c r="J58" s="1">
        <f t="shared" si="3"/>
        <v>38</v>
      </c>
      <c r="K58" s="1">
        <v>8</v>
      </c>
      <c r="M58" s="1">
        <f t="shared" si="7"/>
        <v>78</v>
      </c>
      <c r="N58" s="1">
        <v>9</v>
      </c>
      <c r="P58" s="1">
        <f t="shared" si="5"/>
        <v>99</v>
      </c>
      <c r="Q58" s="1">
        <v>5</v>
      </c>
      <c r="S58" s="1">
        <f t="shared" si="6"/>
        <v>98</v>
      </c>
      <c r="T58" s="1">
        <v>6</v>
      </c>
    </row>
    <row r="59" spans="1:20" x14ac:dyDescent="0.25">
      <c r="A59" s="1">
        <f t="shared" si="0"/>
        <v>6</v>
      </c>
      <c r="B59" s="1">
        <v>1</v>
      </c>
      <c r="D59" s="1">
        <f t="shared" si="1"/>
        <v>24</v>
      </c>
      <c r="E59" s="1">
        <v>6</v>
      </c>
      <c r="J59" s="1">
        <f t="shared" si="3"/>
        <v>37</v>
      </c>
      <c r="K59" s="1">
        <v>8</v>
      </c>
      <c r="M59" s="1">
        <f t="shared" si="7"/>
        <v>79</v>
      </c>
      <c r="N59" s="1">
        <v>9</v>
      </c>
      <c r="P59" s="1">
        <f t="shared" si="5"/>
        <v>100</v>
      </c>
      <c r="Q59" s="1">
        <v>5</v>
      </c>
      <c r="S59" s="1">
        <f t="shared" si="6"/>
        <v>99</v>
      </c>
      <c r="T59" s="1">
        <v>6</v>
      </c>
    </row>
    <row r="60" spans="1:20" x14ac:dyDescent="0.25">
      <c r="A60" s="1">
        <f t="shared" si="0"/>
        <v>5</v>
      </c>
      <c r="B60" s="1">
        <v>1</v>
      </c>
      <c r="D60" s="1">
        <f t="shared" si="1"/>
        <v>23</v>
      </c>
      <c r="E60" s="1">
        <v>6</v>
      </c>
      <c r="J60" s="1">
        <f t="shared" si="3"/>
        <v>36</v>
      </c>
      <c r="K60" s="1">
        <v>8</v>
      </c>
      <c r="M60" s="1">
        <f t="shared" si="7"/>
        <v>80</v>
      </c>
      <c r="N60" s="1">
        <v>9</v>
      </c>
      <c r="P60" s="1">
        <f t="shared" si="5"/>
        <v>101</v>
      </c>
      <c r="Q60" s="1">
        <v>5</v>
      </c>
      <c r="S60" s="1">
        <f t="shared" si="6"/>
        <v>100</v>
      </c>
      <c r="T60" s="1">
        <v>6</v>
      </c>
    </row>
    <row r="61" spans="1:20" x14ac:dyDescent="0.25">
      <c r="A61" s="1">
        <f>A60-1</f>
        <v>4</v>
      </c>
      <c r="B61" s="1">
        <v>1</v>
      </c>
      <c r="D61" s="1">
        <f t="shared" si="1"/>
        <v>22</v>
      </c>
      <c r="E61" s="1">
        <v>6</v>
      </c>
      <c r="J61" s="1">
        <f t="shared" si="3"/>
        <v>35</v>
      </c>
      <c r="K61" s="1">
        <v>8</v>
      </c>
      <c r="M61" s="1">
        <f t="shared" si="7"/>
        <v>81</v>
      </c>
      <c r="N61" s="1">
        <v>9</v>
      </c>
      <c r="P61" s="1">
        <f t="shared" si="5"/>
        <v>102</v>
      </c>
      <c r="Q61" s="1">
        <v>5</v>
      </c>
      <c r="S61" s="1">
        <f t="shared" si="6"/>
        <v>101</v>
      </c>
      <c r="T61" s="1">
        <v>6</v>
      </c>
    </row>
    <row r="62" spans="1:20" x14ac:dyDescent="0.25">
      <c r="A62" s="1">
        <f>A61-1</f>
        <v>3</v>
      </c>
      <c r="B62" s="1">
        <v>1</v>
      </c>
      <c r="D62" s="1">
        <f t="shared" si="1"/>
        <v>21</v>
      </c>
      <c r="E62" s="1">
        <v>5</v>
      </c>
      <c r="J62" s="1">
        <f t="shared" si="3"/>
        <v>34</v>
      </c>
      <c r="K62" s="1">
        <v>8</v>
      </c>
      <c r="M62" s="1">
        <f t="shared" si="7"/>
        <v>82</v>
      </c>
      <c r="N62" s="1">
        <v>9</v>
      </c>
      <c r="P62" s="1">
        <f t="shared" si="5"/>
        <v>103</v>
      </c>
      <c r="Q62" s="1">
        <v>5</v>
      </c>
      <c r="S62" s="1">
        <f t="shared" si="6"/>
        <v>102</v>
      </c>
      <c r="T62" s="1">
        <v>5</v>
      </c>
    </row>
    <row r="63" spans="1:20" x14ac:dyDescent="0.25">
      <c r="A63" s="1">
        <f>A62-1</f>
        <v>2</v>
      </c>
      <c r="B63" s="1">
        <v>1</v>
      </c>
      <c r="D63" s="1">
        <f t="shared" si="1"/>
        <v>20</v>
      </c>
      <c r="E63" s="1">
        <v>5</v>
      </c>
      <c r="J63" s="1">
        <f t="shared" si="3"/>
        <v>33</v>
      </c>
      <c r="K63" s="1">
        <v>9</v>
      </c>
      <c r="M63" s="1">
        <f t="shared" si="7"/>
        <v>83</v>
      </c>
      <c r="N63" s="1">
        <v>9</v>
      </c>
      <c r="P63" s="1">
        <f t="shared" si="5"/>
        <v>104</v>
      </c>
      <c r="Q63" s="1">
        <v>4</v>
      </c>
      <c r="S63" s="1">
        <f t="shared" si="6"/>
        <v>103</v>
      </c>
      <c r="T63" s="1">
        <v>5</v>
      </c>
    </row>
    <row r="64" spans="1:20" x14ac:dyDescent="0.25">
      <c r="A64" s="1">
        <f>A63-1</f>
        <v>1</v>
      </c>
      <c r="B64" s="1">
        <v>1</v>
      </c>
      <c r="D64" s="1">
        <f t="shared" si="1"/>
        <v>19</v>
      </c>
      <c r="E64" s="1">
        <v>5</v>
      </c>
      <c r="J64" s="1">
        <f t="shared" si="3"/>
        <v>32</v>
      </c>
      <c r="K64" s="1">
        <v>9</v>
      </c>
      <c r="M64" s="1">
        <f t="shared" si="7"/>
        <v>84</v>
      </c>
      <c r="N64" s="1">
        <v>9</v>
      </c>
      <c r="P64" s="1">
        <f t="shared" si="5"/>
        <v>105</v>
      </c>
      <c r="Q64" s="1">
        <v>4</v>
      </c>
      <c r="S64" s="1">
        <f t="shared" si="6"/>
        <v>104</v>
      </c>
      <c r="T64" s="1">
        <v>5</v>
      </c>
    </row>
    <row r="65" spans="1:20" x14ac:dyDescent="0.25">
      <c r="A65" s="1">
        <f>A64-1</f>
        <v>0</v>
      </c>
      <c r="B65" s="1">
        <v>1</v>
      </c>
      <c r="D65" s="1">
        <f t="shared" si="1"/>
        <v>18</v>
      </c>
      <c r="E65" s="1">
        <v>5</v>
      </c>
      <c r="J65" s="1">
        <f t="shared" si="3"/>
        <v>31</v>
      </c>
      <c r="K65" s="1">
        <v>9</v>
      </c>
      <c r="M65" s="1">
        <f t="shared" si="7"/>
        <v>85</v>
      </c>
      <c r="N65" s="1">
        <v>9</v>
      </c>
      <c r="P65" s="1">
        <f t="shared" si="5"/>
        <v>106</v>
      </c>
      <c r="Q65" s="1">
        <v>4</v>
      </c>
      <c r="S65" s="1">
        <f t="shared" si="6"/>
        <v>105</v>
      </c>
      <c r="T65" s="1">
        <v>5</v>
      </c>
    </row>
    <row r="66" spans="1:20" x14ac:dyDescent="0.25">
      <c r="D66" s="1">
        <f t="shared" si="1"/>
        <v>17</v>
      </c>
      <c r="E66" s="1">
        <v>4</v>
      </c>
      <c r="J66" s="1">
        <f t="shared" si="3"/>
        <v>30</v>
      </c>
      <c r="K66" s="1">
        <v>9</v>
      </c>
      <c r="M66" s="1">
        <f t="shared" si="7"/>
        <v>86</v>
      </c>
      <c r="N66" s="1">
        <v>9</v>
      </c>
      <c r="P66" s="1">
        <f t="shared" si="5"/>
        <v>107</v>
      </c>
      <c r="Q66" s="1">
        <v>4</v>
      </c>
      <c r="S66" s="1">
        <f t="shared" si="6"/>
        <v>106</v>
      </c>
      <c r="T66" s="1">
        <v>5</v>
      </c>
    </row>
    <row r="67" spans="1:20" x14ac:dyDescent="0.25">
      <c r="D67" s="1">
        <f t="shared" si="1"/>
        <v>16</v>
      </c>
      <c r="E67" s="1">
        <v>4</v>
      </c>
      <c r="J67" s="1">
        <f t="shared" si="3"/>
        <v>29</v>
      </c>
      <c r="K67" s="1">
        <v>9</v>
      </c>
      <c r="M67" s="1">
        <f t="shared" si="7"/>
        <v>87</v>
      </c>
      <c r="N67" s="1">
        <v>9</v>
      </c>
      <c r="P67" s="1">
        <f t="shared" si="5"/>
        <v>108</v>
      </c>
      <c r="Q67" s="1">
        <v>4</v>
      </c>
      <c r="S67" s="1">
        <f t="shared" si="6"/>
        <v>107</v>
      </c>
      <c r="T67" s="1">
        <v>5</v>
      </c>
    </row>
    <row r="68" spans="1:20" x14ac:dyDescent="0.25">
      <c r="D68" s="1">
        <f t="shared" si="1"/>
        <v>15</v>
      </c>
      <c r="E68" s="1">
        <v>4</v>
      </c>
      <c r="J68" s="1">
        <f t="shared" si="3"/>
        <v>28</v>
      </c>
      <c r="K68" s="1">
        <v>10</v>
      </c>
      <c r="M68" s="1">
        <f t="shared" si="7"/>
        <v>88</v>
      </c>
      <c r="N68" s="1">
        <v>9</v>
      </c>
      <c r="P68" s="1">
        <f t="shared" si="5"/>
        <v>109</v>
      </c>
      <c r="Q68" s="1">
        <v>4</v>
      </c>
      <c r="S68" s="1">
        <f t="shared" si="6"/>
        <v>108</v>
      </c>
      <c r="T68" s="1">
        <v>5</v>
      </c>
    </row>
    <row r="69" spans="1:20" x14ac:dyDescent="0.25">
      <c r="D69" s="1">
        <f t="shared" si="1"/>
        <v>14</v>
      </c>
      <c r="E69" s="1">
        <v>3</v>
      </c>
      <c r="J69" s="1">
        <f t="shared" si="3"/>
        <v>27</v>
      </c>
      <c r="K69" s="1">
        <v>10</v>
      </c>
      <c r="M69" s="1">
        <f t="shared" si="7"/>
        <v>89</v>
      </c>
      <c r="N69" s="1">
        <v>8</v>
      </c>
      <c r="P69" s="1">
        <f t="shared" si="5"/>
        <v>110</v>
      </c>
      <c r="Q69" s="1">
        <v>4</v>
      </c>
      <c r="S69" s="1">
        <f t="shared" si="6"/>
        <v>109</v>
      </c>
      <c r="T69" s="1">
        <v>5</v>
      </c>
    </row>
    <row r="70" spans="1:20" x14ac:dyDescent="0.25">
      <c r="D70" s="1">
        <f t="shared" si="1"/>
        <v>13</v>
      </c>
      <c r="E70" s="1">
        <v>3</v>
      </c>
      <c r="J70" s="1">
        <f t="shared" si="3"/>
        <v>26</v>
      </c>
      <c r="K70" s="1">
        <v>10</v>
      </c>
      <c r="M70" s="1">
        <f t="shared" si="7"/>
        <v>90</v>
      </c>
      <c r="N70" s="1">
        <v>8</v>
      </c>
      <c r="P70" s="1">
        <f t="shared" si="5"/>
        <v>111</v>
      </c>
      <c r="Q70" s="1">
        <v>4</v>
      </c>
      <c r="S70" s="1">
        <f t="shared" si="6"/>
        <v>110</v>
      </c>
      <c r="T70" s="1">
        <v>5</v>
      </c>
    </row>
    <row r="71" spans="1:20" x14ac:dyDescent="0.25">
      <c r="D71" s="1">
        <f t="shared" ref="D71:D79" si="8">D70-1</f>
        <v>12</v>
      </c>
      <c r="E71" s="1">
        <v>2</v>
      </c>
      <c r="J71" s="1">
        <f t="shared" ref="J71:J96" si="9">J70-1</f>
        <v>25</v>
      </c>
      <c r="K71" s="1">
        <v>10</v>
      </c>
      <c r="M71" s="1">
        <f t="shared" si="7"/>
        <v>91</v>
      </c>
      <c r="N71" s="1">
        <v>8</v>
      </c>
      <c r="P71" s="1">
        <f t="shared" ref="P71:P124" si="10">P70+1</f>
        <v>112</v>
      </c>
      <c r="Q71" s="1">
        <v>4</v>
      </c>
      <c r="S71" s="1">
        <f t="shared" ref="S71:S134" si="11">S70+1</f>
        <v>111</v>
      </c>
      <c r="T71" s="1">
        <v>5</v>
      </c>
    </row>
    <row r="72" spans="1:20" x14ac:dyDescent="0.25">
      <c r="D72" s="1">
        <f t="shared" si="8"/>
        <v>11</v>
      </c>
      <c r="E72" s="1">
        <v>2</v>
      </c>
      <c r="J72" s="1">
        <f t="shared" si="9"/>
        <v>24</v>
      </c>
      <c r="K72" s="1">
        <v>11</v>
      </c>
      <c r="M72" s="1">
        <f t="shared" si="7"/>
        <v>92</v>
      </c>
      <c r="N72" s="1">
        <v>8</v>
      </c>
      <c r="P72" s="1">
        <f t="shared" si="10"/>
        <v>113</v>
      </c>
      <c r="Q72" s="1">
        <v>4</v>
      </c>
      <c r="S72" s="1">
        <f t="shared" si="11"/>
        <v>112</v>
      </c>
      <c r="T72" s="1">
        <v>5</v>
      </c>
    </row>
    <row r="73" spans="1:20" x14ac:dyDescent="0.25">
      <c r="D73" s="1">
        <f t="shared" si="8"/>
        <v>10</v>
      </c>
      <c r="E73" s="1">
        <v>2</v>
      </c>
      <c r="J73" s="1">
        <f t="shared" si="9"/>
        <v>23</v>
      </c>
      <c r="K73" s="1">
        <v>11</v>
      </c>
      <c r="M73" s="1">
        <f t="shared" si="7"/>
        <v>93</v>
      </c>
      <c r="N73" s="1">
        <v>8</v>
      </c>
      <c r="P73" s="1">
        <f t="shared" si="10"/>
        <v>114</v>
      </c>
      <c r="Q73" s="1">
        <v>4</v>
      </c>
      <c r="S73" s="1">
        <f t="shared" si="11"/>
        <v>113</v>
      </c>
      <c r="T73" s="1">
        <v>5</v>
      </c>
    </row>
    <row r="74" spans="1:20" x14ac:dyDescent="0.25">
      <c r="D74" s="1">
        <f t="shared" si="8"/>
        <v>9</v>
      </c>
      <c r="E74" s="1">
        <v>1</v>
      </c>
      <c r="J74" s="1">
        <f t="shared" si="9"/>
        <v>22</v>
      </c>
      <c r="K74" s="1">
        <v>11</v>
      </c>
      <c r="M74" s="1">
        <f t="shared" si="7"/>
        <v>94</v>
      </c>
      <c r="N74" s="1">
        <v>8</v>
      </c>
      <c r="P74" s="1">
        <f t="shared" si="10"/>
        <v>115</v>
      </c>
      <c r="Q74" s="1">
        <v>4</v>
      </c>
      <c r="S74" s="1">
        <f t="shared" si="11"/>
        <v>114</v>
      </c>
      <c r="T74" s="1">
        <v>4</v>
      </c>
    </row>
    <row r="75" spans="1:20" x14ac:dyDescent="0.25">
      <c r="D75" s="1">
        <f t="shared" si="8"/>
        <v>8</v>
      </c>
      <c r="E75" s="1">
        <v>1</v>
      </c>
      <c r="J75" s="1">
        <f t="shared" si="9"/>
        <v>21</v>
      </c>
      <c r="K75" s="1">
        <v>12</v>
      </c>
      <c r="M75" s="1">
        <f t="shared" si="7"/>
        <v>95</v>
      </c>
      <c r="N75" s="1">
        <v>8</v>
      </c>
      <c r="P75" s="1">
        <f t="shared" si="10"/>
        <v>116</v>
      </c>
      <c r="Q75" s="1">
        <v>4</v>
      </c>
      <c r="S75" s="1">
        <f t="shared" si="11"/>
        <v>115</v>
      </c>
      <c r="T75" s="1">
        <v>4</v>
      </c>
    </row>
    <row r="76" spans="1:20" x14ac:dyDescent="0.25">
      <c r="D76" s="1">
        <f t="shared" si="8"/>
        <v>7</v>
      </c>
      <c r="E76" s="1">
        <v>1</v>
      </c>
      <c r="J76" s="1">
        <f t="shared" si="9"/>
        <v>20</v>
      </c>
      <c r="K76" s="1">
        <v>12</v>
      </c>
      <c r="M76" s="1">
        <f t="shared" si="7"/>
        <v>96</v>
      </c>
      <c r="N76" s="1">
        <v>8</v>
      </c>
      <c r="P76" s="1">
        <f t="shared" si="10"/>
        <v>117</v>
      </c>
      <c r="Q76" s="1">
        <v>4</v>
      </c>
      <c r="S76" s="1">
        <f t="shared" si="11"/>
        <v>116</v>
      </c>
      <c r="T76" s="1">
        <v>4</v>
      </c>
    </row>
    <row r="77" spans="1:20" x14ac:dyDescent="0.25">
      <c r="D77" s="1">
        <f t="shared" si="8"/>
        <v>6</v>
      </c>
      <c r="E77" s="1">
        <v>1</v>
      </c>
      <c r="J77" s="1">
        <f t="shared" si="9"/>
        <v>19</v>
      </c>
      <c r="K77" s="1">
        <v>13</v>
      </c>
      <c r="M77" s="1">
        <f t="shared" si="7"/>
        <v>97</v>
      </c>
      <c r="N77" s="1">
        <v>8</v>
      </c>
      <c r="P77" s="1">
        <f t="shared" si="10"/>
        <v>118</v>
      </c>
      <c r="Q77" s="1">
        <v>4</v>
      </c>
      <c r="S77" s="1">
        <f t="shared" si="11"/>
        <v>117</v>
      </c>
      <c r="T77" s="1">
        <v>4</v>
      </c>
    </row>
    <row r="78" spans="1:20" x14ac:dyDescent="0.25">
      <c r="D78" s="1">
        <f t="shared" si="8"/>
        <v>5</v>
      </c>
      <c r="E78" s="1">
        <v>1</v>
      </c>
      <c r="J78" s="1">
        <f t="shared" si="9"/>
        <v>18</v>
      </c>
      <c r="K78" s="1">
        <v>13</v>
      </c>
      <c r="M78" s="1">
        <f t="shared" si="7"/>
        <v>98</v>
      </c>
      <c r="N78" s="1">
        <v>8</v>
      </c>
      <c r="P78" s="1">
        <f t="shared" si="10"/>
        <v>119</v>
      </c>
      <c r="Q78" s="1">
        <v>4</v>
      </c>
      <c r="S78" s="1">
        <f t="shared" si="11"/>
        <v>118</v>
      </c>
      <c r="T78" s="1">
        <v>4</v>
      </c>
    </row>
    <row r="79" spans="1:20" x14ac:dyDescent="0.25">
      <c r="D79" s="1">
        <f t="shared" si="8"/>
        <v>4</v>
      </c>
      <c r="E79" s="1">
        <v>1</v>
      </c>
      <c r="J79" s="1">
        <f t="shared" si="9"/>
        <v>17</v>
      </c>
      <c r="K79" s="1">
        <v>14</v>
      </c>
      <c r="M79" s="1">
        <f t="shared" si="7"/>
        <v>99</v>
      </c>
      <c r="N79" s="1">
        <v>8</v>
      </c>
      <c r="P79" s="1">
        <f t="shared" si="10"/>
        <v>120</v>
      </c>
      <c r="Q79" s="1">
        <v>4</v>
      </c>
      <c r="S79" s="1">
        <f t="shared" si="11"/>
        <v>119</v>
      </c>
      <c r="T79" s="1">
        <v>4</v>
      </c>
    </row>
    <row r="80" spans="1:20" x14ac:dyDescent="0.25">
      <c r="D80" s="1">
        <f>D79-1</f>
        <v>3</v>
      </c>
      <c r="E80" s="1">
        <v>1</v>
      </c>
      <c r="J80" s="1">
        <f t="shared" si="9"/>
        <v>16</v>
      </c>
      <c r="K80" s="1">
        <v>15</v>
      </c>
      <c r="M80" s="1">
        <f t="shared" si="7"/>
        <v>100</v>
      </c>
      <c r="N80" s="1">
        <v>8</v>
      </c>
      <c r="P80" s="1">
        <f t="shared" si="10"/>
        <v>121</v>
      </c>
      <c r="Q80" s="1">
        <v>3</v>
      </c>
      <c r="S80" s="1">
        <f t="shared" si="11"/>
        <v>120</v>
      </c>
      <c r="T80" s="1">
        <v>4</v>
      </c>
    </row>
    <row r="81" spans="4:20" x14ac:dyDescent="0.25">
      <c r="D81" s="1">
        <f>D80-1</f>
        <v>2</v>
      </c>
      <c r="E81" s="1">
        <v>1</v>
      </c>
      <c r="J81" s="1">
        <f t="shared" si="9"/>
        <v>15</v>
      </c>
      <c r="K81" s="1">
        <v>15</v>
      </c>
      <c r="M81" s="1">
        <f t="shared" si="7"/>
        <v>101</v>
      </c>
      <c r="N81" s="1">
        <v>8</v>
      </c>
      <c r="P81" s="1">
        <f t="shared" si="10"/>
        <v>122</v>
      </c>
      <c r="Q81" s="1">
        <v>3</v>
      </c>
      <c r="S81" s="1">
        <f t="shared" si="11"/>
        <v>121</v>
      </c>
      <c r="T81" s="1">
        <v>4</v>
      </c>
    </row>
    <row r="82" spans="4:20" x14ac:dyDescent="0.25">
      <c r="D82" s="1">
        <f>D81-1</f>
        <v>1</v>
      </c>
      <c r="E82" s="1">
        <v>1</v>
      </c>
      <c r="J82" s="1">
        <f t="shared" si="9"/>
        <v>14</v>
      </c>
      <c r="K82" s="1">
        <v>16</v>
      </c>
      <c r="M82" s="1">
        <f t="shared" si="7"/>
        <v>102</v>
      </c>
      <c r="N82" s="1">
        <v>8</v>
      </c>
      <c r="P82" s="1">
        <f t="shared" si="10"/>
        <v>123</v>
      </c>
      <c r="Q82" s="1">
        <v>3</v>
      </c>
      <c r="S82" s="1">
        <f t="shared" si="11"/>
        <v>122</v>
      </c>
      <c r="T82" s="1">
        <v>4</v>
      </c>
    </row>
    <row r="83" spans="4:20" x14ac:dyDescent="0.25">
      <c r="D83" s="1">
        <f>D82-1</f>
        <v>0</v>
      </c>
      <c r="E83" s="1">
        <v>1</v>
      </c>
      <c r="J83" s="1">
        <f t="shared" si="9"/>
        <v>13</v>
      </c>
      <c r="K83" s="1">
        <v>17</v>
      </c>
      <c r="M83" s="1">
        <f t="shared" si="7"/>
        <v>103</v>
      </c>
      <c r="N83" s="1">
        <v>8</v>
      </c>
      <c r="P83" s="1">
        <f t="shared" si="10"/>
        <v>124</v>
      </c>
      <c r="Q83" s="1">
        <v>3</v>
      </c>
      <c r="S83" s="1">
        <f t="shared" si="11"/>
        <v>123</v>
      </c>
      <c r="T83" s="1">
        <v>4</v>
      </c>
    </row>
    <row r="84" spans="4:20" x14ac:dyDescent="0.25">
      <c r="J84" s="1">
        <f t="shared" si="9"/>
        <v>12</v>
      </c>
      <c r="K84" s="1">
        <v>18</v>
      </c>
      <c r="M84" s="1">
        <f t="shared" si="7"/>
        <v>104</v>
      </c>
      <c r="N84" s="1">
        <v>8</v>
      </c>
      <c r="P84" s="1">
        <f t="shared" si="10"/>
        <v>125</v>
      </c>
      <c r="Q84" s="1">
        <v>3</v>
      </c>
      <c r="S84" s="1">
        <f t="shared" si="11"/>
        <v>124</v>
      </c>
      <c r="T84" s="1">
        <v>4</v>
      </c>
    </row>
    <row r="85" spans="4:20" x14ac:dyDescent="0.25">
      <c r="J85" s="1">
        <f t="shared" si="9"/>
        <v>11</v>
      </c>
      <c r="K85" s="1">
        <v>19</v>
      </c>
      <c r="M85" s="1">
        <f t="shared" si="7"/>
        <v>105</v>
      </c>
      <c r="N85" s="1">
        <v>7</v>
      </c>
      <c r="P85" s="1">
        <f t="shared" si="10"/>
        <v>126</v>
      </c>
      <c r="Q85" s="1">
        <v>3</v>
      </c>
      <c r="S85" s="1">
        <f t="shared" si="11"/>
        <v>125</v>
      </c>
      <c r="T85" s="1">
        <v>4</v>
      </c>
    </row>
    <row r="86" spans="4:20" x14ac:dyDescent="0.25">
      <c r="J86" s="1">
        <f t="shared" si="9"/>
        <v>10</v>
      </c>
      <c r="K86" s="1">
        <v>19</v>
      </c>
      <c r="M86" s="1">
        <f t="shared" si="7"/>
        <v>106</v>
      </c>
      <c r="N86" s="1">
        <v>7</v>
      </c>
      <c r="P86" s="1">
        <f t="shared" si="10"/>
        <v>127</v>
      </c>
      <c r="Q86" s="1">
        <v>3</v>
      </c>
      <c r="S86" s="1">
        <f t="shared" si="11"/>
        <v>126</v>
      </c>
      <c r="T86" s="1">
        <v>4</v>
      </c>
    </row>
    <row r="87" spans="4:20" x14ac:dyDescent="0.25">
      <c r="J87" s="1">
        <f t="shared" si="9"/>
        <v>9</v>
      </c>
      <c r="K87" s="1">
        <v>19</v>
      </c>
      <c r="M87" s="1">
        <f t="shared" si="7"/>
        <v>107</v>
      </c>
      <c r="N87" s="1">
        <v>7</v>
      </c>
      <c r="P87" s="1">
        <f t="shared" si="10"/>
        <v>128</v>
      </c>
      <c r="Q87" s="1">
        <v>3</v>
      </c>
      <c r="S87" s="1">
        <f t="shared" si="11"/>
        <v>127</v>
      </c>
      <c r="T87" s="1">
        <v>4</v>
      </c>
    </row>
    <row r="88" spans="4:20" x14ac:dyDescent="0.25">
      <c r="J88" s="1">
        <f t="shared" si="9"/>
        <v>8</v>
      </c>
      <c r="K88" s="1">
        <v>19</v>
      </c>
      <c r="M88" s="1">
        <f t="shared" si="7"/>
        <v>108</v>
      </c>
      <c r="N88" s="1">
        <v>7</v>
      </c>
      <c r="P88" s="1">
        <f t="shared" si="10"/>
        <v>129</v>
      </c>
      <c r="Q88" s="1">
        <v>3</v>
      </c>
      <c r="S88" s="1">
        <f t="shared" si="11"/>
        <v>128</v>
      </c>
      <c r="T88" s="1">
        <v>4</v>
      </c>
    </row>
    <row r="89" spans="4:20" x14ac:dyDescent="0.25">
      <c r="J89" s="1">
        <f t="shared" si="9"/>
        <v>7</v>
      </c>
      <c r="K89" s="1">
        <v>19</v>
      </c>
      <c r="M89" s="1">
        <f t="shared" si="7"/>
        <v>109</v>
      </c>
      <c r="N89" s="1">
        <v>7</v>
      </c>
      <c r="P89" s="1">
        <f t="shared" si="10"/>
        <v>130</v>
      </c>
      <c r="Q89" s="1">
        <v>3</v>
      </c>
      <c r="S89" s="1">
        <f t="shared" si="11"/>
        <v>129</v>
      </c>
      <c r="T89" s="1">
        <v>4</v>
      </c>
    </row>
    <row r="90" spans="4:20" x14ac:dyDescent="0.25">
      <c r="J90" s="1">
        <f t="shared" si="9"/>
        <v>6</v>
      </c>
      <c r="K90" s="1">
        <v>19</v>
      </c>
      <c r="M90" s="1">
        <f t="shared" si="7"/>
        <v>110</v>
      </c>
      <c r="N90" s="1">
        <v>7</v>
      </c>
      <c r="P90" s="1">
        <f t="shared" si="10"/>
        <v>131</v>
      </c>
      <c r="Q90" s="1">
        <v>3</v>
      </c>
      <c r="S90" s="1">
        <f t="shared" si="11"/>
        <v>130</v>
      </c>
      <c r="T90" s="1">
        <v>4</v>
      </c>
    </row>
    <row r="91" spans="4:20" x14ac:dyDescent="0.25">
      <c r="J91" s="1">
        <f t="shared" si="9"/>
        <v>5</v>
      </c>
      <c r="K91" s="1">
        <v>19</v>
      </c>
      <c r="M91" s="1">
        <f t="shared" si="7"/>
        <v>111</v>
      </c>
      <c r="N91" s="1">
        <v>7</v>
      </c>
      <c r="P91" s="1">
        <f t="shared" si="10"/>
        <v>132</v>
      </c>
      <c r="Q91" s="1">
        <v>3</v>
      </c>
      <c r="S91" s="1">
        <f t="shared" si="11"/>
        <v>131</v>
      </c>
      <c r="T91" s="1">
        <v>3</v>
      </c>
    </row>
    <row r="92" spans="4:20" x14ac:dyDescent="0.25">
      <c r="J92" s="1">
        <f t="shared" si="9"/>
        <v>4</v>
      </c>
      <c r="K92" s="1">
        <v>19</v>
      </c>
      <c r="M92" s="1">
        <f t="shared" si="7"/>
        <v>112</v>
      </c>
      <c r="N92" s="1">
        <v>7</v>
      </c>
      <c r="P92" s="1">
        <f t="shared" si="10"/>
        <v>133</v>
      </c>
      <c r="Q92" s="1">
        <v>3</v>
      </c>
      <c r="S92" s="1">
        <f t="shared" si="11"/>
        <v>132</v>
      </c>
      <c r="T92" s="1">
        <v>3</v>
      </c>
    </row>
    <row r="93" spans="4:20" x14ac:dyDescent="0.25">
      <c r="J93" s="1">
        <f t="shared" si="9"/>
        <v>3</v>
      </c>
      <c r="K93" s="1">
        <v>19</v>
      </c>
      <c r="M93" s="1">
        <f t="shared" si="7"/>
        <v>113</v>
      </c>
      <c r="N93" s="1">
        <v>7</v>
      </c>
      <c r="P93" s="1">
        <f t="shared" si="10"/>
        <v>134</v>
      </c>
      <c r="Q93" s="1">
        <v>3</v>
      </c>
      <c r="S93" s="1">
        <f t="shared" si="11"/>
        <v>133</v>
      </c>
      <c r="T93" s="1">
        <v>3</v>
      </c>
    </row>
    <row r="94" spans="4:20" x14ac:dyDescent="0.25">
      <c r="J94" s="1">
        <f t="shared" si="9"/>
        <v>2</v>
      </c>
      <c r="K94" s="1">
        <v>19</v>
      </c>
      <c r="M94" s="1">
        <f t="shared" si="7"/>
        <v>114</v>
      </c>
      <c r="N94" s="1">
        <v>7</v>
      </c>
      <c r="P94" s="1">
        <f t="shared" si="10"/>
        <v>135</v>
      </c>
      <c r="Q94" s="1">
        <v>3</v>
      </c>
      <c r="S94" s="1">
        <f t="shared" si="11"/>
        <v>134</v>
      </c>
      <c r="T94" s="1">
        <v>3</v>
      </c>
    </row>
    <row r="95" spans="4:20" x14ac:dyDescent="0.25">
      <c r="J95" s="1">
        <f t="shared" si="9"/>
        <v>1</v>
      </c>
      <c r="K95" s="1">
        <v>19</v>
      </c>
      <c r="M95" s="1">
        <f t="shared" si="7"/>
        <v>115</v>
      </c>
      <c r="N95" s="1">
        <v>7</v>
      </c>
      <c r="P95" s="1">
        <f t="shared" si="10"/>
        <v>136</v>
      </c>
      <c r="Q95" s="1">
        <v>3</v>
      </c>
      <c r="S95" s="1">
        <f t="shared" si="11"/>
        <v>135</v>
      </c>
      <c r="T95" s="1">
        <v>3</v>
      </c>
    </row>
    <row r="96" spans="4:20" x14ac:dyDescent="0.25">
      <c r="J96" s="1">
        <f t="shared" si="9"/>
        <v>0</v>
      </c>
      <c r="K96" s="1">
        <v>19</v>
      </c>
      <c r="M96" s="1">
        <f t="shared" si="7"/>
        <v>116</v>
      </c>
      <c r="N96" s="1">
        <v>7</v>
      </c>
      <c r="P96" s="1">
        <f t="shared" si="10"/>
        <v>137</v>
      </c>
      <c r="Q96" s="1">
        <v>3</v>
      </c>
      <c r="S96" s="1">
        <f t="shared" si="11"/>
        <v>136</v>
      </c>
      <c r="T96" s="1">
        <v>3</v>
      </c>
    </row>
    <row r="97" spans="13:20" x14ac:dyDescent="0.25">
      <c r="M97" s="1">
        <f t="shared" si="7"/>
        <v>117</v>
      </c>
      <c r="N97" s="1">
        <v>7</v>
      </c>
      <c r="P97" s="1">
        <f t="shared" si="10"/>
        <v>138</v>
      </c>
      <c r="Q97" s="1">
        <v>2</v>
      </c>
      <c r="S97" s="1">
        <f t="shared" si="11"/>
        <v>137</v>
      </c>
      <c r="T97" s="1">
        <v>3</v>
      </c>
    </row>
    <row r="98" spans="13:20" x14ac:dyDescent="0.25">
      <c r="M98" s="1">
        <f t="shared" si="7"/>
        <v>118</v>
      </c>
      <c r="N98" s="1">
        <v>7</v>
      </c>
      <c r="P98" s="1">
        <f t="shared" si="10"/>
        <v>139</v>
      </c>
      <c r="Q98" s="1">
        <v>2</v>
      </c>
      <c r="S98" s="1">
        <f t="shared" si="11"/>
        <v>138</v>
      </c>
      <c r="T98" s="1">
        <v>3</v>
      </c>
    </row>
    <row r="99" spans="13:20" x14ac:dyDescent="0.25">
      <c r="M99" s="1">
        <f t="shared" si="7"/>
        <v>119</v>
      </c>
      <c r="N99" s="1">
        <v>7</v>
      </c>
      <c r="P99" s="1">
        <f t="shared" si="10"/>
        <v>140</v>
      </c>
      <c r="Q99" s="1">
        <v>2</v>
      </c>
      <c r="S99" s="1">
        <f t="shared" si="11"/>
        <v>139</v>
      </c>
      <c r="T99" s="1">
        <v>3</v>
      </c>
    </row>
    <row r="100" spans="13:20" x14ac:dyDescent="0.25">
      <c r="M100" s="1">
        <f t="shared" si="7"/>
        <v>120</v>
      </c>
      <c r="N100" s="1">
        <v>7</v>
      </c>
      <c r="P100" s="1">
        <f t="shared" si="10"/>
        <v>141</v>
      </c>
      <c r="Q100" s="1">
        <v>2</v>
      </c>
      <c r="S100" s="1">
        <f t="shared" si="11"/>
        <v>140</v>
      </c>
      <c r="T100" s="1">
        <v>3</v>
      </c>
    </row>
    <row r="101" spans="13:20" x14ac:dyDescent="0.25">
      <c r="M101" s="1">
        <f t="shared" si="7"/>
        <v>121</v>
      </c>
      <c r="N101" s="1">
        <v>7</v>
      </c>
      <c r="P101" s="1">
        <f t="shared" si="10"/>
        <v>142</v>
      </c>
      <c r="Q101" s="1">
        <v>2</v>
      </c>
      <c r="S101" s="1">
        <f t="shared" si="11"/>
        <v>141</v>
      </c>
      <c r="T101" s="1">
        <v>3</v>
      </c>
    </row>
    <row r="102" spans="13:20" x14ac:dyDescent="0.25">
      <c r="M102" s="1">
        <f t="shared" si="7"/>
        <v>122</v>
      </c>
      <c r="N102" s="1">
        <v>7</v>
      </c>
      <c r="P102" s="1">
        <f t="shared" si="10"/>
        <v>143</v>
      </c>
      <c r="Q102" s="1">
        <v>2</v>
      </c>
      <c r="S102" s="1">
        <f t="shared" si="11"/>
        <v>142</v>
      </c>
      <c r="T102" s="1">
        <v>3</v>
      </c>
    </row>
    <row r="103" spans="13:20" x14ac:dyDescent="0.25">
      <c r="M103" s="1">
        <f t="shared" si="7"/>
        <v>123</v>
      </c>
      <c r="N103" s="1">
        <v>7</v>
      </c>
      <c r="P103" s="1">
        <f t="shared" si="10"/>
        <v>144</v>
      </c>
      <c r="Q103" s="1">
        <v>2</v>
      </c>
      <c r="S103" s="1">
        <f t="shared" si="11"/>
        <v>143</v>
      </c>
      <c r="T103" s="1">
        <v>3</v>
      </c>
    </row>
    <row r="104" spans="13:20" x14ac:dyDescent="0.25">
      <c r="M104" s="1">
        <f t="shared" si="7"/>
        <v>124</v>
      </c>
      <c r="N104" s="1">
        <v>6</v>
      </c>
      <c r="P104" s="1">
        <f t="shared" si="10"/>
        <v>145</v>
      </c>
      <c r="Q104" s="1">
        <v>2</v>
      </c>
      <c r="S104" s="1">
        <f t="shared" si="11"/>
        <v>144</v>
      </c>
      <c r="T104" s="1">
        <v>3</v>
      </c>
    </row>
    <row r="105" spans="13:20" x14ac:dyDescent="0.25">
      <c r="M105" s="1">
        <f t="shared" si="7"/>
        <v>125</v>
      </c>
      <c r="N105" s="1">
        <v>6</v>
      </c>
      <c r="P105" s="1">
        <f t="shared" si="10"/>
        <v>146</v>
      </c>
      <c r="Q105" s="1">
        <v>2</v>
      </c>
      <c r="S105" s="1">
        <f t="shared" si="11"/>
        <v>145</v>
      </c>
      <c r="T105" s="1">
        <v>3</v>
      </c>
    </row>
    <row r="106" spans="13:20" x14ac:dyDescent="0.25">
      <c r="M106" s="1">
        <f t="shared" si="7"/>
        <v>126</v>
      </c>
      <c r="N106" s="1">
        <v>6</v>
      </c>
      <c r="P106" s="1">
        <f t="shared" si="10"/>
        <v>147</v>
      </c>
      <c r="Q106" s="1">
        <v>2</v>
      </c>
      <c r="S106" s="1">
        <f t="shared" si="11"/>
        <v>146</v>
      </c>
      <c r="T106" s="1">
        <v>3</v>
      </c>
    </row>
    <row r="107" spans="13:20" x14ac:dyDescent="0.25">
      <c r="M107" s="1">
        <f t="shared" si="7"/>
        <v>127</v>
      </c>
      <c r="N107" s="1">
        <v>6</v>
      </c>
      <c r="P107" s="1">
        <f t="shared" si="10"/>
        <v>148</v>
      </c>
      <c r="Q107" s="1">
        <v>2</v>
      </c>
      <c r="S107" s="1">
        <f t="shared" si="11"/>
        <v>147</v>
      </c>
      <c r="T107" s="1">
        <v>3</v>
      </c>
    </row>
    <row r="108" spans="13:20" x14ac:dyDescent="0.25">
      <c r="M108" s="1">
        <f t="shared" ref="M108:M171" si="12">M107+1</f>
        <v>128</v>
      </c>
      <c r="N108" s="1">
        <v>6</v>
      </c>
      <c r="P108" s="1">
        <f t="shared" si="10"/>
        <v>149</v>
      </c>
      <c r="Q108" s="1">
        <v>2</v>
      </c>
      <c r="S108" s="1">
        <f t="shared" si="11"/>
        <v>148</v>
      </c>
      <c r="T108" s="1">
        <v>3</v>
      </c>
    </row>
    <row r="109" spans="13:20" x14ac:dyDescent="0.25">
      <c r="M109" s="1">
        <f t="shared" si="12"/>
        <v>129</v>
      </c>
      <c r="N109" s="1">
        <v>6</v>
      </c>
      <c r="P109" s="1">
        <f t="shared" si="10"/>
        <v>150</v>
      </c>
      <c r="Q109" s="1">
        <v>2</v>
      </c>
      <c r="S109" s="1">
        <f t="shared" si="11"/>
        <v>149</v>
      </c>
      <c r="T109" s="1">
        <v>3</v>
      </c>
    </row>
    <row r="110" spans="13:20" x14ac:dyDescent="0.25">
      <c r="M110" s="1">
        <f t="shared" si="12"/>
        <v>130</v>
      </c>
      <c r="N110" s="1">
        <v>6</v>
      </c>
      <c r="P110" s="1">
        <f t="shared" si="10"/>
        <v>151</v>
      </c>
      <c r="Q110" s="1">
        <v>2</v>
      </c>
      <c r="S110" s="1">
        <f t="shared" si="11"/>
        <v>150</v>
      </c>
      <c r="T110" s="1">
        <v>3</v>
      </c>
    </row>
    <row r="111" spans="13:20" x14ac:dyDescent="0.25">
      <c r="M111" s="1">
        <f t="shared" si="12"/>
        <v>131</v>
      </c>
      <c r="N111" s="1">
        <v>6</v>
      </c>
      <c r="P111" s="1">
        <f t="shared" si="10"/>
        <v>152</v>
      </c>
      <c r="Q111" s="1">
        <v>2</v>
      </c>
      <c r="S111" s="1">
        <f t="shared" si="11"/>
        <v>151</v>
      </c>
      <c r="T111" s="1">
        <v>3</v>
      </c>
    </row>
    <row r="112" spans="13:20" x14ac:dyDescent="0.25">
      <c r="M112" s="1">
        <f t="shared" si="12"/>
        <v>132</v>
      </c>
      <c r="N112" s="1">
        <v>6</v>
      </c>
      <c r="P112" s="1">
        <f t="shared" si="10"/>
        <v>153</v>
      </c>
      <c r="Q112" s="1">
        <v>2</v>
      </c>
      <c r="S112" s="1">
        <f t="shared" si="11"/>
        <v>152</v>
      </c>
      <c r="T112" s="1">
        <v>3</v>
      </c>
    </row>
    <row r="113" spans="13:20" x14ac:dyDescent="0.25">
      <c r="M113" s="1">
        <f t="shared" si="12"/>
        <v>133</v>
      </c>
      <c r="N113" s="1">
        <v>6</v>
      </c>
      <c r="P113" s="1">
        <f t="shared" si="10"/>
        <v>154</v>
      </c>
      <c r="Q113" s="1">
        <v>2</v>
      </c>
      <c r="S113" s="1">
        <f t="shared" si="11"/>
        <v>153</v>
      </c>
      <c r="T113" s="1">
        <v>3</v>
      </c>
    </row>
    <row r="114" spans="13:20" x14ac:dyDescent="0.25">
      <c r="M114" s="1">
        <f t="shared" si="12"/>
        <v>134</v>
      </c>
      <c r="N114" s="1">
        <v>6</v>
      </c>
      <c r="P114" s="1">
        <f t="shared" si="10"/>
        <v>155</v>
      </c>
      <c r="Q114" s="1">
        <v>2</v>
      </c>
      <c r="S114" s="1">
        <f t="shared" si="11"/>
        <v>154</v>
      </c>
      <c r="T114" s="1">
        <v>3</v>
      </c>
    </row>
    <row r="115" spans="13:20" x14ac:dyDescent="0.25">
      <c r="M115" s="1">
        <f t="shared" si="12"/>
        <v>135</v>
      </c>
      <c r="N115" s="1">
        <v>6</v>
      </c>
      <c r="P115" s="1">
        <f t="shared" si="10"/>
        <v>156</v>
      </c>
      <c r="Q115" s="1">
        <v>1</v>
      </c>
      <c r="S115" s="1">
        <f t="shared" si="11"/>
        <v>155</v>
      </c>
      <c r="T115" s="1">
        <v>3</v>
      </c>
    </row>
    <row r="116" spans="13:20" x14ac:dyDescent="0.25">
      <c r="M116" s="1">
        <f t="shared" si="12"/>
        <v>136</v>
      </c>
      <c r="N116" s="1">
        <v>6</v>
      </c>
      <c r="P116" s="1">
        <f t="shared" si="10"/>
        <v>157</v>
      </c>
      <c r="Q116" s="1">
        <v>1</v>
      </c>
      <c r="S116" s="1">
        <f t="shared" si="11"/>
        <v>156</v>
      </c>
      <c r="T116" s="1">
        <v>3</v>
      </c>
    </row>
    <row r="117" spans="13:20" x14ac:dyDescent="0.25">
      <c r="M117" s="1">
        <f t="shared" si="12"/>
        <v>137</v>
      </c>
      <c r="N117" s="1">
        <v>6</v>
      </c>
      <c r="P117" s="1">
        <f t="shared" si="10"/>
        <v>158</v>
      </c>
      <c r="Q117" s="1">
        <v>1</v>
      </c>
      <c r="S117" s="1">
        <f t="shared" si="11"/>
        <v>157</v>
      </c>
      <c r="T117" s="1">
        <v>3</v>
      </c>
    </row>
    <row r="118" spans="13:20" x14ac:dyDescent="0.25">
      <c r="M118" s="1">
        <f t="shared" si="12"/>
        <v>138</v>
      </c>
      <c r="N118" s="1">
        <v>6</v>
      </c>
      <c r="P118" s="1">
        <f t="shared" si="10"/>
        <v>159</v>
      </c>
      <c r="Q118" s="1">
        <v>1</v>
      </c>
      <c r="S118" s="1">
        <f t="shared" si="11"/>
        <v>158</v>
      </c>
      <c r="T118" s="1">
        <v>3</v>
      </c>
    </row>
    <row r="119" spans="13:20" x14ac:dyDescent="0.25">
      <c r="M119" s="1">
        <f t="shared" si="12"/>
        <v>139</v>
      </c>
      <c r="N119" s="1">
        <v>6</v>
      </c>
      <c r="P119" s="1">
        <f t="shared" si="10"/>
        <v>160</v>
      </c>
      <c r="Q119" s="1">
        <v>1</v>
      </c>
      <c r="S119" s="1">
        <f t="shared" si="11"/>
        <v>159</v>
      </c>
      <c r="T119" s="1">
        <v>3</v>
      </c>
    </row>
    <row r="120" spans="13:20" x14ac:dyDescent="0.25">
      <c r="M120" s="1">
        <f t="shared" si="12"/>
        <v>140</v>
      </c>
      <c r="N120" s="1">
        <v>6</v>
      </c>
      <c r="P120" s="1">
        <f t="shared" si="10"/>
        <v>161</v>
      </c>
      <c r="Q120" s="1">
        <v>1</v>
      </c>
      <c r="S120" s="1">
        <f t="shared" si="11"/>
        <v>160</v>
      </c>
      <c r="T120" s="1">
        <v>3</v>
      </c>
    </row>
    <row r="121" spans="13:20" x14ac:dyDescent="0.25">
      <c r="M121" s="1">
        <f t="shared" si="12"/>
        <v>141</v>
      </c>
      <c r="N121" s="1">
        <v>6</v>
      </c>
      <c r="P121" s="1">
        <f t="shared" si="10"/>
        <v>162</v>
      </c>
      <c r="Q121" s="1">
        <v>1</v>
      </c>
      <c r="S121" s="1">
        <f t="shared" si="11"/>
        <v>161</v>
      </c>
      <c r="T121" s="1">
        <v>3</v>
      </c>
    </row>
    <row r="122" spans="13:20" x14ac:dyDescent="0.25">
      <c r="M122" s="1">
        <f t="shared" si="12"/>
        <v>142</v>
      </c>
      <c r="N122" s="1">
        <v>6</v>
      </c>
      <c r="P122" s="1">
        <f t="shared" si="10"/>
        <v>163</v>
      </c>
      <c r="Q122" s="1">
        <v>1</v>
      </c>
      <c r="S122" s="1">
        <f t="shared" si="11"/>
        <v>162</v>
      </c>
      <c r="T122" s="1">
        <v>3</v>
      </c>
    </row>
    <row r="123" spans="13:20" x14ac:dyDescent="0.25">
      <c r="M123" s="1">
        <f t="shared" si="12"/>
        <v>143</v>
      </c>
      <c r="N123" s="1">
        <v>6</v>
      </c>
      <c r="P123" s="1">
        <f t="shared" si="10"/>
        <v>164</v>
      </c>
      <c r="Q123" s="1">
        <v>1</v>
      </c>
      <c r="S123" s="1">
        <f t="shared" si="11"/>
        <v>163</v>
      </c>
      <c r="T123" s="1">
        <v>3</v>
      </c>
    </row>
    <row r="124" spans="13:20" x14ac:dyDescent="0.25">
      <c r="M124" s="1">
        <f t="shared" si="12"/>
        <v>144</v>
      </c>
      <c r="N124" s="1">
        <v>6</v>
      </c>
      <c r="P124" s="1">
        <f t="shared" si="10"/>
        <v>165</v>
      </c>
      <c r="Q124" s="1">
        <v>1</v>
      </c>
      <c r="S124" s="1">
        <f t="shared" si="11"/>
        <v>164</v>
      </c>
      <c r="T124" s="1">
        <v>2</v>
      </c>
    </row>
    <row r="125" spans="13:20" x14ac:dyDescent="0.25">
      <c r="M125" s="1">
        <f t="shared" si="12"/>
        <v>145</v>
      </c>
      <c r="N125" s="1">
        <v>6</v>
      </c>
      <c r="P125" s="1" t="s">
        <v>176</v>
      </c>
      <c r="Q125" s="1">
        <v>0</v>
      </c>
      <c r="S125" s="1">
        <f t="shared" si="11"/>
        <v>165</v>
      </c>
      <c r="T125" s="1">
        <v>2</v>
      </c>
    </row>
    <row r="126" spans="13:20" x14ac:dyDescent="0.25">
      <c r="M126" s="1">
        <f t="shared" si="12"/>
        <v>146</v>
      </c>
      <c r="N126" s="1">
        <v>6</v>
      </c>
      <c r="S126" s="1">
        <f t="shared" si="11"/>
        <v>166</v>
      </c>
      <c r="T126" s="1">
        <v>2</v>
      </c>
    </row>
    <row r="127" spans="13:20" x14ac:dyDescent="0.25">
      <c r="M127" s="1">
        <f t="shared" si="12"/>
        <v>147</v>
      </c>
      <c r="N127" s="1">
        <v>6</v>
      </c>
      <c r="S127" s="1">
        <f t="shared" si="11"/>
        <v>167</v>
      </c>
      <c r="T127" s="1">
        <v>2</v>
      </c>
    </row>
    <row r="128" spans="13:20" x14ac:dyDescent="0.25">
      <c r="M128" s="1">
        <f t="shared" si="12"/>
        <v>148</v>
      </c>
      <c r="N128" s="1">
        <v>6</v>
      </c>
      <c r="S128" s="1">
        <f t="shared" si="11"/>
        <v>168</v>
      </c>
      <c r="T128" s="1">
        <v>2</v>
      </c>
    </row>
    <row r="129" spans="13:20" x14ac:dyDescent="0.25">
      <c r="M129" s="1">
        <f t="shared" si="12"/>
        <v>149</v>
      </c>
      <c r="N129" s="1">
        <v>6</v>
      </c>
      <c r="S129" s="1">
        <f t="shared" si="11"/>
        <v>169</v>
      </c>
      <c r="T129" s="1">
        <v>2</v>
      </c>
    </row>
    <row r="130" spans="13:20" x14ac:dyDescent="0.25">
      <c r="M130" s="1">
        <f t="shared" si="12"/>
        <v>150</v>
      </c>
      <c r="N130" s="1">
        <v>6</v>
      </c>
      <c r="S130" s="1">
        <f t="shared" si="11"/>
        <v>170</v>
      </c>
      <c r="T130" s="1">
        <v>2</v>
      </c>
    </row>
    <row r="131" spans="13:20" x14ac:dyDescent="0.25">
      <c r="M131" s="1">
        <f t="shared" si="12"/>
        <v>151</v>
      </c>
      <c r="N131" s="1">
        <v>6</v>
      </c>
      <c r="S131" s="1">
        <f t="shared" si="11"/>
        <v>171</v>
      </c>
      <c r="T131" s="1">
        <v>2</v>
      </c>
    </row>
    <row r="132" spans="13:20" x14ac:dyDescent="0.25">
      <c r="M132" s="1">
        <f t="shared" si="12"/>
        <v>152</v>
      </c>
      <c r="N132" s="1">
        <v>6</v>
      </c>
      <c r="S132" s="1">
        <f t="shared" si="11"/>
        <v>172</v>
      </c>
      <c r="T132" s="1">
        <v>2</v>
      </c>
    </row>
    <row r="133" spans="13:20" x14ac:dyDescent="0.25">
      <c r="M133" s="1">
        <f t="shared" si="12"/>
        <v>153</v>
      </c>
      <c r="N133" s="1">
        <v>6</v>
      </c>
      <c r="S133" s="1">
        <f t="shared" si="11"/>
        <v>173</v>
      </c>
      <c r="T133" s="1">
        <v>2</v>
      </c>
    </row>
    <row r="134" spans="13:20" x14ac:dyDescent="0.25">
      <c r="M134" s="1">
        <f t="shared" si="12"/>
        <v>154</v>
      </c>
      <c r="N134" s="1">
        <v>6</v>
      </c>
      <c r="S134" s="1">
        <f t="shared" si="11"/>
        <v>174</v>
      </c>
      <c r="T134" s="1">
        <v>2</v>
      </c>
    </row>
    <row r="135" spans="13:20" x14ac:dyDescent="0.25">
      <c r="M135" s="1">
        <f t="shared" si="12"/>
        <v>155</v>
      </c>
      <c r="N135" s="1">
        <v>5</v>
      </c>
      <c r="S135" s="1">
        <f t="shared" ref="S135:S161" si="13">S134+1</f>
        <v>175</v>
      </c>
      <c r="T135" s="1">
        <v>2</v>
      </c>
    </row>
    <row r="136" spans="13:20" x14ac:dyDescent="0.25">
      <c r="M136" s="1">
        <f t="shared" si="12"/>
        <v>156</v>
      </c>
      <c r="N136" s="1">
        <v>5</v>
      </c>
      <c r="S136" s="1">
        <f t="shared" si="13"/>
        <v>176</v>
      </c>
      <c r="T136" s="1">
        <v>2</v>
      </c>
    </row>
    <row r="137" spans="13:20" x14ac:dyDescent="0.25">
      <c r="M137" s="1">
        <f t="shared" si="12"/>
        <v>157</v>
      </c>
      <c r="N137" s="1">
        <v>5</v>
      </c>
      <c r="S137" s="1">
        <f t="shared" si="13"/>
        <v>177</v>
      </c>
      <c r="T137" s="1">
        <v>2</v>
      </c>
    </row>
    <row r="138" spans="13:20" x14ac:dyDescent="0.25">
      <c r="M138" s="1">
        <f t="shared" si="12"/>
        <v>158</v>
      </c>
      <c r="N138" s="1">
        <v>5</v>
      </c>
      <c r="S138" s="1">
        <f t="shared" si="13"/>
        <v>178</v>
      </c>
      <c r="T138" s="1">
        <v>2</v>
      </c>
    </row>
    <row r="139" spans="13:20" x14ac:dyDescent="0.25">
      <c r="M139" s="1">
        <f t="shared" si="12"/>
        <v>159</v>
      </c>
      <c r="N139" s="1">
        <v>5</v>
      </c>
      <c r="S139" s="1">
        <f t="shared" si="13"/>
        <v>179</v>
      </c>
      <c r="T139" s="1">
        <v>2</v>
      </c>
    </row>
    <row r="140" spans="13:20" x14ac:dyDescent="0.25">
      <c r="M140" s="1">
        <f t="shared" si="12"/>
        <v>160</v>
      </c>
      <c r="N140" s="1">
        <v>5</v>
      </c>
      <c r="S140" s="1">
        <f t="shared" si="13"/>
        <v>180</v>
      </c>
      <c r="T140" s="1">
        <v>1</v>
      </c>
    </row>
    <row r="141" spans="13:20" x14ac:dyDescent="0.25">
      <c r="M141" s="1">
        <f t="shared" si="12"/>
        <v>161</v>
      </c>
      <c r="N141" s="1">
        <v>5</v>
      </c>
      <c r="S141" s="1">
        <f t="shared" si="13"/>
        <v>181</v>
      </c>
      <c r="T141" s="1">
        <v>1</v>
      </c>
    </row>
    <row r="142" spans="13:20" x14ac:dyDescent="0.25">
      <c r="M142" s="1">
        <f t="shared" si="12"/>
        <v>162</v>
      </c>
      <c r="N142" s="1">
        <v>5</v>
      </c>
      <c r="S142" s="1">
        <f t="shared" si="13"/>
        <v>182</v>
      </c>
      <c r="T142" s="1">
        <v>1</v>
      </c>
    </row>
    <row r="143" spans="13:20" x14ac:dyDescent="0.25">
      <c r="M143" s="1">
        <f t="shared" si="12"/>
        <v>163</v>
      </c>
      <c r="N143" s="1">
        <v>5</v>
      </c>
      <c r="S143" s="1">
        <f t="shared" si="13"/>
        <v>183</v>
      </c>
      <c r="T143" s="1">
        <v>1</v>
      </c>
    </row>
    <row r="144" spans="13:20" x14ac:dyDescent="0.25">
      <c r="M144" s="1">
        <f t="shared" si="12"/>
        <v>164</v>
      </c>
      <c r="N144" s="1">
        <v>5</v>
      </c>
      <c r="S144" s="1">
        <f t="shared" si="13"/>
        <v>184</v>
      </c>
      <c r="T144" s="1">
        <v>1</v>
      </c>
    </row>
    <row r="145" spans="13:20" x14ac:dyDescent="0.25">
      <c r="M145" s="1">
        <f t="shared" si="12"/>
        <v>165</v>
      </c>
      <c r="N145" s="1">
        <v>5</v>
      </c>
      <c r="S145" s="1">
        <f t="shared" si="13"/>
        <v>185</v>
      </c>
      <c r="T145" s="1">
        <v>1</v>
      </c>
    </row>
    <row r="146" spans="13:20" x14ac:dyDescent="0.25">
      <c r="M146" s="1">
        <f t="shared" si="12"/>
        <v>166</v>
      </c>
      <c r="N146" s="1">
        <v>5</v>
      </c>
      <c r="S146" s="1">
        <f t="shared" si="13"/>
        <v>186</v>
      </c>
      <c r="T146" s="1">
        <v>1</v>
      </c>
    </row>
    <row r="147" spans="13:20" x14ac:dyDescent="0.25">
      <c r="M147" s="1">
        <f t="shared" si="12"/>
        <v>167</v>
      </c>
      <c r="N147" s="1">
        <v>5</v>
      </c>
      <c r="S147" s="1">
        <f t="shared" si="13"/>
        <v>187</v>
      </c>
      <c r="T147" s="1">
        <v>1</v>
      </c>
    </row>
    <row r="148" spans="13:20" x14ac:dyDescent="0.25">
      <c r="M148" s="1">
        <f t="shared" si="12"/>
        <v>168</v>
      </c>
      <c r="N148" s="1">
        <v>5</v>
      </c>
      <c r="S148" s="1">
        <f t="shared" si="13"/>
        <v>188</v>
      </c>
      <c r="T148" s="1">
        <v>1</v>
      </c>
    </row>
    <row r="149" spans="13:20" x14ac:dyDescent="0.25">
      <c r="M149" s="1">
        <f t="shared" si="12"/>
        <v>169</v>
      </c>
      <c r="N149" s="1">
        <v>5</v>
      </c>
      <c r="S149" s="1">
        <f t="shared" si="13"/>
        <v>189</v>
      </c>
      <c r="T149" s="1">
        <v>1</v>
      </c>
    </row>
    <row r="150" spans="13:20" x14ac:dyDescent="0.25">
      <c r="M150" s="1">
        <f t="shared" si="12"/>
        <v>170</v>
      </c>
      <c r="N150" s="1">
        <v>5</v>
      </c>
      <c r="S150" s="1">
        <f t="shared" si="13"/>
        <v>190</v>
      </c>
      <c r="T150" s="1">
        <v>1</v>
      </c>
    </row>
    <row r="151" spans="13:20" x14ac:dyDescent="0.25">
      <c r="M151" s="1">
        <f t="shared" si="12"/>
        <v>171</v>
      </c>
      <c r="N151" s="1">
        <v>5</v>
      </c>
      <c r="S151" s="1">
        <f t="shared" si="13"/>
        <v>191</v>
      </c>
      <c r="T151" s="1">
        <v>1</v>
      </c>
    </row>
    <row r="152" spans="13:20" x14ac:dyDescent="0.25">
      <c r="M152" s="1">
        <f t="shared" si="12"/>
        <v>172</v>
      </c>
      <c r="N152" s="1">
        <v>5</v>
      </c>
      <c r="S152" s="1">
        <f t="shared" si="13"/>
        <v>192</v>
      </c>
      <c r="T152" s="1">
        <v>1</v>
      </c>
    </row>
    <row r="153" spans="13:20" x14ac:dyDescent="0.25">
      <c r="M153" s="1">
        <f t="shared" si="12"/>
        <v>173</v>
      </c>
      <c r="N153" s="1">
        <v>5</v>
      </c>
      <c r="S153" s="1">
        <f t="shared" si="13"/>
        <v>193</v>
      </c>
      <c r="T153" s="1">
        <v>1</v>
      </c>
    </row>
    <row r="154" spans="13:20" x14ac:dyDescent="0.25">
      <c r="M154" s="1">
        <f t="shared" si="12"/>
        <v>174</v>
      </c>
      <c r="N154" s="1">
        <v>5</v>
      </c>
      <c r="S154" s="1">
        <f t="shared" si="13"/>
        <v>194</v>
      </c>
      <c r="T154" s="1">
        <v>1</v>
      </c>
    </row>
    <row r="155" spans="13:20" x14ac:dyDescent="0.25">
      <c r="M155" s="1">
        <f t="shared" si="12"/>
        <v>175</v>
      </c>
      <c r="N155" s="1">
        <v>5</v>
      </c>
      <c r="S155" s="1">
        <f t="shared" si="13"/>
        <v>195</v>
      </c>
      <c r="T155" s="1">
        <v>1</v>
      </c>
    </row>
    <row r="156" spans="13:20" x14ac:dyDescent="0.25">
      <c r="M156" s="1">
        <f t="shared" si="12"/>
        <v>176</v>
      </c>
      <c r="N156" s="1">
        <v>5</v>
      </c>
      <c r="S156" s="1">
        <f t="shared" si="13"/>
        <v>196</v>
      </c>
      <c r="T156" s="1">
        <v>1</v>
      </c>
    </row>
    <row r="157" spans="13:20" x14ac:dyDescent="0.25">
      <c r="M157" s="1">
        <f t="shared" si="12"/>
        <v>177</v>
      </c>
      <c r="N157" s="1">
        <v>5</v>
      </c>
      <c r="S157" s="1">
        <f t="shared" si="13"/>
        <v>197</v>
      </c>
      <c r="T157" s="1">
        <v>1</v>
      </c>
    </row>
    <row r="158" spans="13:20" x14ac:dyDescent="0.25">
      <c r="M158" s="1">
        <f t="shared" si="12"/>
        <v>178</v>
      </c>
      <c r="N158" s="1">
        <v>5</v>
      </c>
      <c r="S158" s="1">
        <f t="shared" si="13"/>
        <v>198</v>
      </c>
      <c r="T158" s="1">
        <v>1</v>
      </c>
    </row>
    <row r="159" spans="13:20" x14ac:dyDescent="0.25">
      <c r="M159" s="1">
        <f t="shared" si="12"/>
        <v>179</v>
      </c>
      <c r="N159" s="1">
        <v>5</v>
      </c>
      <c r="S159" s="1">
        <f t="shared" si="13"/>
        <v>199</v>
      </c>
      <c r="T159" s="1">
        <v>1</v>
      </c>
    </row>
    <row r="160" spans="13:20" x14ac:dyDescent="0.25">
      <c r="M160" s="1">
        <f t="shared" si="12"/>
        <v>180</v>
      </c>
      <c r="N160" s="1">
        <v>5</v>
      </c>
      <c r="S160" s="1">
        <f t="shared" si="13"/>
        <v>200</v>
      </c>
      <c r="T160" s="1">
        <v>1</v>
      </c>
    </row>
    <row r="161" spans="13:20" x14ac:dyDescent="0.25">
      <c r="M161" s="1">
        <f t="shared" si="12"/>
        <v>181</v>
      </c>
      <c r="N161" s="1">
        <v>5</v>
      </c>
      <c r="S161" s="1">
        <f t="shared" si="13"/>
        <v>201</v>
      </c>
      <c r="T161" s="1">
        <v>1</v>
      </c>
    </row>
    <row r="162" spans="13:20" x14ac:dyDescent="0.25">
      <c r="M162" s="1">
        <f t="shared" si="12"/>
        <v>182</v>
      </c>
      <c r="N162" s="1">
        <v>5</v>
      </c>
      <c r="S162" s="1" t="s">
        <v>178</v>
      </c>
      <c r="T162" s="1">
        <v>0</v>
      </c>
    </row>
    <row r="163" spans="13:20" x14ac:dyDescent="0.25">
      <c r="M163" s="1">
        <f t="shared" si="12"/>
        <v>183</v>
      </c>
      <c r="N163" s="1">
        <v>5</v>
      </c>
    </row>
    <row r="164" spans="13:20" x14ac:dyDescent="0.25">
      <c r="M164" s="1">
        <f t="shared" si="12"/>
        <v>184</v>
      </c>
      <c r="N164" s="1">
        <v>5</v>
      </c>
    </row>
    <row r="165" spans="13:20" x14ac:dyDescent="0.25">
      <c r="M165" s="1">
        <f t="shared" si="12"/>
        <v>185</v>
      </c>
      <c r="N165" s="1">
        <v>5</v>
      </c>
    </row>
    <row r="166" spans="13:20" x14ac:dyDescent="0.25">
      <c r="M166" s="1">
        <f t="shared" si="12"/>
        <v>186</v>
      </c>
      <c r="N166" s="1">
        <v>5</v>
      </c>
    </row>
    <row r="167" spans="13:20" x14ac:dyDescent="0.25">
      <c r="M167" s="1">
        <f t="shared" si="12"/>
        <v>187</v>
      </c>
      <c r="N167" s="1">
        <v>5</v>
      </c>
    </row>
    <row r="168" spans="13:20" x14ac:dyDescent="0.25">
      <c r="M168" s="1">
        <f t="shared" si="12"/>
        <v>188</v>
      </c>
      <c r="N168" s="1">
        <v>5</v>
      </c>
    </row>
    <row r="169" spans="13:20" x14ac:dyDescent="0.25">
      <c r="M169" s="1">
        <f t="shared" si="12"/>
        <v>189</v>
      </c>
      <c r="N169" s="1">
        <v>5</v>
      </c>
    </row>
    <row r="170" spans="13:20" x14ac:dyDescent="0.25">
      <c r="M170" s="1">
        <f t="shared" si="12"/>
        <v>190</v>
      </c>
      <c r="N170" s="1">
        <v>5</v>
      </c>
    </row>
    <row r="171" spans="13:20" x14ac:dyDescent="0.25">
      <c r="M171" s="1">
        <f t="shared" si="12"/>
        <v>191</v>
      </c>
      <c r="N171" s="1">
        <v>5</v>
      </c>
    </row>
    <row r="172" spans="13:20" x14ac:dyDescent="0.25">
      <c r="M172" s="1">
        <f t="shared" ref="M172:M235" si="14">M171+1</f>
        <v>192</v>
      </c>
      <c r="N172" s="1">
        <v>5</v>
      </c>
    </row>
    <row r="173" spans="13:20" x14ac:dyDescent="0.25">
      <c r="M173" s="1">
        <f t="shared" si="14"/>
        <v>193</v>
      </c>
      <c r="N173" s="1">
        <v>5</v>
      </c>
    </row>
    <row r="174" spans="13:20" x14ac:dyDescent="0.25">
      <c r="M174" s="1">
        <f t="shared" si="14"/>
        <v>194</v>
      </c>
      <c r="N174" s="1">
        <v>5</v>
      </c>
    </row>
    <row r="175" spans="13:20" x14ac:dyDescent="0.25">
      <c r="M175" s="1">
        <f t="shared" si="14"/>
        <v>195</v>
      </c>
      <c r="N175" s="1">
        <v>5</v>
      </c>
    </row>
    <row r="176" spans="13:20" x14ac:dyDescent="0.25">
      <c r="M176" s="1">
        <f t="shared" si="14"/>
        <v>196</v>
      </c>
      <c r="N176" s="1">
        <v>5</v>
      </c>
    </row>
    <row r="177" spans="13:14" x14ac:dyDescent="0.25">
      <c r="M177" s="1">
        <f t="shared" si="14"/>
        <v>197</v>
      </c>
      <c r="N177" s="1">
        <v>5</v>
      </c>
    </row>
    <row r="178" spans="13:14" x14ac:dyDescent="0.25">
      <c r="M178" s="1">
        <f t="shared" si="14"/>
        <v>198</v>
      </c>
      <c r="N178" s="1">
        <v>5</v>
      </c>
    </row>
    <row r="179" spans="13:14" x14ac:dyDescent="0.25">
      <c r="M179" s="1">
        <f t="shared" si="14"/>
        <v>199</v>
      </c>
      <c r="N179" s="1">
        <v>5</v>
      </c>
    </row>
    <row r="180" spans="13:14" x14ac:dyDescent="0.25">
      <c r="M180" s="1">
        <f t="shared" si="14"/>
        <v>200</v>
      </c>
      <c r="N180" s="1">
        <v>5</v>
      </c>
    </row>
    <row r="181" spans="13:14" x14ac:dyDescent="0.25">
      <c r="M181" s="1">
        <f t="shared" si="14"/>
        <v>201</v>
      </c>
      <c r="N181" s="1">
        <v>5</v>
      </c>
    </row>
    <row r="182" spans="13:14" x14ac:dyDescent="0.25">
      <c r="M182" s="1">
        <f t="shared" si="14"/>
        <v>202</v>
      </c>
      <c r="N182" s="1">
        <v>5</v>
      </c>
    </row>
    <row r="183" spans="13:14" x14ac:dyDescent="0.25">
      <c r="M183" s="1">
        <f t="shared" si="14"/>
        <v>203</v>
      </c>
      <c r="N183" s="1">
        <v>5</v>
      </c>
    </row>
    <row r="184" spans="13:14" x14ac:dyDescent="0.25">
      <c r="M184" s="1">
        <f t="shared" si="14"/>
        <v>204</v>
      </c>
      <c r="N184" s="1">
        <v>5</v>
      </c>
    </row>
    <row r="185" spans="13:14" x14ac:dyDescent="0.25">
      <c r="M185" s="1">
        <f t="shared" si="14"/>
        <v>205</v>
      </c>
      <c r="N185" s="1">
        <v>5</v>
      </c>
    </row>
    <row r="186" spans="13:14" x14ac:dyDescent="0.25">
      <c r="M186" s="1">
        <f t="shared" si="14"/>
        <v>206</v>
      </c>
      <c r="N186" s="1">
        <v>5</v>
      </c>
    </row>
    <row r="187" spans="13:14" x14ac:dyDescent="0.25">
      <c r="M187" s="1">
        <f t="shared" si="14"/>
        <v>207</v>
      </c>
      <c r="N187" s="1">
        <v>5</v>
      </c>
    </row>
    <row r="188" spans="13:14" x14ac:dyDescent="0.25">
      <c r="M188" s="1">
        <f t="shared" si="14"/>
        <v>208</v>
      </c>
      <c r="N188" s="1">
        <v>5</v>
      </c>
    </row>
    <row r="189" spans="13:14" x14ac:dyDescent="0.25">
      <c r="M189" s="1">
        <f t="shared" si="14"/>
        <v>209</v>
      </c>
      <c r="N189" s="1">
        <v>5</v>
      </c>
    </row>
    <row r="190" spans="13:14" x14ac:dyDescent="0.25">
      <c r="M190" s="1">
        <f t="shared" si="14"/>
        <v>210</v>
      </c>
      <c r="N190" s="1">
        <v>5</v>
      </c>
    </row>
    <row r="191" spans="13:14" x14ac:dyDescent="0.25">
      <c r="M191" s="1">
        <f t="shared" si="14"/>
        <v>211</v>
      </c>
      <c r="N191" s="1">
        <v>5</v>
      </c>
    </row>
    <row r="192" spans="13:14" x14ac:dyDescent="0.25">
      <c r="M192" s="1">
        <f t="shared" si="14"/>
        <v>212</v>
      </c>
      <c r="N192" s="1">
        <v>5</v>
      </c>
    </row>
    <row r="193" spans="13:14" x14ac:dyDescent="0.25">
      <c r="M193" s="1">
        <f t="shared" si="14"/>
        <v>213</v>
      </c>
      <c r="N193" s="1">
        <v>5</v>
      </c>
    </row>
    <row r="194" spans="13:14" x14ac:dyDescent="0.25">
      <c r="M194" s="1">
        <f t="shared" si="14"/>
        <v>214</v>
      </c>
      <c r="N194" s="1">
        <v>5</v>
      </c>
    </row>
    <row r="195" spans="13:14" x14ac:dyDescent="0.25">
      <c r="M195" s="1">
        <f t="shared" si="14"/>
        <v>215</v>
      </c>
      <c r="N195" s="1">
        <v>4</v>
      </c>
    </row>
    <row r="196" spans="13:14" x14ac:dyDescent="0.25">
      <c r="M196" s="1">
        <f t="shared" si="14"/>
        <v>216</v>
      </c>
      <c r="N196" s="1">
        <v>4</v>
      </c>
    </row>
    <row r="197" spans="13:14" x14ac:dyDescent="0.25">
      <c r="M197" s="1">
        <f t="shared" si="14"/>
        <v>217</v>
      </c>
      <c r="N197" s="1">
        <v>4</v>
      </c>
    </row>
    <row r="198" spans="13:14" x14ac:dyDescent="0.25">
      <c r="M198" s="1">
        <f t="shared" si="14"/>
        <v>218</v>
      </c>
      <c r="N198" s="1">
        <v>4</v>
      </c>
    </row>
    <row r="199" spans="13:14" x14ac:dyDescent="0.25">
      <c r="M199" s="1">
        <f t="shared" si="14"/>
        <v>219</v>
      </c>
      <c r="N199" s="1">
        <v>4</v>
      </c>
    </row>
    <row r="200" spans="13:14" x14ac:dyDescent="0.25">
      <c r="M200" s="1">
        <f t="shared" si="14"/>
        <v>220</v>
      </c>
      <c r="N200" s="1">
        <v>4</v>
      </c>
    </row>
    <row r="201" spans="13:14" x14ac:dyDescent="0.25">
      <c r="M201" s="1">
        <f t="shared" si="14"/>
        <v>221</v>
      </c>
      <c r="N201" s="1">
        <v>4</v>
      </c>
    </row>
    <row r="202" spans="13:14" x14ac:dyDescent="0.25">
      <c r="M202" s="1">
        <f t="shared" si="14"/>
        <v>222</v>
      </c>
      <c r="N202" s="1">
        <v>4</v>
      </c>
    </row>
    <row r="203" spans="13:14" x14ac:dyDescent="0.25">
      <c r="M203" s="1">
        <f t="shared" si="14"/>
        <v>223</v>
      </c>
      <c r="N203" s="1">
        <v>4</v>
      </c>
    </row>
    <row r="204" spans="13:14" x14ac:dyDescent="0.25">
      <c r="M204" s="1">
        <f t="shared" si="14"/>
        <v>224</v>
      </c>
      <c r="N204" s="1">
        <v>4</v>
      </c>
    </row>
    <row r="205" spans="13:14" x14ac:dyDescent="0.25">
      <c r="M205" s="1">
        <f t="shared" si="14"/>
        <v>225</v>
      </c>
      <c r="N205" s="1">
        <v>4</v>
      </c>
    </row>
    <row r="206" spans="13:14" x14ac:dyDescent="0.25">
      <c r="M206" s="1">
        <f t="shared" si="14"/>
        <v>226</v>
      </c>
      <c r="N206" s="1">
        <v>4</v>
      </c>
    </row>
    <row r="207" spans="13:14" x14ac:dyDescent="0.25">
      <c r="M207" s="1">
        <f t="shared" si="14"/>
        <v>227</v>
      </c>
      <c r="N207" s="1">
        <v>4</v>
      </c>
    </row>
    <row r="208" spans="13:14" x14ac:dyDescent="0.25">
      <c r="M208" s="1">
        <f t="shared" si="14"/>
        <v>228</v>
      </c>
      <c r="N208" s="1">
        <v>4</v>
      </c>
    </row>
    <row r="209" spans="13:14" x14ac:dyDescent="0.25">
      <c r="M209" s="1">
        <f t="shared" si="14"/>
        <v>229</v>
      </c>
      <c r="N209" s="1">
        <v>4</v>
      </c>
    </row>
    <row r="210" spans="13:14" x14ac:dyDescent="0.25">
      <c r="M210" s="1">
        <f t="shared" si="14"/>
        <v>230</v>
      </c>
      <c r="N210" s="1">
        <v>4</v>
      </c>
    </row>
    <row r="211" spans="13:14" x14ac:dyDescent="0.25">
      <c r="M211" s="1">
        <f t="shared" si="14"/>
        <v>231</v>
      </c>
      <c r="N211" s="1">
        <v>4</v>
      </c>
    </row>
    <row r="212" spans="13:14" x14ac:dyDescent="0.25">
      <c r="M212" s="1">
        <f t="shared" si="14"/>
        <v>232</v>
      </c>
      <c r="N212" s="1">
        <v>4</v>
      </c>
    </row>
    <row r="213" spans="13:14" x14ac:dyDescent="0.25">
      <c r="M213" s="1">
        <f t="shared" si="14"/>
        <v>233</v>
      </c>
      <c r="N213" s="1">
        <v>4</v>
      </c>
    </row>
    <row r="214" spans="13:14" x14ac:dyDescent="0.25">
      <c r="M214" s="1">
        <f t="shared" si="14"/>
        <v>234</v>
      </c>
      <c r="N214" s="1">
        <v>4</v>
      </c>
    </row>
    <row r="215" spans="13:14" x14ac:dyDescent="0.25">
      <c r="M215" s="1">
        <f t="shared" si="14"/>
        <v>235</v>
      </c>
      <c r="N215" s="1">
        <v>4</v>
      </c>
    </row>
    <row r="216" spans="13:14" x14ac:dyDescent="0.25">
      <c r="M216" s="1">
        <f t="shared" si="14"/>
        <v>236</v>
      </c>
      <c r="N216" s="1">
        <v>4</v>
      </c>
    </row>
    <row r="217" spans="13:14" x14ac:dyDescent="0.25">
      <c r="M217" s="1">
        <f t="shared" si="14"/>
        <v>237</v>
      </c>
      <c r="N217" s="1">
        <v>4</v>
      </c>
    </row>
    <row r="218" spans="13:14" x14ac:dyDescent="0.25">
      <c r="M218" s="1">
        <f t="shared" si="14"/>
        <v>238</v>
      </c>
      <c r="N218" s="1">
        <v>4</v>
      </c>
    </row>
    <row r="219" spans="13:14" x14ac:dyDescent="0.25">
      <c r="M219" s="1">
        <f t="shared" si="14"/>
        <v>239</v>
      </c>
      <c r="N219" s="1">
        <v>4</v>
      </c>
    </row>
    <row r="220" spans="13:14" x14ac:dyDescent="0.25">
      <c r="M220" s="1">
        <f t="shared" si="14"/>
        <v>240</v>
      </c>
      <c r="N220" s="1">
        <v>4</v>
      </c>
    </row>
    <row r="221" spans="13:14" x14ac:dyDescent="0.25">
      <c r="M221" s="1">
        <f t="shared" si="14"/>
        <v>241</v>
      </c>
      <c r="N221" s="1">
        <v>4</v>
      </c>
    </row>
    <row r="222" spans="13:14" x14ac:dyDescent="0.25">
      <c r="M222" s="1">
        <f t="shared" si="14"/>
        <v>242</v>
      </c>
      <c r="N222" s="1">
        <v>4</v>
      </c>
    </row>
    <row r="223" spans="13:14" x14ac:dyDescent="0.25">
      <c r="M223" s="1">
        <f t="shared" si="14"/>
        <v>243</v>
      </c>
      <c r="N223" s="1">
        <v>4</v>
      </c>
    </row>
    <row r="224" spans="13:14" x14ac:dyDescent="0.25">
      <c r="M224" s="1">
        <f t="shared" si="14"/>
        <v>244</v>
      </c>
      <c r="N224" s="1">
        <v>4</v>
      </c>
    </row>
    <row r="225" spans="13:14" x14ac:dyDescent="0.25">
      <c r="M225" s="1">
        <f t="shared" si="14"/>
        <v>245</v>
      </c>
      <c r="N225" s="1">
        <v>4</v>
      </c>
    </row>
    <row r="226" spans="13:14" x14ac:dyDescent="0.25">
      <c r="M226" s="1">
        <f t="shared" si="14"/>
        <v>246</v>
      </c>
      <c r="N226" s="1">
        <v>4</v>
      </c>
    </row>
    <row r="227" spans="13:14" x14ac:dyDescent="0.25">
      <c r="M227" s="1">
        <f t="shared" si="14"/>
        <v>247</v>
      </c>
      <c r="N227" s="1">
        <v>4</v>
      </c>
    </row>
    <row r="228" spans="13:14" x14ac:dyDescent="0.25">
      <c r="M228" s="1">
        <f t="shared" si="14"/>
        <v>248</v>
      </c>
      <c r="N228" s="1">
        <v>4</v>
      </c>
    </row>
    <row r="229" spans="13:14" x14ac:dyDescent="0.25">
      <c r="M229" s="1">
        <f t="shared" si="14"/>
        <v>249</v>
      </c>
      <c r="N229" s="1">
        <v>4</v>
      </c>
    </row>
    <row r="230" spans="13:14" x14ac:dyDescent="0.25">
      <c r="M230" s="1">
        <f t="shared" si="14"/>
        <v>250</v>
      </c>
      <c r="N230" s="1">
        <v>4</v>
      </c>
    </row>
    <row r="231" spans="13:14" x14ac:dyDescent="0.25">
      <c r="M231" s="1">
        <f t="shared" si="14"/>
        <v>251</v>
      </c>
      <c r="N231" s="1">
        <v>4</v>
      </c>
    </row>
    <row r="232" spans="13:14" x14ac:dyDescent="0.25">
      <c r="M232" s="1">
        <f t="shared" si="14"/>
        <v>252</v>
      </c>
      <c r="N232" s="1">
        <v>4</v>
      </c>
    </row>
    <row r="233" spans="13:14" x14ac:dyDescent="0.25">
      <c r="M233" s="1">
        <f t="shared" si="14"/>
        <v>253</v>
      </c>
      <c r="N233" s="1">
        <v>4</v>
      </c>
    </row>
    <row r="234" spans="13:14" x14ac:dyDescent="0.25">
      <c r="M234" s="1">
        <f t="shared" si="14"/>
        <v>254</v>
      </c>
      <c r="N234" s="1">
        <v>4</v>
      </c>
    </row>
    <row r="235" spans="13:14" x14ac:dyDescent="0.25">
      <c r="M235" s="1">
        <f t="shared" si="14"/>
        <v>255</v>
      </c>
      <c r="N235" s="1">
        <v>4</v>
      </c>
    </row>
    <row r="236" spans="13:14" x14ac:dyDescent="0.25">
      <c r="M236" s="1">
        <f t="shared" ref="M236:M279" si="15">M235+1</f>
        <v>256</v>
      </c>
      <c r="N236" s="1">
        <v>4</v>
      </c>
    </row>
    <row r="237" spans="13:14" x14ac:dyDescent="0.25">
      <c r="M237" s="1">
        <f t="shared" si="15"/>
        <v>257</v>
      </c>
      <c r="N237" s="1">
        <v>4</v>
      </c>
    </row>
    <row r="238" spans="13:14" x14ac:dyDescent="0.25">
      <c r="M238" s="1">
        <f t="shared" si="15"/>
        <v>258</v>
      </c>
      <c r="N238" s="1">
        <v>4</v>
      </c>
    </row>
    <row r="239" spans="13:14" x14ac:dyDescent="0.25">
      <c r="M239" s="1">
        <f t="shared" si="15"/>
        <v>259</v>
      </c>
      <c r="N239" s="1">
        <v>4</v>
      </c>
    </row>
    <row r="240" spans="13:14" x14ac:dyDescent="0.25">
      <c r="M240" s="1">
        <f t="shared" si="15"/>
        <v>260</v>
      </c>
      <c r="N240" s="1">
        <v>4</v>
      </c>
    </row>
    <row r="241" spans="13:14" x14ac:dyDescent="0.25">
      <c r="M241" s="1">
        <f t="shared" si="15"/>
        <v>261</v>
      </c>
      <c r="N241" s="1">
        <v>4</v>
      </c>
    </row>
    <row r="242" spans="13:14" x14ac:dyDescent="0.25">
      <c r="M242" s="1">
        <f t="shared" si="15"/>
        <v>262</v>
      </c>
      <c r="N242" s="1">
        <v>4</v>
      </c>
    </row>
    <row r="243" spans="13:14" x14ac:dyDescent="0.25">
      <c r="M243" s="1">
        <f t="shared" si="15"/>
        <v>263</v>
      </c>
      <c r="N243" s="1">
        <v>4</v>
      </c>
    </row>
    <row r="244" spans="13:14" x14ac:dyDescent="0.25">
      <c r="M244" s="1">
        <f t="shared" si="15"/>
        <v>264</v>
      </c>
      <c r="N244" s="1">
        <v>4</v>
      </c>
    </row>
    <row r="245" spans="13:14" x14ac:dyDescent="0.25">
      <c r="M245" s="1">
        <f t="shared" si="15"/>
        <v>265</v>
      </c>
      <c r="N245" s="1">
        <v>3</v>
      </c>
    </row>
    <row r="246" spans="13:14" x14ac:dyDescent="0.25">
      <c r="M246" s="1">
        <f t="shared" si="15"/>
        <v>266</v>
      </c>
      <c r="N246" s="1">
        <v>3</v>
      </c>
    </row>
    <row r="247" spans="13:14" x14ac:dyDescent="0.25">
      <c r="M247" s="1">
        <f t="shared" si="15"/>
        <v>267</v>
      </c>
      <c r="N247" s="1">
        <v>3</v>
      </c>
    </row>
    <row r="248" spans="13:14" x14ac:dyDescent="0.25">
      <c r="M248" s="1">
        <f t="shared" si="15"/>
        <v>268</v>
      </c>
      <c r="N248" s="1">
        <v>3</v>
      </c>
    </row>
    <row r="249" spans="13:14" x14ac:dyDescent="0.25">
      <c r="M249" s="1">
        <f t="shared" si="15"/>
        <v>269</v>
      </c>
      <c r="N249" s="1">
        <v>3</v>
      </c>
    </row>
    <row r="250" spans="13:14" x14ac:dyDescent="0.25">
      <c r="M250" s="1">
        <f t="shared" si="15"/>
        <v>270</v>
      </c>
      <c r="N250" s="1">
        <v>3</v>
      </c>
    </row>
    <row r="251" spans="13:14" x14ac:dyDescent="0.25">
      <c r="M251" s="1">
        <f t="shared" si="15"/>
        <v>271</v>
      </c>
      <c r="N251" s="1">
        <v>3</v>
      </c>
    </row>
    <row r="252" spans="13:14" x14ac:dyDescent="0.25">
      <c r="M252" s="1">
        <f t="shared" si="15"/>
        <v>272</v>
      </c>
      <c r="N252" s="1">
        <v>3</v>
      </c>
    </row>
    <row r="253" spans="13:14" x14ac:dyDescent="0.25">
      <c r="M253" s="1">
        <f t="shared" si="15"/>
        <v>273</v>
      </c>
      <c r="N253" s="1">
        <v>3</v>
      </c>
    </row>
    <row r="254" spans="13:14" x14ac:dyDescent="0.25">
      <c r="M254" s="1">
        <f t="shared" si="15"/>
        <v>274</v>
      </c>
      <c r="N254" s="1">
        <v>3</v>
      </c>
    </row>
    <row r="255" spans="13:14" x14ac:dyDescent="0.25">
      <c r="M255" s="1">
        <f t="shared" si="15"/>
        <v>275</v>
      </c>
      <c r="N255" s="1">
        <v>3</v>
      </c>
    </row>
    <row r="256" spans="13:14" x14ac:dyDescent="0.25">
      <c r="M256" s="1">
        <f t="shared" si="15"/>
        <v>276</v>
      </c>
      <c r="N256" s="1">
        <v>3</v>
      </c>
    </row>
    <row r="257" spans="13:14" x14ac:dyDescent="0.25">
      <c r="M257" s="1">
        <f t="shared" si="15"/>
        <v>277</v>
      </c>
      <c r="N257" s="1">
        <v>3</v>
      </c>
    </row>
    <row r="258" spans="13:14" x14ac:dyDescent="0.25">
      <c r="M258" s="1">
        <f t="shared" si="15"/>
        <v>278</v>
      </c>
      <c r="N258" s="1">
        <v>3</v>
      </c>
    </row>
    <row r="259" spans="13:14" x14ac:dyDescent="0.25">
      <c r="M259" s="1">
        <f t="shared" si="15"/>
        <v>279</v>
      </c>
      <c r="N259" s="1">
        <v>3</v>
      </c>
    </row>
    <row r="260" spans="13:14" x14ac:dyDescent="0.25">
      <c r="M260" s="1">
        <f t="shared" si="15"/>
        <v>280</v>
      </c>
      <c r="N260" s="1">
        <v>3</v>
      </c>
    </row>
    <row r="261" spans="13:14" x14ac:dyDescent="0.25">
      <c r="M261" s="1">
        <f t="shared" si="15"/>
        <v>281</v>
      </c>
      <c r="N261" s="1">
        <v>3</v>
      </c>
    </row>
    <row r="262" spans="13:14" x14ac:dyDescent="0.25">
      <c r="M262" s="1">
        <f t="shared" si="15"/>
        <v>282</v>
      </c>
      <c r="N262" s="1">
        <v>3</v>
      </c>
    </row>
    <row r="263" spans="13:14" x14ac:dyDescent="0.25">
      <c r="M263" s="1">
        <f t="shared" si="15"/>
        <v>283</v>
      </c>
      <c r="N263" s="1">
        <v>3</v>
      </c>
    </row>
    <row r="264" spans="13:14" x14ac:dyDescent="0.25">
      <c r="M264" s="1">
        <f t="shared" si="15"/>
        <v>284</v>
      </c>
      <c r="N264" s="1">
        <v>3</v>
      </c>
    </row>
    <row r="265" spans="13:14" x14ac:dyDescent="0.25">
      <c r="M265" s="1">
        <f t="shared" si="15"/>
        <v>285</v>
      </c>
      <c r="N265" s="1">
        <v>3</v>
      </c>
    </row>
    <row r="266" spans="13:14" x14ac:dyDescent="0.25">
      <c r="M266" s="1">
        <f t="shared" si="15"/>
        <v>286</v>
      </c>
      <c r="N266" s="1">
        <v>3</v>
      </c>
    </row>
    <row r="267" spans="13:14" x14ac:dyDescent="0.25">
      <c r="M267" s="1">
        <f t="shared" si="15"/>
        <v>287</v>
      </c>
      <c r="N267" s="1">
        <v>3</v>
      </c>
    </row>
    <row r="268" spans="13:14" x14ac:dyDescent="0.25">
      <c r="M268" s="1">
        <f t="shared" si="15"/>
        <v>288</v>
      </c>
      <c r="N268" s="1">
        <v>3</v>
      </c>
    </row>
    <row r="269" spans="13:14" x14ac:dyDescent="0.25">
      <c r="M269" s="1">
        <f t="shared" si="15"/>
        <v>289</v>
      </c>
      <c r="N269" s="1">
        <v>3</v>
      </c>
    </row>
    <row r="270" spans="13:14" x14ac:dyDescent="0.25">
      <c r="M270" s="1">
        <f t="shared" si="15"/>
        <v>290</v>
      </c>
      <c r="N270" s="1">
        <v>3</v>
      </c>
    </row>
    <row r="271" spans="13:14" x14ac:dyDescent="0.25">
      <c r="M271" s="1">
        <f t="shared" si="15"/>
        <v>291</v>
      </c>
      <c r="N271" s="1">
        <v>3</v>
      </c>
    </row>
    <row r="272" spans="13:14" x14ac:dyDescent="0.25">
      <c r="M272" s="1">
        <f t="shared" si="15"/>
        <v>292</v>
      </c>
      <c r="N272" s="1">
        <v>3</v>
      </c>
    </row>
    <row r="273" spans="13:14" x14ac:dyDescent="0.25">
      <c r="M273" s="1">
        <f t="shared" si="15"/>
        <v>293</v>
      </c>
      <c r="N273" s="1">
        <v>3</v>
      </c>
    </row>
    <row r="274" spans="13:14" x14ac:dyDescent="0.25">
      <c r="M274" s="1">
        <f t="shared" si="15"/>
        <v>294</v>
      </c>
      <c r="N274" s="1">
        <v>3</v>
      </c>
    </row>
    <row r="275" spans="13:14" x14ac:dyDescent="0.25">
      <c r="M275" s="1">
        <f t="shared" si="15"/>
        <v>295</v>
      </c>
      <c r="N275" s="1">
        <v>2</v>
      </c>
    </row>
    <row r="276" spans="13:14" x14ac:dyDescent="0.25">
      <c r="M276" s="1">
        <f t="shared" si="15"/>
        <v>296</v>
      </c>
      <c r="N276" s="1">
        <v>2</v>
      </c>
    </row>
    <row r="277" spans="13:14" x14ac:dyDescent="0.25">
      <c r="M277" s="1">
        <f t="shared" si="15"/>
        <v>297</v>
      </c>
      <c r="N277" s="1">
        <v>2</v>
      </c>
    </row>
    <row r="278" spans="13:14" x14ac:dyDescent="0.25">
      <c r="M278" s="1">
        <f t="shared" si="15"/>
        <v>298</v>
      </c>
      <c r="N278" s="1">
        <v>2</v>
      </c>
    </row>
    <row r="279" spans="13:14" x14ac:dyDescent="0.25">
      <c r="M279" s="1">
        <f t="shared" si="15"/>
        <v>299</v>
      </c>
      <c r="N279" s="1">
        <v>2</v>
      </c>
    </row>
    <row r="280" spans="13:14" x14ac:dyDescent="0.25">
      <c r="M280" s="1" t="s">
        <v>174</v>
      </c>
      <c r="N280" s="1">
        <v>1</v>
      </c>
    </row>
  </sheetData>
  <sheetProtection password="CEE5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Q71"/>
  <sheetViews>
    <sheetView workbookViewId="0">
      <selection activeCell="J54" sqref="J54"/>
    </sheetView>
  </sheetViews>
  <sheetFormatPr defaultRowHeight="15" x14ac:dyDescent="0.25"/>
  <cols>
    <col min="1" max="1" width="11" customWidth="1"/>
    <col min="2" max="2" width="11.140625" customWidth="1"/>
  </cols>
  <sheetData>
    <row r="2" spans="1:17" x14ac:dyDescent="0.25">
      <c r="A2" s="25" t="s">
        <v>0</v>
      </c>
      <c r="B2" s="5">
        <f>IF('Scores Summary'!C10="","",'Scores Summary'!C10)</f>
        <v>41</v>
      </c>
      <c r="D2" s="25" t="s">
        <v>81</v>
      </c>
      <c r="E2" s="4" t="str">
        <f>IF(B2="","",IF(B2&gt;=95,"95-99",IF(B2&gt;=90,"90-94",IF(B2&gt;=85,"85-89",IF(B2&gt;=80,"80-84",IF(B2&gt;=75,"75-79",IF(B2&gt;=70,"70-74",IF(B2&gt;=65,"65-69",IF(B2&gt;=60,"60-64",IF(B2&gt;=55,"55-59",IF(B2&gt;=50,"50-54",IF(B2&gt;=40,"40-49",IF(B2&gt;=19,"19-39",18)))))))))))))</f>
        <v>40-49</v>
      </c>
      <c r="G2" s="25" t="s">
        <v>82</v>
      </c>
      <c r="H2" s="4" t="str">
        <f>IF(B2="","",IF(B2&gt;69,"N/A",IF(B2&gt;=60,"60-69",IF(B2&gt;=50,"50-59",IF(B2&gt;=19,"19-49",IF(B2=18,18,""))))))</f>
        <v>19-49</v>
      </c>
      <c r="J2" s="25" t="s">
        <v>83</v>
      </c>
      <c r="K2" s="4" t="str">
        <f>H2</f>
        <v>19-49</v>
      </c>
    </row>
    <row r="3" spans="1:17" x14ac:dyDescent="0.25">
      <c r="A3" s="25"/>
      <c r="B3" s="26"/>
      <c r="D3" s="25" t="s">
        <v>84</v>
      </c>
      <c r="E3" s="4" t="str">
        <f>IF('Scores Summary'!D31="","",'Scores Summary'!D31)</f>
        <v/>
      </c>
      <c r="G3" s="25" t="s">
        <v>84</v>
      </c>
      <c r="H3" s="4" t="str">
        <f>IF('Scores Summary'!D32="","",'Scores Summary'!D32)</f>
        <v/>
      </c>
      <c r="J3" s="25" t="s">
        <v>84</v>
      </c>
      <c r="K3" s="4" t="str">
        <f>IF('Scores Summary'!D33="","",'Scores Summary'!D33)</f>
        <v/>
      </c>
    </row>
    <row r="4" spans="1:17" x14ac:dyDescent="0.25">
      <c r="A4" s="25"/>
      <c r="B4" s="26"/>
      <c r="D4" s="25" t="s">
        <v>85</v>
      </c>
      <c r="E4" s="4" t="str">
        <f>IF(E3="","",VLOOKUP(E3,A7:N38,Q20,FALSE))</f>
        <v/>
      </c>
      <c r="G4" s="25" t="s">
        <v>85</v>
      </c>
      <c r="H4" s="4" t="str">
        <f>IF(H3="","",VLOOKUP(H3,A40:E71,Q44,FALSE))</f>
        <v/>
      </c>
      <c r="J4" s="25" t="s">
        <v>85</v>
      </c>
      <c r="K4" s="4" t="str">
        <f>IF(K3="","",VLOOKUP(K3,H40:L71,Q44,FALSE))</f>
        <v/>
      </c>
    </row>
    <row r="5" spans="1:17" x14ac:dyDescent="0.25">
      <c r="A5" s="25"/>
      <c r="B5" s="26"/>
      <c r="D5" s="25" t="s">
        <v>146</v>
      </c>
      <c r="E5" s="4" t="str">
        <f>IF(E3="","",VLOOKUP(E3,A7:O38,15,FALSE))</f>
        <v/>
      </c>
      <c r="G5" s="25" t="s">
        <v>146</v>
      </c>
      <c r="H5" s="4" t="str">
        <f>IF(H3="","",VLOOKUP(H3,A40:F71,6,FALSE))</f>
        <v/>
      </c>
      <c r="J5" s="25" t="s">
        <v>146</v>
      </c>
      <c r="K5" s="4" t="str">
        <f>IF(K3="","",VLOOKUP(K3,H40:M71,6,FALSE))</f>
        <v/>
      </c>
    </row>
    <row r="7" spans="1:17" x14ac:dyDescent="0.25">
      <c r="A7" s="33" t="s">
        <v>62</v>
      </c>
      <c r="B7" s="33">
        <v>18</v>
      </c>
      <c r="C7" s="33" t="s">
        <v>63</v>
      </c>
      <c r="D7" s="33" t="s">
        <v>64</v>
      </c>
      <c r="E7" s="33" t="s">
        <v>65</v>
      </c>
      <c r="F7" s="33" t="s">
        <v>66</v>
      </c>
      <c r="G7" s="33" t="s">
        <v>67</v>
      </c>
      <c r="H7" s="33" t="s">
        <v>68</v>
      </c>
      <c r="I7" s="33" t="s">
        <v>69</v>
      </c>
      <c r="J7" s="33" t="s">
        <v>70</v>
      </c>
      <c r="K7" s="33" t="s">
        <v>71</v>
      </c>
      <c r="L7" s="33" t="s">
        <v>72</v>
      </c>
      <c r="M7" s="33" t="s">
        <v>73</v>
      </c>
      <c r="N7" s="33" t="s">
        <v>74</v>
      </c>
      <c r="O7" s="33" t="s">
        <v>77</v>
      </c>
      <c r="P7" s="34">
        <v>18</v>
      </c>
      <c r="Q7" s="34">
        <v>2</v>
      </c>
    </row>
    <row r="8" spans="1:17" x14ac:dyDescent="0.25">
      <c r="A8" s="26">
        <v>30</v>
      </c>
      <c r="B8" s="1">
        <v>106</v>
      </c>
      <c r="C8" s="1">
        <v>107</v>
      </c>
      <c r="D8" s="1">
        <v>113</v>
      </c>
      <c r="E8" s="1">
        <v>116</v>
      </c>
      <c r="F8" s="1">
        <v>119</v>
      </c>
      <c r="G8" s="1">
        <v>120</v>
      </c>
      <c r="H8" s="1">
        <v>121</v>
      </c>
      <c r="I8" s="1">
        <v>124</v>
      </c>
      <c r="J8" s="1">
        <v>126</v>
      </c>
      <c r="K8" s="1">
        <v>129</v>
      </c>
      <c r="L8" s="1">
        <v>132</v>
      </c>
      <c r="M8" s="1">
        <v>135</v>
      </c>
      <c r="N8" s="1">
        <v>138</v>
      </c>
      <c r="O8" s="36" t="s">
        <v>86</v>
      </c>
      <c r="P8" s="34" t="s">
        <v>63</v>
      </c>
      <c r="Q8" s="34">
        <v>3</v>
      </c>
    </row>
    <row r="9" spans="1:17" x14ac:dyDescent="0.25">
      <c r="A9" s="26">
        <v>29</v>
      </c>
      <c r="B9" s="1">
        <v>101</v>
      </c>
      <c r="C9" s="1">
        <v>103</v>
      </c>
      <c r="D9" s="1">
        <v>108</v>
      </c>
      <c r="E9" s="1">
        <v>110</v>
      </c>
      <c r="F9" s="1">
        <v>113</v>
      </c>
      <c r="G9" s="1">
        <v>115</v>
      </c>
      <c r="H9" s="1">
        <v>117</v>
      </c>
      <c r="I9" s="1">
        <v>119</v>
      </c>
      <c r="J9" s="1">
        <v>121</v>
      </c>
      <c r="K9" s="1">
        <v>124</v>
      </c>
      <c r="L9" s="1">
        <v>127</v>
      </c>
      <c r="M9" s="1">
        <v>130</v>
      </c>
      <c r="N9" s="1">
        <v>134</v>
      </c>
      <c r="O9" s="36" t="s">
        <v>87</v>
      </c>
      <c r="P9" s="34" t="s">
        <v>64</v>
      </c>
      <c r="Q9" s="34">
        <v>4</v>
      </c>
    </row>
    <row r="10" spans="1:17" x14ac:dyDescent="0.25">
      <c r="A10" s="26">
        <v>28</v>
      </c>
      <c r="B10" s="1">
        <v>98</v>
      </c>
      <c r="C10" s="1">
        <v>98</v>
      </c>
      <c r="D10" s="1">
        <v>103</v>
      </c>
      <c r="E10" s="1">
        <v>105</v>
      </c>
      <c r="F10" s="1">
        <v>108</v>
      </c>
      <c r="G10" s="1">
        <v>111</v>
      </c>
      <c r="H10" s="1">
        <v>113</v>
      </c>
      <c r="I10" s="1">
        <v>114</v>
      </c>
      <c r="J10" s="1">
        <v>116</v>
      </c>
      <c r="K10" s="1">
        <v>119</v>
      </c>
      <c r="L10" s="1">
        <v>122</v>
      </c>
      <c r="M10" s="1">
        <v>125</v>
      </c>
      <c r="N10" s="1">
        <v>128</v>
      </c>
      <c r="O10" s="36" t="s">
        <v>88</v>
      </c>
      <c r="P10" s="34" t="s">
        <v>65</v>
      </c>
      <c r="Q10" s="34">
        <v>5</v>
      </c>
    </row>
    <row r="11" spans="1:17" x14ac:dyDescent="0.25">
      <c r="A11" s="26">
        <v>27</v>
      </c>
      <c r="B11" s="1">
        <v>94</v>
      </c>
      <c r="C11" s="1">
        <v>92</v>
      </c>
      <c r="D11" s="1">
        <v>97</v>
      </c>
      <c r="E11" s="1">
        <v>100</v>
      </c>
      <c r="F11" s="1">
        <v>104</v>
      </c>
      <c r="G11" s="1">
        <v>106</v>
      </c>
      <c r="H11" s="1">
        <v>108</v>
      </c>
      <c r="I11" s="1">
        <v>109</v>
      </c>
      <c r="J11" s="1">
        <v>111</v>
      </c>
      <c r="K11" s="1">
        <v>114</v>
      </c>
      <c r="L11" s="1">
        <v>116</v>
      </c>
      <c r="M11" s="1">
        <v>119</v>
      </c>
      <c r="N11" s="1">
        <v>121</v>
      </c>
      <c r="O11" s="36" t="s">
        <v>89</v>
      </c>
      <c r="P11" s="34" t="s">
        <v>66</v>
      </c>
      <c r="Q11" s="34">
        <v>6</v>
      </c>
    </row>
    <row r="12" spans="1:17" x14ac:dyDescent="0.25">
      <c r="A12" s="26">
        <v>26</v>
      </c>
      <c r="B12" s="1">
        <v>90</v>
      </c>
      <c r="C12" s="1">
        <v>87</v>
      </c>
      <c r="D12" s="1">
        <v>92</v>
      </c>
      <c r="E12" s="1">
        <v>95</v>
      </c>
      <c r="F12" s="1">
        <v>99</v>
      </c>
      <c r="G12" s="1">
        <v>101</v>
      </c>
      <c r="H12" s="1">
        <v>104</v>
      </c>
      <c r="I12" s="1">
        <v>105</v>
      </c>
      <c r="J12" s="1">
        <v>106</v>
      </c>
      <c r="K12" s="1">
        <v>108</v>
      </c>
      <c r="L12" s="1">
        <v>111</v>
      </c>
      <c r="M12" s="1">
        <v>114</v>
      </c>
      <c r="N12" s="1">
        <v>117</v>
      </c>
      <c r="O12" s="36" t="s">
        <v>90</v>
      </c>
      <c r="P12" s="34" t="s">
        <v>67</v>
      </c>
      <c r="Q12" s="34">
        <v>7</v>
      </c>
    </row>
    <row r="13" spans="1:17" x14ac:dyDescent="0.25">
      <c r="A13" s="26">
        <v>25</v>
      </c>
      <c r="B13" s="1">
        <v>86</v>
      </c>
      <c r="C13" s="1">
        <v>83</v>
      </c>
      <c r="D13" s="1">
        <v>87</v>
      </c>
      <c r="E13" s="1">
        <v>90</v>
      </c>
      <c r="F13" s="1">
        <v>94</v>
      </c>
      <c r="G13" s="1">
        <v>96</v>
      </c>
      <c r="H13" s="1">
        <v>98</v>
      </c>
      <c r="I13" s="1">
        <v>99</v>
      </c>
      <c r="J13" s="1">
        <v>100</v>
      </c>
      <c r="K13" s="1">
        <v>101</v>
      </c>
      <c r="L13" s="1">
        <v>105</v>
      </c>
      <c r="M13" s="1">
        <v>109</v>
      </c>
      <c r="N13" s="1">
        <v>113</v>
      </c>
      <c r="O13" s="36" t="s">
        <v>91</v>
      </c>
      <c r="P13" s="34" t="s">
        <v>68</v>
      </c>
      <c r="Q13" s="34">
        <v>8</v>
      </c>
    </row>
    <row r="14" spans="1:17" x14ac:dyDescent="0.25">
      <c r="A14" s="26">
        <v>24</v>
      </c>
      <c r="B14" s="1">
        <v>82</v>
      </c>
      <c r="C14" s="1">
        <v>77</v>
      </c>
      <c r="D14" s="1">
        <v>84</v>
      </c>
      <c r="E14" s="1">
        <v>85</v>
      </c>
      <c r="F14" s="1">
        <v>89</v>
      </c>
      <c r="G14" s="1">
        <v>91</v>
      </c>
      <c r="H14" s="1">
        <v>94</v>
      </c>
      <c r="I14" s="1">
        <v>95</v>
      </c>
      <c r="J14" s="1">
        <v>96</v>
      </c>
      <c r="K14" s="1">
        <v>99</v>
      </c>
      <c r="L14" s="1">
        <v>101</v>
      </c>
      <c r="M14" s="1">
        <v>105</v>
      </c>
      <c r="N14" s="1">
        <v>108</v>
      </c>
      <c r="O14" s="36" t="s">
        <v>92</v>
      </c>
      <c r="P14" s="34" t="s">
        <v>69</v>
      </c>
      <c r="Q14" s="34">
        <v>9</v>
      </c>
    </row>
    <row r="15" spans="1:17" x14ac:dyDescent="0.25">
      <c r="A15" s="26">
        <v>23</v>
      </c>
      <c r="B15" s="1">
        <v>78</v>
      </c>
      <c r="C15" s="1">
        <v>72</v>
      </c>
      <c r="D15" s="1">
        <v>77</v>
      </c>
      <c r="E15" s="1">
        <v>80</v>
      </c>
      <c r="F15" s="1">
        <v>84</v>
      </c>
      <c r="G15" s="1">
        <v>86</v>
      </c>
      <c r="H15" s="1">
        <v>88</v>
      </c>
      <c r="I15" s="1">
        <v>89</v>
      </c>
      <c r="J15" s="1">
        <v>91</v>
      </c>
      <c r="K15" s="1">
        <v>94</v>
      </c>
      <c r="L15" s="1">
        <v>96</v>
      </c>
      <c r="M15" s="1">
        <v>99</v>
      </c>
      <c r="N15" s="1">
        <v>103</v>
      </c>
      <c r="O15" s="36" t="s">
        <v>93</v>
      </c>
      <c r="P15" s="34" t="s">
        <v>70</v>
      </c>
      <c r="Q15" s="34">
        <v>10</v>
      </c>
    </row>
    <row r="16" spans="1:17" x14ac:dyDescent="0.25">
      <c r="A16" s="26">
        <v>22</v>
      </c>
      <c r="B16" s="1">
        <v>74</v>
      </c>
      <c r="C16" s="1">
        <v>66</v>
      </c>
      <c r="D16" s="1">
        <v>72</v>
      </c>
      <c r="E16" s="1">
        <v>75</v>
      </c>
      <c r="F16" s="1">
        <v>79</v>
      </c>
      <c r="G16" s="1">
        <v>82</v>
      </c>
      <c r="H16" s="1">
        <v>84</v>
      </c>
      <c r="I16" s="1">
        <v>85</v>
      </c>
      <c r="J16" s="1">
        <v>86</v>
      </c>
      <c r="K16" s="1">
        <v>89</v>
      </c>
      <c r="L16" s="1">
        <v>91</v>
      </c>
      <c r="M16" s="1">
        <v>94</v>
      </c>
      <c r="N16" s="1">
        <v>98</v>
      </c>
      <c r="O16" s="36" t="s">
        <v>94</v>
      </c>
      <c r="P16" s="34" t="s">
        <v>71</v>
      </c>
      <c r="Q16" s="34">
        <v>11</v>
      </c>
    </row>
    <row r="17" spans="1:17" x14ac:dyDescent="0.25">
      <c r="A17" s="26">
        <v>21</v>
      </c>
      <c r="B17" s="1">
        <v>71</v>
      </c>
      <c r="C17" s="1">
        <v>57</v>
      </c>
      <c r="D17" s="1">
        <v>65</v>
      </c>
      <c r="E17" s="1">
        <v>69</v>
      </c>
      <c r="F17" s="1">
        <v>74</v>
      </c>
      <c r="G17" s="1">
        <v>77</v>
      </c>
      <c r="H17" s="1">
        <v>79</v>
      </c>
      <c r="I17" s="1">
        <v>80</v>
      </c>
      <c r="J17" s="1">
        <v>81</v>
      </c>
      <c r="K17" s="1">
        <v>84</v>
      </c>
      <c r="L17" s="1">
        <v>86</v>
      </c>
      <c r="M17" s="1">
        <v>89</v>
      </c>
      <c r="N17" s="1">
        <v>93</v>
      </c>
      <c r="O17" s="36" t="s">
        <v>97</v>
      </c>
      <c r="P17" s="34" t="s">
        <v>72</v>
      </c>
      <c r="Q17" s="34">
        <v>12</v>
      </c>
    </row>
    <row r="18" spans="1:17" x14ac:dyDescent="0.25">
      <c r="A18" s="26">
        <v>20</v>
      </c>
      <c r="B18" s="1">
        <v>64</v>
      </c>
      <c r="C18" s="1">
        <v>50</v>
      </c>
      <c r="D18" s="1">
        <v>58</v>
      </c>
      <c r="E18" s="1">
        <v>63</v>
      </c>
      <c r="F18" s="1">
        <v>69</v>
      </c>
      <c r="G18" s="1">
        <v>72</v>
      </c>
      <c r="H18" s="1">
        <v>74</v>
      </c>
      <c r="I18" s="1">
        <v>75</v>
      </c>
      <c r="J18" s="1">
        <v>76</v>
      </c>
      <c r="K18" s="1">
        <v>79</v>
      </c>
      <c r="L18" s="1">
        <v>81</v>
      </c>
      <c r="M18" s="1">
        <v>84</v>
      </c>
      <c r="N18" s="1">
        <v>88</v>
      </c>
      <c r="O18" s="36" t="s">
        <v>95</v>
      </c>
      <c r="P18" s="34" t="s">
        <v>73</v>
      </c>
      <c r="Q18" s="34">
        <v>13</v>
      </c>
    </row>
    <row r="19" spans="1:17" x14ac:dyDescent="0.25">
      <c r="A19" s="26">
        <v>19</v>
      </c>
      <c r="B19" s="1">
        <v>58</v>
      </c>
      <c r="C19" s="1">
        <v>45</v>
      </c>
      <c r="D19" s="1">
        <v>50</v>
      </c>
      <c r="E19" s="1">
        <v>55</v>
      </c>
      <c r="F19" s="1">
        <v>61</v>
      </c>
      <c r="G19" s="1">
        <v>64</v>
      </c>
      <c r="H19" s="1">
        <v>67</v>
      </c>
      <c r="I19" s="1">
        <v>69</v>
      </c>
      <c r="J19" s="1">
        <v>71</v>
      </c>
      <c r="K19" s="1">
        <v>74</v>
      </c>
      <c r="L19" s="1">
        <v>76</v>
      </c>
      <c r="M19" s="1">
        <v>79</v>
      </c>
      <c r="N19" s="1">
        <v>83</v>
      </c>
      <c r="O19" s="36" t="s">
        <v>98</v>
      </c>
      <c r="P19" s="34" t="s">
        <v>74</v>
      </c>
      <c r="Q19" s="34">
        <v>14</v>
      </c>
    </row>
    <row r="20" spans="1:17" x14ac:dyDescent="0.25">
      <c r="A20" s="26">
        <v>18</v>
      </c>
      <c r="B20" s="1">
        <v>54</v>
      </c>
      <c r="C20" s="1" t="s">
        <v>75</v>
      </c>
      <c r="D20" s="1">
        <v>45</v>
      </c>
      <c r="E20" s="1">
        <v>49</v>
      </c>
      <c r="F20" s="1">
        <v>51</v>
      </c>
      <c r="G20" s="1">
        <v>56</v>
      </c>
      <c r="H20" s="1">
        <v>61</v>
      </c>
      <c r="I20" s="1">
        <v>64</v>
      </c>
      <c r="J20" s="1">
        <v>66</v>
      </c>
      <c r="K20" s="1">
        <v>69</v>
      </c>
      <c r="L20" s="1">
        <v>71</v>
      </c>
      <c r="M20" s="1">
        <v>74</v>
      </c>
      <c r="N20" s="1">
        <v>78</v>
      </c>
      <c r="O20" s="36" t="s">
        <v>99</v>
      </c>
      <c r="P20" s="35" t="str">
        <f>E2</f>
        <v>40-49</v>
      </c>
      <c r="Q20" s="35">
        <f>VLOOKUP(P20,P7:Q19,2,FALSE)</f>
        <v>4</v>
      </c>
    </row>
    <row r="21" spans="1:17" x14ac:dyDescent="0.25">
      <c r="A21" s="26">
        <v>17</v>
      </c>
      <c r="B21" s="1">
        <v>46</v>
      </c>
      <c r="C21" s="1" t="s">
        <v>75</v>
      </c>
      <c r="D21" s="1" t="s">
        <v>75</v>
      </c>
      <c r="E21" s="1">
        <v>45</v>
      </c>
      <c r="F21" s="1">
        <v>45</v>
      </c>
      <c r="G21" s="1">
        <v>49</v>
      </c>
      <c r="H21" s="1">
        <v>53</v>
      </c>
      <c r="I21" s="1">
        <v>54</v>
      </c>
      <c r="J21" s="1">
        <v>58</v>
      </c>
      <c r="K21" s="1">
        <v>61</v>
      </c>
      <c r="L21" s="1">
        <v>64</v>
      </c>
      <c r="M21" s="1">
        <v>69</v>
      </c>
      <c r="N21" s="1">
        <v>74</v>
      </c>
      <c r="O21" s="36" t="s">
        <v>100</v>
      </c>
    </row>
    <row r="22" spans="1:17" x14ac:dyDescent="0.25">
      <c r="A22" s="26">
        <v>16</v>
      </c>
      <c r="B22" s="1">
        <v>45</v>
      </c>
      <c r="C22" s="1" t="s">
        <v>75</v>
      </c>
      <c r="D22" s="1" t="s">
        <v>75</v>
      </c>
      <c r="E22" s="1" t="s">
        <v>75</v>
      </c>
      <c r="F22" s="1" t="s">
        <v>75</v>
      </c>
      <c r="G22" s="1">
        <v>45</v>
      </c>
      <c r="H22" s="1">
        <v>45</v>
      </c>
      <c r="I22" s="1">
        <v>45</v>
      </c>
      <c r="J22" s="1">
        <v>50</v>
      </c>
      <c r="K22" s="1">
        <v>53</v>
      </c>
      <c r="L22" s="1">
        <v>56</v>
      </c>
      <c r="M22" s="1">
        <v>61</v>
      </c>
      <c r="N22" s="1">
        <v>67</v>
      </c>
      <c r="O22" s="36" t="s">
        <v>101</v>
      </c>
    </row>
    <row r="23" spans="1:17" x14ac:dyDescent="0.25">
      <c r="A23" s="26">
        <v>15</v>
      </c>
      <c r="B23" s="1" t="s">
        <v>75</v>
      </c>
      <c r="C23" s="1" t="s">
        <v>75</v>
      </c>
      <c r="D23" s="1" t="s">
        <v>75</v>
      </c>
      <c r="E23" s="1" t="s">
        <v>75</v>
      </c>
      <c r="F23" s="1" t="s">
        <v>75</v>
      </c>
      <c r="G23" s="1" t="s">
        <v>75</v>
      </c>
      <c r="H23" s="1" t="s">
        <v>75</v>
      </c>
      <c r="I23" s="1" t="s">
        <v>75</v>
      </c>
      <c r="J23" s="1">
        <v>45</v>
      </c>
      <c r="K23" s="1">
        <v>45</v>
      </c>
      <c r="L23" s="1">
        <v>48</v>
      </c>
      <c r="M23" s="1">
        <v>53</v>
      </c>
      <c r="N23" s="1">
        <v>59</v>
      </c>
      <c r="O23" s="36" t="s">
        <v>102</v>
      </c>
    </row>
    <row r="24" spans="1:17" x14ac:dyDescent="0.25">
      <c r="A24" s="26">
        <v>14</v>
      </c>
      <c r="B24" s="1" t="s">
        <v>75</v>
      </c>
      <c r="C24" s="1" t="s">
        <v>75</v>
      </c>
      <c r="D24" s="1" t="s">
        <v>75</v>
      </c>
      <c r="E24" s="1" t="s">
        <v>75</v>
      </c>
      <c r="F24" s="1" t="s">
        <v>75</v>
      </c>
      <c r="G24" s="1" t="s">
        <v>75</v>
      </c>
      <c r="H24" s="1" t="s">
        <v>75</v>
      </c>
      <c r="I24" s="1" t="s">
        <v>75</v>
      </c>
      <c r="J24" s="1" t="s">
        <v>75</v>
      </c>
      <c r="K24" s="1" t="s">
        <v>75</v>
      </c>
      <c r="L24" s="1">
        <v>45</v>
      </c>
      <c r="M24" s="1">
        <v>45</v>
      </c>
      <c r="N24" s="1">
        <v>51</v>
      </c>
      <c r="O24" s="36" t="s">
        <v>103</v>
      </c>
    </row>
    <row r="25" spans="1:17" x14ac:dyDescent="0.25">
      <c r="A25" s="26">
        <v>13</v>
      </c>
      <c r="B25" s="1" t="s">
        <v>75</v>
      </c>
      <c r="C25" s="1" t="s">
        <v>75</v>
      </c>
      <c r="D25" s="1" t="s">
        <v>75</v>
      </c>
      <c r="E25" s="1" t="s">
        <v>75</v>
      </c>
      <c r="F25" s="1" t="s">
        <v>75</v>
      </c>
      <c r="G25" s="1" t="s">
        <v>75</v>
      </c>
      <c r="H25" s="1" t="s">
        <v>75</v>
      </c>
      <c r="I25" s="1" t="s">
        <v>75</v>
      </c>
      <c r="J25" s="1" t="s">
        <v>75</v>
      </c>
      <c r="K25" s="1" t="s">
        <v>75</v>
      </c>
      <c r="L25" s="1" t="s">
        <v>75</v>
      </c>
      <c r="M25" s="1" t="s">
        <v>75</v>
      </c>
      <c r="N25" s="1">
        <v>45</v>
      </c>
      <c r="O25" s="36" t="s">
        <v>104</v>
      </c>
    </row>
    <row r="26" spans="1:17" x14ac:dyDescent="0.25">
      <c r="A26" s="26">
        <v>12</v>
      </c>
      <c r="B26" s="1" t="s">
        <v>75</v>
      </c>
      <c r="C26" s="1" t="s">
        <v>75</v>
      </c>
      <c r="D26" s="1" t="s">
        <v>75</v>
      </c>
      <c r="E26" s="1" t="s">
        <v>75</v>
      </c>
      <c r="F26" s="1" t="s">
        <v>75</v>
      </c>
      <c r="G26" s="1" t="s">
        <v>75</v>
      </c>
      <c r="H26" s="1" t="s">
        <v>75</v>
      </c>
      <c r="I26" s="1" t="s">
        <v>75</v>
      </c>
      <c r="J26" s="1" t="s">
        <v>75</v>
      </c>
      <c r="K26" s="1" t="s">
        <v>75</v>
      </c>
      <c r="L26" s="1" t="s">
        <v>75</v>
      </c>
      <c r="M26" s="1" t="s">
        <v>75</v>
      </c>
      <c r="N26" s="1" t="s">
        <v>75</v>
      </c>
      <c r="O26" s="36" t="s">
        <v>105</v>
      </c>
    </row>
    <row r="27" spans="1:17" x14ac:dyDescent="0.25">
      <c r="A27" s="26">
        <v>11</v>
      </c>
      <c r="B27" s="1" t="s">
        <v>75</v>
      </c>
      <c r="C27" s="1" t="s">
        <v>75</v>
      </c>
      <c r="D27" s="1" t="s">
        <v>75</v>
      </c>
      <c r="E27" s="1" t="s">
        <v>75</v>
      </c>
      <c r="F27" s="1" t="s">
        <v>75</v>
      </c>
      <c r="G27" s="1" t="s">
        <v>75</v>
      </c>
      <c r="H27" s="1" t="s">
        <v>75</v>
      </c>
      <c r="I27" s="1" t="s">
        <v>75</v>
      </c>
      <c r="J27" s="1" t="s">
        <v>75</v>
      </c>
      <c r="K27" s="1" t="s">
        <v>75</v>
      </c>
      <c r="L27" s="1" t="s">
        <v>75</v>
      </c>
      <c r="M27" s="1" t="s">
        <v>75</v>
      </c>
      <c r="N27" s="1" t="s">
        <v>75</v>
      </c>
      <c r="O27" s="36" t="s">
        <v>106</v>
      </c>
    </row>
    <row r="28" spans="1:17" x14ac:dyDescent="0.25">
      <c r="A28" s="26">
        <v>10</v>
      </c>
      <c r="B28" s="1" t="s">
        <v>75</v>
      </c>
      <c r="C28" s="1" t="s">
        <v>75</v>
      </c>
      <c r="D28" s="1" t="s">
        <v>75</v>
      </c>
      <c r="E28" s="1" t="s">
        <v>75</v>
      </c>
      <c r="F28" s="1" t="s">
        <v>75</v>
      </c>
      <c r="G28" s="1" t="s">
        <v>75</v>
      </c>
      <c r="H28" s="1" t="s">
        <v>75</v>
      </c>
      <c r="I28" s="1" t="s">
        <v>75</v>
      </c>
      <c r="J28" s="1" t="s">
        <v>75</v>
      </c>
      <c r="K28" s="1" t="s">
        <v>75</v>
      </c>
      <c r="L28" s="1" t="s">
        <v>75</v>
      </c>
      <c r="M28" s="1" t="s">
        <v>75</v>
      </c>
      <c r="N28" s="1" t="s">
        <v>75</v>
      </c>
      <c r="O28" s="36" t="s">
        <v>107</v>
      </c>
    </row>
    <row r="29" spans="1:17" x14ac:dyDescent="0.25">
      <c r="A29" s="26">
        <v>9</v>
      </c>
      <c r="B29" s="1" t="s">
        <v>75</v>
      </c>
      <c r="C29" s="1" t="s">
        <v>75</v>
      </c>
      <c r="D29" s="1" t="s">
        <v>75</v>
      </c>
      <c r="E29" s="1" t="s">
        <v>75</v>
      </c>
      <c r="F29" s="1" t="s">
        <v>75</v>
      </c>
      <c r="G29" s="1" t="s">
        <v>75</v>
      </c>
      <c r="H29" s="1" t="s">
        <v>75</v>
      </c>
      <c r="I29" s="1" t="s">
        <v>75</v>
      </c>
      <c r="J29" s="1" t="s">
        <v>75</v>
      </c>
      <c r="K29" s="1" t="s">
        <v>75</v>
      </c>
      <c r="L29" s="1" t="s">
        <v>75</v>
      </c>
      <c r="M29" s="1" t="s">
        <v>75</v>
      </c>
      <c r="N29" s="1" t="s">
        <v>75</v>
      </c>
      <c r="O29" s="36" t="s">
        <v>108</v>
      </c>
    </row>
    <row r="30" spans="1:17" x14ac:dyDescent="0.25">
      <c r="A30" s="26">
        <v>8</v>
      </c>
      <c r="B30" s="1" t="s">
        <v>75</v>
      </c>
      <c r="C30" s="1" t="s">
        <v>75</v>
      </c>
      <c r="D30" s="1" t="s">
        <v>75</v>
      </c>
      <c r="E30" s="1" t="s">
        <v>75</v>
      </c>
      <c r="F30" s="1" t="s">
        <v>75</v>
      </c>
      <c r="G30" s="1" t="s">
        <v>75</v>
      </c>
      <c r="H30" s="1" t="s">
        <v>75</v>
      </c>
      <c r="I30" s="1" t="s">
        <v>75</v>
      </c>
      <c r="J30" s="1" t="s">
        <v>75</v>
      </c>
      <c r="K30" s="1" t="s">
        <v>75</v>
      </c>
      <c r="L30" s="1" t="s">
        <v>75</v>
      </c>
      <c r="M30" s="1" t="s">
        <v>75</v>
      </c>
      <c r="N30" s="1" t="s">
        <v>75</v>
      </c>
      <c r="O30" s="36" t="s">
        <v>109</v>
      </c>
    </row>
    <row r="31" spans="1:17" x14ac:dyDescent="0.25">
      <c r="A31" s="26">
        <v>7</v>
      </c>
      <c r="B31" s="1" t="s">
        <v>75</v>
      </c>
      <c r="C31" s="1" t="s">
        <v>75</v>
      </c>
      <c r="D31" s="1" t="s">
        <v>75</v>
      </c>
      <c r="E31" s="1" t="s">
        <v>75</v>
      </c>
      <c r="F31" s="1" t="s">
        <v>75</v>
      </c>
      <c r="G31" s="1" t="s">
        <v>75</v>
      </c>
      <c r="H31" s="1" t="s">
        <v>75</v>
      </c>
      <c r="I31" s="1" t="s">
        <v>75</v>
      </c>
      <c r="J31" s="1" t="s">
        <v>75</v>
      </c>
      <c r="K31" s="1" t="s">
        <v>75</v>
      </c>
      <c r="L31" s="1" t="s">
        <v>75</v>
      </c>
      <c r="M31" s="1" t="s">
        <v>75</v>
      </c>
      <c r="N31" s="1" t="s">
        <v>75</v>
      </c>
      <c r="O31" s="36" t="s">
        <v>110</v>
      </c>
    </row>
    <row r="32" spans="1:17" x14ac:dyDescent="0.25">
      <c r="A32" s="26">
        <v>6</v>
      </c>
      <c r="B32" s="1" t="s">
        <v>75</v>
      </c>
      <c r="C32" s="1" t="s">
        <v>75</v>
      </c>
      <c r="D32" s="1" t="s">
        <v>75</v>
      </c>
      <c r="E32" s="1" t="s">
        <v>75</v>
      </c>
      <c r="F32" s="1" t="s">
        <v>75</v>
      </c>
      <c r="G32" s="1" t="s">
        <v>75</v>
      </c>
      <c r="H32" s="1" t="s">
        <v>75</v>
      </c>
      <c r="I32" s="1" t="s">
        <v>75</v>
      </c>
      <c r="J32" s="1" t="s">
        <v>75</v>
      </c>
      <c r="K32" s="1" t="s">
        <v>75</v>
      </c>
      <c r="L32" s="1" t="s">
        <v>75</v>
      </c>
      <c r="M32" s="1" t="s">
        <v>75</v>
      </c>
      <c r="N32" s="1" t="s">
        <v>75</v>
      </c>
      <c r="O32" s="36" t="s">
        <v>111</v>
      </c>
    </row>
    <row r="33" spans="1:17" x14ac:dyDescent="0.25">
      <c r="A33" s="26">
        <v>5</v>
      </c>
      <c r="B33" s="1" t="s">
        <v>75</v>
      </c>
      <c r="C33" s="1" t="s">
        <v>75</v>
      </c>
      <c r="D33" s="1" t="s">
        <v>75</v>
      </c>
      <c r="E33" s="1" t="s">
        <v>75</v>
      </c>
      <c r="F33" s="1" t="s">
        <v>75</v>
      </c>
      <c r="G33" s="1" t="s">
        <v>75</v>
      </c>
      <c r="H33" s="1" t="s">
        <v>75</v>
      </c>
      <c r="I33" s="1" t="s">
        <v>75</v>
      </c>
      <c r="J33" s="1" t="s">
        <v>75</v>
      </c>
      <c r="K33" s="1" t="s">
        <v>75</v>
      </c>
      <c r="L33" s="1" t="s">
        <v>75</v>
      </c>
      <c r="M33" s="1" t="s">
        <v>75</v>
      </c>
      <c r="N33" s="1" t="s">
        <v>75</v>
      </c>
      <c r="O33" s="36" t="s">
        <v>112</v>
      </c>
    </row>
    <row r="34" spans="1:17" x14ac:dyDescent="0.25">
      <c r="A34" s="26">
        <v>4</v>
      </c>
      <c r="B34" s="1" t="s">
        <v>75</v>
      </c>
      <c r="C34" s="1" t="s">
        <v>75</v>
      </c>
      <c r="D34" s="1" t="s">
        <v>75</v>
      </c>
      <c r="E34" s="1" t="s">
        <v>75</v>
      </c>
      <c r="F34" s="1" t="s">
        <v>75</v>
      </c>
      <c r="G34" s="1" t="s">
        <v>75</v>
      </c>
      <c r="H34" s="1" t="s">
        <v>75</v>
      </c>
      <c r="I34" s="1" t="s">
        <v>75</v>
      </c>
      <c r="J34" s="1" t="s">
        <v>75</v>
      </c>
      <c r="K34" s="1" t="s">
        <v>75</v>
      </c>
      <c r="L34" s="1" t="s">
        <v>75</v>
      </c>
      <c r="M34" s="1" t="s">
        <v>75</v>
      </c>
      <c r="N34" s="1" t="s">
        <v>75</v>
      </c>
      <c r="O34" s="36" t="s">
        <v>113</v>
      </c>
    </row>
    <row r="35" spans="1:17" x14ac:dyDescent="0.25">
      <c r="A35" s="26">
        <v>3</v>
      </c>
      <c r="B35" s="1" t="s">
        <v>75</v>
      </c>
      <c r="C35" s="1" t="s">
        <v>75</v>
      </c>
      <c r="D35" s="1" t="s">
        <v>75</v>
      </c>
      <c r="E35" s="1" t="s">
        <v>75</v>
      </c>
      <c r="F35" s="1" t="s">
        <v>75</v>
      </c>
      <c r="G35" s="1" t="s">
        <v>75</v>
      </c>
      <c r="H35" s="1" t="s">
        <v>75</v>
      </c>
      <c r="I35" s="1" t="s">
        <v>75</v>
      </c>
      <c r="J35" s="1" t="s">
        <v>75</v>
      </c>
      <c r="K35" s="1" t="s">
        <v>75</v>
      </c>
      <c r="L35" s="1" t="s">
        <v>75</v>
      </c>
      <c r="M35" s="1" t="s">
        <v>75</v>
      </c>
      <c r="N35" s="1" t="s">
        <v>75</v>
      </c>
      <c r="O35" s="36" t="s">
        <v>113</v>
      </c>
    </row>
    <row r="36" spans="1:17" x14ac:dyDescent="0.25">
      <c r="A36" s="26">
        <v>2</v>
      </c>
      <c r="B36" s="1" t="s">
        <v>75</v>
      </c>
      <c r="C36" s="1" t="s">
        <v>75</v>
      </c>
      <c r="D36" s="1" t="s">
        <v>75</v>
      </c>
      <c r="E36" s="1" t="s">
        <v>75</v>
      </c>
      <c r="F36" s="1" t="s">
        <v>75</v>
      </c>
      <c r="G36" s="1" t="s">
        <v>75</v>
      </c>
      <c r="H36" s="1" t="s">
        <v>75</v>
      </c>
      <c r="I36" s="1" t="s">
        <v>75</v>
      </c>
      <c r="J36" s="1" t="s">
        <v>75</v>
      </c>
      <c r="K36" s="1" t="s">
        <v>75</v>
      </c>
      <c r="L36" s="1" t="s">
        <v>75</v>
      </c>
      <c r="M36" s="1" t="s">
        <v>75</v>
      </c>
      <c r="N36" s="1" t="s">
        <v>75</v>
      </c>
      <c r="O36" s="36" t="s">
        <v>113</v>
      </c>
    </row>
    <row r="37" spans="1:17" x14ac:dyDescent="0.25">
      <c r="A37" s="26">
        <v>1</v>
      </c>
      <c r="B37" s="1" t="s">
        <v>75</v>
      </c>
      <c r="C37" s="1" t="s">
        <v>75</v>
      </c>
      <c r="D37" s="1" t="s">
        <v>75</v>
      </c>
      <c r="E37" s="1" t="s">
        <v>75</v>
      </c>
      <c r="F37" s="1" t="s">
        <v>75</v>
      </c>
      <c r="G37" s="1" t="s">
        <v>75</v>
      </c>
      <c r="H37" s="1" t="s">
        <v>75</v>
      </c>
      <c r="I37" s="1" t="s">
        <v>75</v>
      </c>
      <c r="J37" s="1" t="s">
        <v>75</v>
      </c>
      <c r="K37" s="1" t="s">
        <v>75</v>
      </c>
      <c r="L37" s="1" t="s">
        <v>75</v>
      </c>
      <c r="M37" s="1" t="s">
        <v>75</v>
      </c>
      <c r="N37" s="1" t="s">
        <v>75</v>
      </c>
      <c r="O37" s="36" t="s">
        <v>113</v>
      </c>
    </row>
    <row r="38" spans="1:17" x14ac:dyDescent="0.25">
      <c r="A38" s="26">
        <v>0</v>
      </c>
      <c r="B38" s="1" t="s">
        <v>75</v>
      </c>
      <c r="C38" s="1" t="s">
        <v>75</v>
      </c>
      <c r="D38" s="1" t="s">
        <v>75</v>
      </c>
      <c r="E38" s="1" t="s">
        <v>75</v>
      </c>
      <c r="F38" s="1" t="s">
        <v>75</v>
      </c>
      <c r="G38" s="1" t="s">
        <v>75</v>
      </c>
      <c r="H38" s="1" t="s">
        <v>75</v>
      </c>
      <c r="I38" s="1" t="s">
        <v>75</v>
      </c>
      <c r="J38" s="1" t="s">
        <v>75</v>
      </c>
      <c r="K38" s="1" t="s">
        <v>75</v>
      </c>
      <c r="L38" s="1" t="s">
        <v>75</v>
      </c>
      <c r="M38" s="1" t="s">
        <v>75</v>
      </c>
      <c r="N38" s="1" t="s">
        <v>75</v>
      </c>
      <c r="O38" s="36" t="s">
        <v>113</v>
      </c>
    </row>
    <row r="40" spans="1:17" x14ac:dyDescent="0.25">
      <c r="A40" s="33" t="s">
        <v>114</v>
      </c>
      <c r="B40" s="33">
        <v>18</v>
      </c>
      <c r="C40" s="33" t="s">
        <v>115</v>
      </c>
      <c r="D40" s="33" t="s">
        <v>116</v>
      </c>
      <c r="E40" s="33" t="s">
        <v>117</v>
      </c>
      <c r="F40" s="33" t="s">
        <v>118</v>
      </c>
      <c r="G40" s="33"/>
      <c r="H40" s="33" t="s">
        <v>119</v>
      </c>
      <c r="I40" s="33">
        <v>18</v>
      </c>
      <c r="J40" s="33" t="s">
        <v>115</v>
      </c>
      <c r="K40" s="33" t="s">
        <v>116</v>
      </c>
      <c r="L40" s="33" t="s">
        <v>117</v>
      </c>
      <c r="M40" s="33" t="s">
        <v>77</v>
      </c>
      <c r="P40" s="37">
        <v>18</v>
      </c>
      <c r="Q40" s="37">
        <v>2</v>
      </c>
    </row>
    <row r="41" spans="1:17" x14ac:dyDescent="0.25">
      <c r="A41" s="26">
        <v>30</v>
      </c>
      <c r="B41" s="1">
        <v>102</v>
      </c>
      <c r="C41" s="1">
        <v>107</v>
      </c>
      <c r="D41" s="1">
        <v>116</v>
      </c>
      <c r="E41" s="1">
        <v>129</v>
      </c>
      <c r="F41" s="36" t="s">
        <v>120</v>
      </c>
      <c r="H41" s="26">
        <v>30</v>
      </c>
      <c r="I41" s="1">
        <v>102</v>
      </c>
      <c r="J41" s="1">
        <v>107</v>
      </c>
      <c r="K41" s="1">
        <v>115</v>
      </c>
      <c r="L41" s="1">
        <v>122</v>
      </c>
      <c r="M41" s="36" t="s">
        <v>120</v>
      </c>
      <c r="P41" s="37" t="s">
        <v>115</v>
      </c>
      <c r="Q41" s="37">
        <v>3</v>
      </c>
    </row>
    <row r="42" spans="1:17" x14ac:dyDescent="0.25">
      <c r="A42" s="26">
        <v>29</v>
      </c>
      <c r="B42" s="1">
        <v>97</v>
      </c>
      <c r="C42" s="1">
        <v>101</v>
      </c>
      <c r="D42" s="1">
        <v>110</v>
      </c>
      <c r="E42" s="1">
        <v>123</v>
      </c>
      <c r="F42" s="36" t="s">
        <v>88</v>
      </c>
      <c r="H42" s="26">
        <v>29</v>
      </c>
      <c r="I42" s="1">
        <v>97</v>
      </c>
      <c r="J42" s="1">
        <v>102</v>
      </c>
      <c r="K42" s="1">
        <v>109</v>
      </c>
      <c r="L42" s="1">
        <v>117</v>
      </c>
      <c r="M42" s="36" t="s">
        <v>140</v>
      </c>
      <c r="P42" s="37" t="s">
        <v>116</v>
      </c>
      <c r="Q42" s="37">
        <v>4</v>
      </c>
    </row>
    <row r="43" spans="1:17" x14ac:dyDescent="0.25">
      <c r="A43" s="26">
        <v>28</v>
      </c>
      <c r="B43" s="1">
        <v>94</v>
      </c>
      <c r="C43" s="1">
        <v>97</v>
      </c>
      <c r="D43" s="1">
        <v>106</v>
      </c>
      <c r="E43" s="1">
        <v>117</v>
      </c>
      <c r="F43" s="36" t="s">
        <v>121</v>
      </c>
      <c r="H43" s="26">
        <v>28</v>
      </c>
      <c r="I43" s="1">
        <v>93</v>
      </c>
      <c r="J43" s="1">
        <v>97</v>
      </c>
      <c r="K43" s="1">
        <v>106</v>
      </c>
      <c r="L43" s="1">
        <v>111</v>
      </c>
      <c r="M43" s="36" t="s">
        <v>121</v>
      </c>
      <c r="P43" s="37" t="s">
        <v>117</v>
      </c>
      <c r="Q43" s="37">
        <v>5</v>
      </c>
    </row>
    <row r="44" spans="1:17" x14ac:dyDescent="0.25">
      <c r="A44" s="26">
        <v>27</v>
      </c>
      <c r="B44" s="1">
        <v>89</v>
      </c>
      <c r="C44" s="1">
        <v>92</v>
      </c>
      <c r="D44" s="1">
        <v>100</v>
      </c>
      <c r="E44" s="1">
        <v>111</v>
      </c>
      <c r="F44" s="36" t="s">
        <v>122</v>
      </c>
      <c r="H44" s="26">
        <v>27</v>
      </c>
      <c r="I44" s="1">
        <v>89</v>
      </c>
      <c r="J44" s="1">
        <v>92</v>
      </c>
      <c r="K44" s="1">
        <v>100</v>
      </c>
      <c r="L44" s="1">
        <v>106</v>
      </c>
      <c r="M44" s="36" t="s">
        <v>141</v>
      </c>
      <c r="P44" s="35" t="str">
        <f>H2</f>
        <v>19-49</v>
      </c>
      <c r="Q44" s="35">
        <f>VLOOKUP(P44,P40:Q43,2,FALSE)</f>
        <v>3</v>
      </c>
    </row>
    <row r="45" spans="1:17" x14ac:dyDescent="0.25">
      <c r="A45" s="26">
        <v>26</v>
      </c>
      <c r="B45" s="1">
        <v>85</v>
      </c>
      <c r="C45" s="1">
        <v>86</v>
      </c>
      <c r="D45" s="1">
        <v>95</v>
      </c>
      <c r="E45" s="1">
        <v>106</v>
      </c>
      <c r="F45" s="36" t="s">
        <v>123</v>
      </c>
      <c r="H45" s="26">
        <v>26</v>
      </c>
      <c r="I45" s="1">
        <v>85</v>
      </c>
      <c r="J45" s="1">
        <v>86</v>
      </c>
      <c r="K45" s="1">
        <v>95</v>
      </c>
      <c r="L45" s="1">
        <v>100</v>
      </c>
      <c r="M45" s="36" t="s">
        <v>124</v>
      </c>
    </row>
    <row r="46" spans="1:17" x14ac:dyDescent="0.25">
      <c r="A46" s="26">
        <v>25</v>
      </c>
      <c r="B46" s="1">
        <v>82</v>
      </c>
      <c r="C46" s="1">
        <v>81</v>
      </c>
      <c r="D46" s="1">
        <v>90</v>
      </c>
      <c r="E46" s="1">
        <v>100</v>
      </c>
      <c r="F46" s="36" t="s">
        <v>124</v>
      </c>
      <c r="H46" s="26">
        <v>25</v>
      </c>
      <c r="I46" s="1">
        <v>81</v>
      </c>
      <c r="J46" s="1">
        <v>81</v>
      </c>
      <c r="K46" s="1">
        <v>90</v>
      </c>
      <c r="L46" s="1">
        <v>96</v>
      </c>
      <c r="M46" s="36" t="s">
        <v>125</v>
      </c>
      <c r="P46" s="1"/>
      <c r="Q46" s="1"/>
    </row>
    <row r="47" spans="1:17" x14ac:dyDescent="0.25">
      <c r="A47" s="26">
        <v>24</v>
      </c>
      <c r="B47" s="1">
        <v>77</v>
      </c>
      <c r="C47" s="1">
        <v>76</v>
      </c>
      <c r="D47" s="1">
        <v>84</v>
      </c>
      <c r="E47" s="1">
        <v>95</v>
      </c>
      <c r="F47" s="36" t="s">
        <v>125</v>
      </c>
      <c r="H47" s="26">
        <v>24</v>
      </c>
      <c r="I47" s="1">
        <v>77</v>
      </c>
      <c r="J47" s="1">
        <v>76</v>
      </c>
      <c r="K47" s="1">
        <v>85</v>
      </c>
      <c r="L47" s="1">
        <v>90</v>
      </c>
      <c r="M47" s="36" t="s">
        <v>142</v>
      </c>
      <c r="P47" s="1"/>
      <c r="Q47" s="1"/>
    </row>
    <row r="48" spans="1:17" x14ac:dyDescent="0.25">
      <c r="A48" s="26">
        <v>23</v>
      </c>
      <c r="B48" s="1">
        <v>73</v>
      </c>
      <c r="C48" s="1">
        <v>72</v>
      </c>
      <c r="D48" s="1">
        <v>79</v>
      </c>
      <c r="E48" s="1">
        <v>89</v>
      </c>
      <c r="F48" s="36" t="s">
        <v>126</v>
      </c>
      <c r="H48" s="26">
        <v>23</v>
      </c>
      <c r="I48" s="1">
        <v>73</v>
      </c>
      <c r="J48" s="1">
        <v>71</v>
      </c>
      <c r="K48" s="1">
        <v>80</v>
      </c>
      <c r="L48" s="1">
        <v>85</v>
      </c>
      <c r="M48" s="36" t="s">
        <v>126</v>
      </c>
      <c r="P48" s="1"/>
      <c r="Q48" s="1"/>
    </row>
    <row r="49" spans="1:17" x14ac:dyDescent="0.25">
      <c r="A49" s="26">
        <v>22</v>
      </c>
      <c r="B49" s="1">
        <v>68</v>
      </c>
      <c r="C49" s="1">
        <v>58</v>
      </c>
      <c r="D49" s="1">
        <v>69</v>
      </c>
      <c r="E49" s="1">
        <v>79</v>
      </c>
      <c r="F49" s="36" t="s">
        <v>127</v>
      </c>
      <c r="H49" s="26">
        <v>22</v>
      </c>
      <c r="I49" s="1">
        <v>70</v>
      </c>
      <c r="J49" s="1">
        <v>64</v>
      </c>
      <c r="K49" s="1">
        <v>74</v>
      </c>
      <c r="L49" s="1">
        <v>80</v>
      </c>
      <c r="M49" s="36" t="s">
        <v>127</v>
      </c>
      <c r="P49" s="1"/>
      <c r="Q49" s="1"/>
    </row>
    <row r="50" spans="1:17" x14ac:dyDescent="0.25">
      <c r="A50" s="26">
        <v>21</v>
      </c>
      <c r="B50" s="1">
        <v>63</v>
      </c>
      <c r="C50" s="1">
        <v>51</v>
      </c>
      <c r="D50" s="1">
        <v>59</v>
      </c>
      <c r="E50" s="1">
        <v>73</v>
      </c>
      <c r="F50" s="36" t="s">
        <v>128</v>
      </c>
      <c r="H50" s="26">
        <v>21</v>
      </c>
      <c r="I50" s="1">
        <v>64</v>
      </c>
      <c r="J50" s="1">
        <v>56</v>
      </c>
      <c r="K50" s="1">
        <v>69</v>
      </c>
      <c r="L50" s="1">
        <v>75</v>
      </c>
      <c r="M50" s="36" t="s">
        <v>128</v>
      </c>
      <c r="P50" s="1"/>
      <c r="Q50" s="1"/>
    </row>
    <row r="51" spans="1:17" x14ac:dyDescent="0.25">
      <c r="A51" s="26">
        <v>20</v>
      </c>
      <c r="B51" s="1">
        <v>57</v>
      </c>
      <c r="C51" s="1">
        <v>45</v>
      </c>
      <c r="D51" s="1">
        <v>54</v>
      </c>
      <c r="E51" s="1">
        <v>66</v>
      </c>
      <c r="F51" s="36" t="s">
        <v>129</v>
      </c>
      <c r="H51" s="26">
        <v>20</v>
      </c>
      <c r="I51" s="1">
        <v>58</v>
      </c>
      <c r="J51" s="1">
        <v>47</v>
      </c>
      <c r="K51" s="1">
        <v>59</v>
      </c>
      <c r="L51" s="1">
        <v>70</v>
      </c>
      <c r="M51" s="36" t="s">
        <v>129</v>
      </c>
    </row>
    <row r="52" spans="1:17" x14ac:dyDescent="0.25">
      <c r="A52" s="26">
        <v>19</v>
      </c>
      <c r="B52" s="1">
        <v>54</v>
      </c>
      <c r="C52" s="1" t="s">
        <v>75</v>
      </c>
      <c r="D52" s="1">
        <v>45</v>
      </c>
      <c r="E52" s="1">
        <v>57</v>
      </c>
      <c r="F52" s="36" t="s">
        <v>130</v>
      </c>
      <c r="H52" s="26">
        <v>19</v>
      </c>
      <c r="I52" s="1">
        <v>52</v>
      </c>
      <c r="J52" s="1">
        <v>45</v>
      </c>
      <c r="K52" s="1">
        <v>54</v>
      </c>
      <c r="L52" s="1">
        <v>61</v>
      </c>
      <c r="M52" s="36" t="s">
        <v>130</v>
      </c>
    </row>
    <row r="53" spans="1:17" x14ac:dyDescent="0.25">
      <c r="A53" s="26">
        <v>18</v>
      </c>
      <c r="B53" s="1">
        <v>45</v>
      </c>
      <c r="C53" s="1" t="s">
        <v>75</v>
      </c>
      <c r="D53" s="1" t="s">
        <v>75</v>
      </c>
      <c r="E53" s="1">
        <v>47</v>
      </c>
      <c r="F53" s="36" t="s">
        <v>131</v>
      </c>
      <c r="H53" s="26">
        <v>18</v>
      </c>
      <c r="I53" s="1">
        <v>45</v>
      </c>
      <c r="J53" s="1" t="s">
        <v>75</v>
      </c>
      <c r="K53" s="1">
        <v>45</v>
      </c>
      <c r="L53" s="1">
        <v>56</v>
      </c>
      <c r="M53" s="36" t="s">
        <v>131</v>
      </c>
    </row>
    <row r="54" spans="1:17" x14ac:dyDescent="0.25">
      <c r="A54" s="26">
        <v>17</v>
      </c>
      <c r="B54" s="1" t="s">
        <v>75</v>
      </c>
      <c r="C54" s="1" t="s">
        <v>75</v>
      </c>
      <c r="D54" s="1" t="s">
        <v>75</v>
      </c>
      <c r="E54" s="1">
        <v>45</v>
      </c>
      <c r="F54" s="36" t="s">
        <v>132</v>
      </c>
      <c r="H54" s="26">
        <v>17</v>
      </c>
      <c r="I54" s="1" t="s">
        <v>75</v>
      </c>
      <c r="J54" s="1" t="s">
        <v>75</v>
      </c>
      <c r="K54" s="1" t="s">
        <v>75</v>
      </c>
      <c r="L54" s="1">
        <v>45</v>
      </c>
      <c r="M54" s="36" t="s">
        <v>101</v>
      </c>
    </row>
    <row r="55" spans="1:17" x14ac:dyDescent="0.25">
      <c r="A55" s="26">
        <v>16</v>
      </c>
      <c r="B55" s="1" t="s">
        <v>75</v>
      </c>
      <c r="C55" s="1" t="s">
        <v>75</v>
      </c>
      <c r="D55" s="1" t="s">
        <v>75</v>
      </c>
      <c r="E55" s="1" t="s">
        <v>75</v>
      </c>
      <c r="F55" s="36" t="s">
        <v>133</v>
      </c>
      <c r="H55" s="26">
        <v>16</v>
      </c>
      <c r="I55" s="1" t="s">
        <v>75</v>
      </c>
      <c r="J55" s="1" t="s">
        <v>75</v>
      </c>
      <c r="K55" s="1" t="s">
        <v>75</v>
      </c>
      <c r="L55" s="1" t="s">
        <v>75</v>
      </c>
      <c r="M55" s="36" t="s">
        <v>143</v>
      </c>
    </row>
    <row r="56" spans="1:17" x14ac:dyDescent="0.25">
      <c r="A56" s="26">
        <v>15</v>
      </c>
      <c r="B56" s="1" t="s">
        <v>75</v>
      </c>
      <c r="C56" s="1" t="s">
        <v>75</v>
      </c>
      <c r="D56" s="1" t="s">
        <v>75</v>
      </c>
      <c r="E56" s="1" t="s">
        <v>75</v>
      </c>
      <c r="F56" s="36" t="s">
        <v>134</v>
      </c>
      <c r="H56" s="26">
        <v>15</v>
      </c>
      <c r="I56" s="1" t="s">
        <v>75</v>
      </c>
      <c r="J56" s="1" t="s">
        <v>75</v>
      </c>
      <c r="K56" s="1" t="s">
        <v>75</v>
      </c>
      <c r="L56" s="1" t="s">
        <v>75</v>
      </c>
      <c r="M56" s="36" t="s">
        <v>144</v>
      </c>
    </row>
    <row r="57" spans="1:17" x14ac:dyDescent="0.25">
      <c r="A57" s="26">
        <v>14</v>
      </c>
      <c r="B57" s="1" t="s">
        <v>75</v>
      </c>
      <c r="C57" s="1" t="s">
        <v>75</v>
      </c>
      <c r="D57" s="1" t="s">
        <v>75</v>
      </c>
      <c r="E57" s="1" t="s">
        <v>75</v>
      </c>
      <c r="F57" s="36" t="s">
        <v>96</v>
      </c>
      <c r="H57" s="26">
        <v>14</v>
      </c>
      <c r="I57" s="1" t="s">
        <v>75</v>
      </c>
      <c r="J57" s="1" t="s">
        <v>75</v>
      </c>
      <c r="K57" s="1" t="s">
        <v>75</v>
      </c>
      <c r="L57" s="1" t="s">
        <v>75</v>
      </c>
      <c r="M57" s="36" t="s">
        <v>145</v>
      </c>
    </row>
    <row r="58" spans="1:17" x14ac:dyDescent="0.25">
      <c r="A58" s="26">
        <v>13</v>
      </c>
      <c r="B58" s="1" t="s">
        <v>75</v>
      </c>
      <c r="C58" s="1" t="s">
        <v>75</v>
      </c>
      <c r="D58" s="1" t="s">
        <v>75</v>
      </c>
      <c r="E58" s="1" t="s">
        <v>75</v>
      </c>
      <c r="F58" s="36" t="s">
        <v>107</v>
      </c>
      <c r="H58" s="26">
        <v>13</v>
      </c>
      <c r="I58" s="1" t="s">
        <v>75</v>
      </c>
      <c r="J58" s="1" t="s">
        <v>75</v>
      </c>
      <c r="K58" s="1" t="s">
        <v>75</v>
      </c>
      <c r="L58" s="1" t="s">
        <v>75</v>
      </c>
      <c r="M58" s="36" t="s">
        <v>107</v>
      </c>
    </row>
    <row r="59" spans="1:17" x14ac:dyDescent="0.25">
      <c r="A59" s="26">
        <v>12</v>
      </c>
      <c r="B59" s="1" t="s">
        <v>75</v>
      </c>
      <c r="C59" s="1" t="s">
        <v>75</v>
      </c>
      <c r="D59" s="1" t="s">
        <v>75</v>
      </c>
      <c r="E59" s="1" t="s">
        <v>75</v>
      </c>
      <c r="F59" s="36" t="s">
        <v>135</v>
      </c>
      <c r="H59" s="26">
        <v>12</v>
      </c>
      <c r="I59" s="1" t="s">
        <v>75</v>
      </c>
      <c r="J59" s="1" t="s">
        <v>75</v>
      </c>
      <c r="K59" s="1" t="s">
        <v>75</v>
      </c>
      <c r="L59" s="1" t="s">
        <v>75</v>
      </c>
      <c r="M59" s="36" t="s">
        <v>135</v>
      </c>
    </row>
    <row r="60" spans="1:17" x14ac:dyDescent="0.25">
      <c r="A60" s="26">
        <v>11</v>
      </c>
      <c r="B60" s="1" t="s">
        <v>75</v>
      </c>
      <c r="C60" s="1" t="s">
        <v>75</v>
      </c>
      <c r="D60" s="1" t="s">
        <v>75</v>
      </c>
      <c r="E60" s="1" t="s">
        <v>75</v>
      </c>
      <c r="F60" s="36" t="s">
        <v>136</v>
      </c>
      <c r="H60" s="26">
        <v>11</v>
      </c>
      <c r="I60" s="1" t="s">
        <v>75</v>
      </c>
      <c r="J60" s="1" t="s">
        <v>75</v>
      </c>
      <c r="K60" s="1" t="s">
        <v>75</v>
      </c>
      <c r="L60" s="1" t="s">
        <v>75</v>
      </c>
      <c r="M60" s="36" t="s">
        <v>136</v>
      </c>
    </row>
    <row r="61" spans="1:17" x14ac:dyDescent="0.25">
      <c r="A61" s="26">
        <v>10</v>
      </c>
      <c r="B61" s="1" t="s">
        <v>75</v>
      </c>
      <c r="C61" s="1" t="s">
        <v>75</v>
      </c>
      <c r="D61" s="1" t="s">
        <v>75</v>
      </c>
      <c r="E61" s="1" t="s">
        <v>75</v>
      </c>
      <c r="F61" s="36" t="s">
        <v>109</v>
      </c>
      <c r="H61" s="26">
        <v>10</v>
      </c>
      <c r="I61" s="1" t="s">
        <v>75</v>
      </c>
      <c r="J61" s="1" t="s">
        <v>75</v>
      </c>
      <c r="K61" s="1" t="s">
        <v>75</v>
      </c>
      <c r="L61" s="1" t="s">
        <v>75</v>
      </c>
      <c r="M61" s="36" t="s">
        <v>109</v>
      </c>
    </row>
    <row r="62" spans="1:17" x14ac:dyDescent="0.25">
      <c r="A62" s="26">
        <v>9</v>
      </c>
      <c r="B62" s="1" t="s">
        <v>75</v>
      </c>
      <c r="C62" s="1" t="s">
        <v>75</v>
      </c>
      <c r="D62" s="1" t="s">
        <v>75</v>
      </c>
      <c r="E62" s="1" t="s">
        <v>75</v>
      </c>
      <c r="F62" s="36" t="s">
        <v>137</v>
      </c>
      <c r="H62" s="26">
        <v>9</v>
      </c>
      <c r="I62" s="1" t="s">
        <v>75</v>
      </c>
      <c r="J62" s="1" t="s">
        <v>75</v>
      </c>
      <c r="K62" s="1" t="s">
        <v>75</v>
      </c>
      <c r="L62" s="1" t="s">
        <v>75</v>
      </c>
      <c r="M62" s="36" t="s">
        <v>137</v>
      </c>
    </row>
    <row r="63" spans="1:17" x14ac:dyDescent="0.25">
      <c r="A63" s="26">
        <v>8</v>
      </c>
      <c r="B63" s="1" t="s">
        <v>75</v>
      </c>
      <c r="C63" s="1" t="s">
        <v>75</v>
      </c>
      <c r="D63" s="1" t="s">
        <v>75</v>
      </c>
      <c r="E63" s="1" t="s">
        <v>75</v>
      </c>
      <c r="F63" s="36" t="s">
        <v>138</v>
      </c>
      <c r="H63" s="26">
        <v>8</v>
      </c>
      <c r="I63" s="1" t="s">
        <v>75</v>
      </c>
      <c r="J63" s="1" t="s">
        <v>75</v>
      </c>
      <c r="K63" s="1" t="s">
        <v>75</v>
      </c>
      <c r="L63" s="1" t="s">
        <v>75</v>
      </c>
      <c r="M63" s="36" t="s">
        <v>138</v>
      </c>
    </row>
    <row r="64" spans="1:17" x14ac:dyDescent="0.25">
      <c r="A64" s="26">
        <v>7</v>
      </c>
      <c r="B64" s="1" t="s">
        <v>75</v>
      </c>
      <c r="C64" s="1" t="s">
        <v>75</v>
      </c>
      <c r="D64" s="1" t="s">
        <v>75</v>
      </c>
      <c r="E64" s="1" t="s">
        <v>75</v>
      </c>
      <c r="F64" s="36" t="s">
        <v>139</v>
      </c>
      <c r="H64" s="26">
        <v>7</v>
      </c>
      <c r="I64" s="1" t="s">
        <v>75</v>
      </c>
      <c r="J64" s="1" t="s">
        <v>75</v>
      </c>
      <c r="K64" s="1" t="s">
        <v>75</v>
      </c>
      <c r="L64" s="1" t="s">
        <v>75</v>
      </c>
      <c r="M64" s="36" t="s">
        <v>139</v>
      </c>
    </row>
    <row r="65" spans="1:13" x14ac:dyDescent="0.25">
      <c r="A65" s="26">
        <v>6</v>
      </c>
      <c r="B65" s="1" t="s">
        <v>75</v>
      </c>
      <c r="C65" s="1" t="s">
        <v>75</v>
      </c>
      <c r="D65" s="1" t="s">
        <v>75</v>
      </c>
      <c r="E65" s="1" t="s">
        <v>75</v>
      </c>
      <c r="F65" s="36" t="s">
        <v>139</v>
      </c>
      <c r="H65" s="26">
        <v>6</v>
      </c>
      <c r="I65" s="1" t="s">
        <v>75</v>
      </c>
      <c r="J65" s="1" t="s">
        <v>75</v>
      </c>
      <c r="K65" s="1" t="s">
        <v>75</v>
      </c>
      <c r="L65" s="1" t="s">
        <v>75</v>
      </c>
      <c r="M65" s="36" t="s">
        <v>139</v>
      </c>
    </row>
    <row r="66" spans="1:13" x14ac:dyDescent="0.25">
      <c r="A66" s="26">
        <v>5</v>
      </c>
      <c r="B66" s="1" t="s">
        <v>75</v>
      </c>
      <c r="C66" s="1" t="s">
        <v>75</v>
      </c>
      <c r="D66" s="1" t="s">
        <v>75</v>
      </c>
      <c r="E66" s="1" t="s">
        <v>75</v>
      </c>
      <c r="F66" s="36" t="s">
        <v>139</v>
      </c>
      <c r="H66" s="26">
        <v>5</v>
      </c>
      <c r="I66" s="1" t="s">
        <v>75</v>
      </c>
      <c r="J66" s="1" t="s">
        <v>75</v>
      </c>
      <c r="K66" s="1" t="s">
        <v>75</v>
      </c>
      <c r="L66" s="1" t="s">
        <v>75</v>
      </c>
      <c r="M66" s="36" t="s">
        <v>139</v>
      </c>
    </row>
    <row r="67" spans="1:13" x14ac:dyDescent="0.25">
      <c r="A67" s="26">
        <v>4</v>
      </c>
      <c r="B67" s="1" t="s">
        <v>75</v>
      </c>
      <c r="C67" s="1" t="s">
        <v>75</v>
      </c>
      <c r="D67" s="1" t="s">
        <v>75</v>
      </c>
      <c r="E67" s="1" t="s">
        <v>75</v>
      </c>
      <c r="F67" s="36" t="s">
        <v>139</v>
      </c>
      <c r="H67" s="26">
        <v>4</v>
      </c>
      <c r="I67" s="1" t="s">
        <v>75</v>
      </c>
      <c r="J67" s="1" t="s">
        <v>75</v>
      </c>
      <c r="K67" s="1" t="s">
        <v>75</v>
      </c>
      <c r="L67" s="1" t="s">
        <v>75</v>
      </c>
      <c r="M67" s="36" t="s">
        <v>139</v>
      </c>
    </row>
    <row r="68" spans="1:13" x14ac:dyDescent="0.25">
      <c r="A68" s="26">
        <v>3</v>
      </c>
      <c r="B68" s="1" t="s">
        <v>75</v>
      </c>
      <c r="C68" s="1" t="s">
        <v>75</v>
      </c>
      <c r="D68" s="1" t="s">
        <v>75</v>
      </c>
      <c r="E68" s="1" t="s">
        <v>75</v>
      </c>
      <c r="F68" s="36" t="s">
        <v>139</v>
      </c>
      <c r="H68" s="26">
        <v>3</v>
      </c>
      <c r="I68" s="1" t="s">
        <v>75</v>
      </c>
      <c r="J68" s="1" t="s">
        <v>75</v>
      </c>
      <c r="K68" s="1" t="s">
        <v>75</v>
      </c>
      <c r="L68" s="1" t="s">
        <v>75</v>
      </c>
      <c r="M68" s="36" t="s">
        <v>139</v>
      </c>
    </row>
    <row r="69" spans="1:13" x14ac:dyDescent="0.25">
      <c r="A69" s="26">
        <v>2</v>
      </c>
      <c r="B69" s="1" t="s">
        <v>75</v>
      </c>
      <c r="C69" s="1" t="s">
        <v>75</v>
      </c>
      <c r="D69" s="1" t="s">
        <v>75</v>
      </c>
      <c r="E69" s="1" t="s">
        <v>75</v>
      </c>
      <c r="F69" s="36" t="s">
        <v>139</v>
      </c>
      <c r="H69" s="26">
        <v>2</v>
      </c>
      <c r="I69" s="1" t="s">
        <v>75</v>
      </c>
      <c r="J69" s="1" t="s">
        <v>75</v>
      </c>
      <c r="K69" s="1" t="s">
        <v>75</v>
      </c>
      <c r="L69" s="1" t="s">
        <v>75</v>
      </c>
      <c r="M69" s="36" t="s">
        <v>139</v>
      </c>
    </row>
    <row r="70" spans="1:13" x14ac:dyDescent="0.25">
      <c r="A70" s="26">
        <v>1</v>
      </c>
      <c r="B70" s="1" t="s">
        <v>75</v>
      </c>
      <c r="C70" s="1" t="s">
        <v>75</v>
      </c>
      <c r="D70" s="1" t="s">
        <v>75</v>
      </c>
      <c r="E70" s="1" t="s">
        <v>75</v>
      </c>
      <c r="F70" s="36" t="s">
        <v>139</v>
      </c>
      <c r="H70" s="26">
        <v>1</v>
      </c>
      <c r="I70" s="1" t="s">
        <v>75</v>
      </c>
      <c r="J70" s="1" t="s">
        <v>75</v>
      </c>
      <c r="K70" s="1" t="s">
        <v>75</v>
      </c>
      <c r="L70" s="1" t="s">
        <v>75</v>
      </c>
      <c r="M70" s="36" t="s">
        <v>139</v>
      </c>
    </row>
    <row r="71" spans="1:13" x14ac:dyDescent="0.25">
      <c r="A71" s="26">
        <v>0</v>
      </c>
      <c r="B71" s="1" t="s">
        <v>75</v>
      </c>
      <c r="C71" s="1" t="s">
        <v>75</v>
      </c>
      <c r="D71" s="1" t="s">
        <v>75</v>
      </c>
      <c r="E71" s="1" t="s">
        <v>75</v>
      </c>
      <c r="F71" s="36" t="s">
        <v>139</v>
      </c>
      <c r="H71" s="26">
        <v>0</v>
      </c>
      <c r="I71" s="1" t="s">
        <v>75</v>
      </c>
      <c r="J71" s="1" t="s">
        <v>75</v>
      </c>
      <c r="K71" s="1" t="s">
        <v>75</v>
      </c>
      <c r="L71" s="1" t="s">
        <v>75</v>
      </c>
      <c r="M71" s="36" t="s">
        <v>139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workbookViewId="0">
      <selection activeCell="B27" sqref="B27"/>
    </sheetView>
  </sheetViews>
  <sheetFormatPr defaultRowHeight="15" x14ac:dyDescent="0.25"/>
  <cols>
    <col min="1" max="1" width="18.140625" style="1" customWidth="1"/>
    <col min="2" max="2" width="10.42578125" customWidth="1"/>
    <col min="3" max="3" width="12" customWidth="1"/>
    <col min="4" max="4" width="20.7109375" customWidth="1"/>
  </cols>
  <sheetData>
    <row r="1" spans="1:4" x14ac:dyDescent="0.25">
      <c r="A1" s="1" t="s">
        <v>40</v>
      </c>
      <c r="B1" s="1" t="s">
        <v>41</v>
      </c>
      <c r="C1" s="1" t="s">
        <v>18</v>
      </c>
      <c r="D1" s="1" t="s">
        <v>42</v>
      </c>
    </row>
    <row r="2" spans="1:4" x14ac:dyDescent="0.25">
      <c r="A2" s="1">
        <v>30</v>
      </c>
      <c r="B2" s="1">
        <v>38</v>
      </c>
      <c r="C2" s="1" t="s">
        <v>44</v>
      </c>
      <c r="D2" s="1" t="s">
        <v>45</v>
      </c>
    </row>
    <row r="3" spans="1:4" x14ac:dyDescent="0.25">
      <c r="A3" s="1">
        <v>29</v>
      </c>
      <c r="B3" s="1">
        <v>38</v>
      </c>
      <c r="C3" s="1" t="s">
        <v>44</v>
      </c>
      <c r="D3" s="1" t="s">
        <v>45</v>
      </c>
    </row>
    <row r="4" spans="1:4" x14ac:dyDescent="0.25">
      <c r="A4" s="1">
        <v>28</v>
      </c>
      <c r="B4" s="1">
        <v>22</v>
      </c>
      <c r="C4" s="1">
        <v>72</v>
      </c>
      <c r="D4" s="1" t="s">
        <v>46</v>
      </c>
    </row>
    <row r="5" spans="1:4" x14ac:dyDescent="0.25">
      <c r="A5" s="1">
        <v>27</v>
      </c>
      <c r="B5" s="1">
        <v>22</v>
      </c>
      <c r="C5" s="1">
        <v>72</v>
      </c>
      <c r="D5" s="1" t="s">
        <v>46</v>
      </c>
    </row>
    <row r="6" spans="1:4" x14ac:dyDescent="0.25">
      <c r="A6" s="1">
        <v>26</v>
      </c>
      <c r="B6" s="1">
        <v>22</v>
      </c>
      <c r="C6" s="1">
        <v>56</v>
      </c>
      <c r="D6" s="1" t="s">
        <v>47</v>
      </c>
    </row>
    <row r="7" spans="1:4" x14ac:dyDescent="0.25">
      <c r="A7" s="1">
        <v>25</v>
      </c>
      <c r="B7" s="1">
        <v>22</v>
      </c>
      <c r="C7" s="1">
        <v>56</v>
      </c>
      <c r="D7" s="1" t="s">
        <v>47</v>
      </c>
    </row>
    <row r="8" spans="1:4" x14ac:dyDescent="0.25">
      <c r="A8" s="1">
        <v>24</v>
      </c>
      <c r="B8" s="1">
        <v>25</v>
      </c>
      <c r="C8" s="1">
        <v>40</v>
      </c>
      <c r="D8" s="1" t="s">
        <v>47</v>
      </c>
    </row>
    <row r="9" spans="1:4" x14ac:dyDescent="0.25">
      <c r="A9" s="1">
        <v>23</v>
      </c>
      <c r="B9" s="1">
        <v>25</v>
      </c>
      <c r="C9" s="1">
        <v>40</v>
      </c>
      <c r="D9" s="1" t="s">
        <v>47</v>
      </c>
    </row>
    <row r="10" spans="1:4" x14ac:dyDescent="0.25">
      <c r="A10" s="1">
        <v>22</v>
      </c>
      <c r="B10" s="1">
        <v>18</v>
      </c>
      <c r="C10" s="1">
        <v>22</v>
      </c>
      <c r="D10" s="1" t="s">
        <v>48</v>
      </c>
    </row>
    <row r="11" spans="1:4" x14ac:dyDescent="0.25">
      <c r="A11" s="1">
        <v>21</v>
      </c>
      <c r="B11" s="1">
        <v>18</v>
      </c>
      <c r="C11" s="1">
        <v>22</v>
      </c>
      <c r="D11" s="1" t="s">
        <v>48</v>
      </c>
    </row>
    <row r="12" spans="1:4" x14ac:dyDescent="0.25">
      <c r="A12" s="1">
        <v>20</v>
      </c>
      <c r="B12" s="1">
        <v>7</v>
      </c>
      <c r="C12" s="1">
        <v>9</v>
      </c>
      <c r="D12" s="1" t="s">
        <v>49</v>
      </c>
    </row>
    <row r="13" spans="1:4" x14ac:dyDescent="0.25">
      <c r="A13" s="1">
        <v>19</v>
      </c>
      <c r="B13" s="1">
        <v>7</v>
      </c>
      <c r="C13" s="1">
        <v>9</v>
      </c>
      <c r="D13" s="1" t="s">
        <v>49</v>
      </c>
    </row>
    <row r="14" spans="1:4" x14ac:dyDescent="0.25">
      <c r="A14" s="1">
        <v>18</v>
      </c>
      <c r="B14" s="1">
        <v>3</v>
      </c>
      <c r="C14" s="1">
        <v>4</v>
      </c>
      <c r="D14" s="1" t="s">
        <v>50</v>
      </c>
    </row>
    <row r="15" spans="1:4" x14ac:dyDescent="0.25">
      <c r="A15" s="1">
        <v>17</v>
      </c>
      <c r="B15" s="1">
        <v>3</v>
      </c>
      <c r="C15" s="1">
        <v>4</v>
      </c>
      <c r="D15" s="1" t="s">
        <v>50</v>
      </c>
    </row>
    <row r="16" spans="1:4" x14ac:dyDescent="0.25">
      <c r="A16" s="1" t="s">
        <v>43</v>
      </c>
      <c r="B16" s="1">
        <v>2</v>
      </c>
      <c r="C16" s="1">
        <v>1.5</v>
      </c>
      <c r="D16" s="1" t="s">
        <v>51</v>
      </c>
    </row>
    <row r="18" spans="1:3" x14ac:dyDescent="0.25">
      <c r="A18" s="25" t="s">
        <v>56</v>
      </c>
      <c r="B18">
        <f>IF('Scores Summary'!C10="","",'Scores Summary'!C10)</f>
        <v>41</v>
      </c>
      <c r="C18" s="25"/>
    </row>
    <row r="19" spans="1:3" x14ac:dyDescent="0.25">
      <c r="A19" s="25" t="s">
        <v>57</v>
      </c>
      <c r="B19" t="str">
        <f>IF('Scores Summary'!H9="","",'Scores Summary'!H9)</f>
        <v/>
      </c>
      <c r="C19" s="25"/>
    </row>
    <row r="21" spans="1:3" x14ac:dyDescent="0.25">
      <c r="A21" s="25" t="s">
        <v>52</v>
      </c>
      <c r="B21" s="128" t="str">
        <f>IF('Scores Summary'!D23="","",'Scores Summary'!D23)</f>
        <v/>
      </c>
      <c r="C21" s="128"/>
    </row>
    <row r="22" spans="1:3" x14ac:dyDescent="0.25">
      <c r="A22" s="25" t="s">
        <v>53</v>
      </c>
      <c r="B22" s="30" t="s">
        <v>58</v>
      </c>
      <c r="C22" s="31">
        <f>IF(B18="",0,IF(B18&gt;=65,3,IF(B18&gt;=50,1,0)))</f>
        <v>0</v>
      </c>
    </row>
    <row r="23" spans="1:3" x14ac:dyDescent="0.25">
      <c r="A23" s="25" t="s">
        <v>54</v>
      </c>
      <c r="B23" s="30" t="s">
        <v>58</v>
      </c>
      <c r="C23" s="31">
        <f>IF(B19="",0,IF(B19="Female",2,0))</f>
        <v>0</v>
      </c>
    </row>
    <row r="24" spans="1:3" x14ac:dyDescent="0.25">
      <c r="A24" s="25" t="s">
        <v>55</v>
      </c>
      <c r="B24" s="115" t="str">
        <f>IF(SUM(B21,C22,C23)&lt;17,"&lt;17",IF(SUM(B21,C22,C23)&gt;30,30,SUM(B21,C22,C23)))</f>
        <v>&lt;17</v>
      </c>
      <c r="C24" s="115"/>
    </row>
    <row r="25" spans="1:3" x14ac:dyDescent="0.25">
      <c r="A25" s="1" t="s">
        <v>18</v>
      </c>
      <c r="B25" s="115">
        <f>IF(B24="","",VLOOKUP(B24,A1:D16,3,FALSE))</f>
        <v>1.5</v>
      </c>
      <c r="C25" s="115"/>
    </row>
    <row r="26" spans="1:3" x14ac:dyDescent="0.25">
      <c r="A26" s="1" t="s">
        <v>38</v>
      </c>
      <c r="B26" s="115" t="str">
        <f>IF(B25="","",VLOOKUP(B25,C1:D16,2,FALSE))</f>
        <v>Severely Defective</v>
      </c>
      <c r="C26" s="115"/>
    </row>
  </sheetData>
  <sheetProtection sheet="1" objects="1" scenarios="1"/>
  <mergeCells count="4">
    <mergeCell ref="B21:C21"/>
    <mergeCell ref="B24:C24"/>
    <mergeCell ref="B25:C25"/>
    <mergeCell ref="B26:C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5"/>
  <sheetViews>
    <sheetView workbookViewId="0">
      <selection activeCell="I24" sqref="I24:K24"/>
    </sheetView>
  </sheetViews>
  <sheetFormatPr defaultRowHeight="15" x14ac:dyDescent="0.25"/>
  <cols>
    <col min="2" max="22" width="5.7109375" style="1" customWidth="1"/>
  </cols>
  <sheetData>
    <row r="1" spans="1:22" x14ac:dyDescent="0.25"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</row>
    <row r="2" spans="1:22" x14ac:dyDescent="0.25">
      <c r="A2" s="3">
        <v>15</v>
      </c>
      <c r="B2" s="1">
        <v>79</v>
      </c>
      <c r="C2" s="1">
        <v>81</v>
      </c>
      <c r="D2" s="1">
        <v>83</v>
      </c>
      <c r="E2" s="1">
        <v>85</v>
      </c>
      <c r="F2" s="1">
        <v>87</v>
      </c>
      <c r="G2" s="1">
        <v>89</v>
      </c>
      <c r="H2" s="1">
        <v>91</v>
      </c>
      <c r="I2" s="1">
        <v>93</v>
      </c>
      <c r="J2" s="1">
        <v>95</v>
      </c>
      <c r="K2" s="1">
        <v>97</v>
      </c>
      <c r="L2" s="1">
        <v>98</v>
      </c>
      <c r="M2" s="1">
        <v>100</v>
      </c>
      <c r="N2" s="1">
        <v>102</v>
      </c>
      <c r="O2" s="1">
        <v>104</v>
      </c>
      <c r="P2" s="1">
        <v>106</v>
      </c>
      <c r="Q2" s="1">
        <v>108</v>
      </c>
      <c r="R2" s="1">
        <v>110</v>
      </c>
      <c r="S2" s="1">
        <v>112</v>
      </c>
      <c r="T2" s="1">
        <v>114</v>
      </c>
      <c r="U2" s="1">
        <v>116</v>
      </c>
      <c r="V2" s="1">
        <v>118</v>
      </c>
    </row>
    <row r="3" spans="1:22" x14ac:dyDescent="0.25">
      <c r="A3" s="3">
        <v>20</v>
      </c>
      <c r="B3" s="1">
        <v>78</v>
      </c>
      <c r="C3" s="1">
        <v>80</v>
      </c>
      <c r="D3" s="1">
        <v>82</v>
      </c>
      <c r="E3" s="1">
        <v>84</v>
      </c>
      <c r="F3" s="1">
        <v>86</v>
      </c>
      <c r="G3" s="1">
        <v>88</v>
      </c>
      <c r="H3" s="1">
        <v>90</v>
      </c>
      <c r="I3" s="1">
        <v>92</v>
      </c>
      <c r="J3" s="1">
        <v>94</v>
      </c>
      <c r="K3" s="1">
        <v>96</v>
      </c>
      <c r="L3" s="1">
        <v>98</v>
      </c>
      <c r="M3" s="1">
        <v>100</v>
      </c>
      <c r="N3" s="1">
        <v>102</v>
      </c>
      <c r="O3" s="1">
        <v>104</v>
      </c>
      <c r="P3" s="1">
        <v>106</v>
      </c>
      <c r="Q3" s="1">
        <v>108</v>
      </c>
      <c r="R3" s="1">
        <v>110</v>
      </c>
      <c r="S3" s="1">
        <v>112</v>
      </c>
      <c r="T3" s="1">
        <v>114</v>
      </c>
      <c r="U3" s="1">
        <v>116</v>
      </c>
      <c r="V3" s="1">
        <v>118</v>
      </c>
    </row>
    <row r="4" spans="1:22" x14ac:dyDescent="0.25">
      <c r="A4" s="3">
        <v>25</v>
      </c>
      <c r="B4" s="1">
        <v>78</v>
      </c>
      <c r="C4" s="1">
        <v>80</v>
      </c>
      <c r="D4" s="1">
        <v>82</v>
      </c>
      <c r="E4" s="1">
        <v>84</v>
      </c>
      <c r="F4" s="1">
        <v>86</v>
      </c>
      <c r="G4" s="1">
        <v>88</v>
      </c>
      <c r="H4" s="1">
        <v>90</v>
      </c>
      <c r="I4" s="1">
        <v>92</v>
      </c>
      <c r="J4" s="1">
        <v>93</v>
      </c>
      <c r="K4" s="1">
        <v>95</v>
      </c>
      <c r="L4" s="1">
        <v>97</v>
      </c>
      <c r="M4" s="1">
        <v>99</v>
      </c>
      <c r="N4" s="1">
        <v>101</v>
      </c>
      <c r="O4" s="1">
        <v>103</v>
      </c>
      <c r="P4" s="1">
        <v>105</v>
      </c>
      <c r="Q4" s="1">
        <v>107</v>
      </c>
      <c r="R4" s="1">
        <v>109</v>
      </c>
      <c r="S4" s="1">
        <v>111</v>
      </c>
      <c r="T4" s="1">
        <v>113</v>
      </c>
      <c r="U4" s="1">
        <v>115</v>
      </c>
      <c r="V4" s="1">
        <v>117</v>
      </c>
    </row>
    <row r="5" spans="1:22" x14ac:dyDescent="0.25">
      <c r="A5" s="3">
        <v>30</v>
      </c>
      <c r="B5" s="1">
        <v>77</v>
      </c>
      <c r="C5" s="1">
        <v>79</v>
      </c>
      <c r="D5" s="1">
        <v>81</v>
      </c>
      <c r="E5" s="1">
        <v>83</v>
      </c>
      <c r="F5" s="1">
        <v>85</v>
      </c>
      <c r="G5" s="1">
        <v>87</v>
      </c>
      <c r="H5" s="1">
        <v>89</v>
      </c>
      <c r="I5" s="1">
        <v>91</v>
      </c>
      <c r="J5" s="1">
        <v>93</v>
      </c>
      <c r="K5" s="1">
        <v>95</v>
      </c>
      <c r="L5" s="1">
        <v>97</v>
      </c>
      <c r="M5" s="1">
        <v>99</v>
      </c>
      <c r="N5" s="1">
        <v>101</v>
      </c>
      <c r="O5" s="1">
        <v>103</v>
      </c>
      <c r="P5" s="1">
        <v>105</v>
      </c>
      <c r="Q5" s="1">
        <v>107</v>
      </c>
      <c r="R5" s="1">
        <v>109</v>
      </c>
      <c r="S5" s="1">
        <v>111</v>
      </c>
      <c r="T5" s="1">
        <v>113</v>
      </c>
      <c r="U5" s="1">
        <v>115</v>
      </c>
      <c r="V5" s="1">
        <v>117</v>
      </c>
    </row>
    <row r="6" spans="1:22" x14ac:dyDescent="0.25">
      <c r="A6" s="3">
        <v>35</v>
      </c>
      <c r="B6" s="1">
        <v>77</v>
      </c>
      <c r="C6" s="1">
        <v>79</v>
      </c>
      <c r="D6" s="1">
        <v>81</v>
      </c>
      <c r="E6" s="1">
        <v>83</v>
      </c>
      <c r="F6" s="1">
        <v>85</v>
      </c>
      <c r="G6" s="1">
        <v>87</v>
      </c>
      <c r="H6" s="1">
        <v>89</v>
      </c>
      <c r="I6" s="1">
        <v>90</v>
      </c>
      <c r="J6" s="1">
        <v>92</v>
      </c>
      <c r="K6" s="1">
        <v>94</v>
      </c>
      <c r="L6" s="1">
        <v>96</v>
      </c>
      <c r="M6" s="1">
        <v>98</v>
      </c>
      <c r="N6" s="1">
        <v>100</v>
      </c>
      <c r="O6" s="1">
        <v>102</v>
      </c>
      <c r="P6" s="1">
        <v>104</v>
      </c>
      <c r="Q6" s="1">
        <v>106</v>
      </c>
      <c r="R6" s="1">
        <v>108</v>
      </c>
      <c r="S6" s="1">
        <v>110</v>
      </c>
      <c r="T6" s="1">
        <v>112</v>
      </c>
      <c r="U6" s="1">
        <v>114</v>
      </c>
      <c r="V6" s="1">
        <v>116</v>
      </c>
    </row>
    <row r="7" spans="1:22" x14ac:dyDescent="0.25">
      <c r="A7" s="3">
        <v>40</v>
      </c>
      <c r="B7" s="1">
        <v>76</v>
      </c>
      <c r="C7" s="1">
        <v>78</v>
      </c>
      <c r="D7" s="1">
        <v>80</v>
      </c>
      <c r="E7" s="1">
        <v>82</v>
      </c>
      <c r="F7" s="1">
        <v>84</v>
      </c>
      <c r="G7" s="1">
        <v>86</v>
      </c>
      <c r="H7" s="1">
        <v>88</v>
      </c>
      <c r="I7" s="1">
        <v>90</v>
      </c>
      <c r="J7" s="1">
        <v>92</v>
      </c>
      <c r="K7" s="1">
        <v>94</v>
      </c>
      <c r="L7" s="1">
        <v>96</v>
      </c>
      <c r="M7" s="1">
        <v>98</v>
      </c>
      <c r="N7" s="1">
        <v>100</v>
      </c>
      <c r="O7" s="1">
        <v>102</v>
      </c>
      <c r="P7" s="1">
        <v>104</v>
      </c>
      <c r="Q7" s="1">
        <v>106</v>
      </c>
      <c r="R7" s="1">
        <v>108</v>
      </c>
      <c r="S7" s="1">
        <v>110</v>
      </c>
      <c r="T7" s="1">
        <v>112</v>
      </c>
      <c r="U7" s="1">
        <v>114</v>
      </c>
      <c r="V7" s="1">
        <v>116</v>
      </c>
    </row>
    <row r="8" spans="1:22" x14ac:dyDescent="0.25">
      <c r="A8" s="3">
        <v>45</v>
      </c>
      <c r="B8" s="1">
        <v>76</v>
      </c>
      <c r="C8" s="1">
        <v>78</v>
      </c>
      <c r="D8" s="1">
        <v>80</v>
      </c>
      <c r="E8" s="1">
        <v>82</v>
      </c>
      <c r="F8" s="1">
        <v>84</v>
      </c>
      <c r="G8" s="1">
        <v>85</v>
      </c>
      <c r="H8" s="1">
        <v>87</v>
      </c>
      <c r="I8" s="1">
        <v>89</v>
      </c>
      <c r="J8" s="1">
        <v>91</v>
      </c>
      <c r="K8" s="1">
        <v>93</v>
      </c>
      <c r="L8" s="1">
        <v>95</v>
      </c>
      <c r="M8" s="1">
        <v>97</v>
      </c>
      <c r="N8" s="1">
        <v>99</v>
      </c>
      <c r="O8" s="1">
        <v>101</v>
      </c>
      <c r="P8" s="1">
        <v>103</v>
      </c>
      <c r="Q8" s="1">
        <v>105</v>
      </c>
      <c r="R8" s="1">
        <v>107</v>
      </c>
      <c r="S8" s="1">
        <v>109</v>
      </c>
      <c r="T8" s="1">
        <v>111</v>
      </c>
      <c r="U8" s="1">
        <v>113</v>
      </c>
      <c r="V8" s="1">
        <v>115</v>
      </c>
    </row>
    <row r="9" spans="1:22" x14ac:dyDescent="0.25">
      <c r="A9" s="3">
        <v>50</v>
      </c>
      <c r="B9" s="1">
        <v>75</v>
      </c>
      <c r="C9" s="1">
        <v>77</v>
      </c>
      <c r="D9" s="1">
        <v>79</v>
      </c>
      <c r="E9" s="1">
        <v>81</v>
      </c>
      <c r="F9" s="1">
        <v>83</v>
      </c>
      <c r="G9" s="1">
        <v>85</v>
      </c>
      <c r="H9" s="1">
        <v>87</v>
      </c>
      <c r="I9" s="1">
        <v>89</v>
      </c>
      <c r="J9" s="1">
        <v>91</v>
      </c>
      <c r="K9" s="1">
        <v>93</v>
      </c>
      <c r="L9" s="1">
        <v>95</v>
      </c>
      <c r="M9" s="1">
        <v>97</v>
      </c>
      <c r="N9" s="1">
        <v>99</v>
      </c>
      <c r="O9" s="1">
        <v>101</v>
      </c>
      <c r="P9" s="1">
        <v>103</v>
      </c>
      <c r="Q9" s="1">
        <v>105</v>
      </c>
      <c r="R9" s="1">
        <v>107</v>
      </c>
      <c r="S9" s="1">
        <v>109</v>
      </c>
      <c r="T9" s="1">
        <v>111</v>
      </c>
      <c r="U9" s="1">
        <v>113</v>
      </c>
      <c r="V9" s="1">
        <v>115</v>
      </c>
    </row>
    <row r="10" spans="1:22" x14ac:dyDescent="0.25">
      <c r="A10" s="3">
        <v>55</v>
      </c>
      <c r="B10" s="1">
        <v>75</v>
      </c>
      <c r="C10" s="1">
        <v>77</v>
      </c>
      <c r="D10" s="1">
        <v>79</v>
      </c>
      <c r="E10" s="1">
        <v>80</v>
      </c>
      <c r="F10" s="1">
        <v>82</v>
      </c>
      <c r="G10" s="1">
        <v>84</v>
      </c>
      <c r="H10" s="1">
        <v>86</v>
      </c>
      <c r="I10" s="1">
        <v>88</v>
      </c>
      <c r="J10" s="1">
        <v>90</v>
      </c>
      <c r="K10" s="1">
        <v>92</v>
      </c>
      <c r="L10" s="1">
        <v>94</v>
      </c>
      <c r="M10" s="1">
        <v>96</v>
      </c>
      <c r="N10" s="1">
        <v>98</v>
      </c>
      <c r="O10" s="1">
        <v>100</v>
      </c>
      <c r="P10" s="1">
        <v>102</v>
      </c>
      <c r="Q10" s="1">
        <v>104</v>
      </c>
      <c r="R10" s="1">
        <v>106</v>
      </c>
      <c r="S10" s="1">
        <v>108</v>
      </c>
      <c r="T10" s="1">
        <v>110</v>
      </c>
      <c r="U10" s="1">
        <v>112</v>
      </c>
      <c r="V10" s="1">
        <v>114</v>
      </c>
    </row>
    <row r="11" spans="1:22" x14ac:dyDescent="0.25">
      <c r="A11" s="3">
        <v>60</v>
      </c>
      <c r="B11" s="1">
        <v>74</v>
      </c>
      <c r="C11" s="1">
        <v>76</v>
      </c>
      <c r="D11" s="1">
        <v>78</v>
      </c>
      <c r="E11" s="1">
        <v>80</v>
      </c>
      <c r="F11" s="1">
        <v>82</v>
      </c>
      <c r="G11" s="1">
        <v>84</v>
      </c>
      <c r="H11" s="1">
        <v>86</v>
      </c>
      <c r="I11" s="1">
        <v>88</v>
      </c>
      <c r="J11" s="1">
        <v>90</v>
      </c>
      <c r="K11" s="1">
        <v>92</v>
      </c>
      <c r="L11" s="1">
        <v>94</v>
      </c>
      <c r="M11" s="1">
        <v>96</v>
      </c>
      <c r="N11" s="1">
        <v>98</v>
      </c>
      <c r="O11" s="1">
        <v>100</v>
      </c>
      <c r="P11" s="1">
        <v>102</v>
      </c>
      <c r="Q11" s="1">
        <v>104</v>
      </c>
      <c r="R11" s="1">
        <v>106</v>
      </c>
      <c r="S11" s="1">
        <v>108</v>
      </c>
      <c r="T11" s="1">
        <v>110</v>
      </c>
      <c r="U11" s="1">
        <v>112</v>
      </c>
      <c r="V11" s="1">
        <v>113</v>
      </c>
    </row>
    <row r="12" spans="1:22" x14ac:dyDescent="0.25">
      <c r="A12" s="3">
        <v>65</v>
      </c>
      <c r="B12" s="1">
        <v>74</v>
      </c>
      <c r="C12" s="1">
        <v>76</v>
      </c>
      <c r="D12" s="1">
        <v>77</v>
      </c>
      <c r="E12" s="1">
        <v>79</v>
      </c>
      <c r="F12" s="1">
        <v>81</v>
      </c>
      <c r="G12" s="1">
        <v>83</v>
      </c>
      <c r="H12" s="1">
        <v>85</v>
      </c>
      <c r="I12" s="1">
        <v>87</v>
      </c>
      <c r="J12" s="1">
        <v>89</v>
      </c>
      <c r="K12" s="1">
        <v>91</v>
      </c>
      <c r="L12" s="1">
        <v>93</v>
      </c>
      <c r="M12" s="1">
        <v>95</v>
      </c>
      <c r="N12" s="1">
        <v>97</v>
      </c>
      <c r="O12" s="1">
        <v>99</v>
      </c>
      <c r="P12" s="1">
        <v>101</v>
      </c>
      <c r="Q12" s="1">
        <v>103</v>
      </c>
      <c r="R12" s="1">
        <v>105</v>
      </c>
      <c r="S12" s="1">
        <v>107</v>
      </c>
      <c r="T12" s="1">
        <v>109</v>
      </c>
      <c r="U12" s="1">
        <v>111</v>
      </c>
      <c r="V12" s="1">
        <v>113</v>
      </c>
    </row>
    <row r="13" spans="1:22" x14ac:dyDescent="0.25">
      <c r="A13" s="3">
        <v>70</v>
      </c>
      <c r="B13" s="1">
        <v>73</v>
      </c>
      <c r="C13" s="1">
        <v>75</v>
      </c>
      <c r="D13" s="1">
        <v>77</v>
      </c>
      <c r="E13" s="1">
        <v>79</v>
      </c>
      <c r="F13" s="1">
        <v>81</v>
      </c>
      <c r="G13" s="1">
        <v>83</v>
      </c>
      <c r="H13" s="1">
        <v>85</v>
      </c>
      <c r="I13" s="1">
        <v>87</v>
      </c>
      <c r="J13" s="1">
        <v>89</v>
      </c>
      <c r="K13" s="1">
        <v>91</v>
      </c>
      <c r="L13" s="1">
        <v>93</v>
      </c>
      <c r="M13" s="1">
        <v>95</v>
      </c>
      <c r="N13" s="1">
        <v>97</v>
      </c>
      <c r="O13" s="1">
        <v>99</v>
      </c>
      <c r="P13" s="1">
        <v>101</v>
      </c>
      <c r="Q13" s="1">
        <v>103</v>
      </c>
      <c r="R13" s="1">
        <v>105</v>
      </c>
      <c r="S13" s="1">
        <v>107</v>
      </c>
      <c r="T13" s="1">
        <v>108</v>
      </c>
      <c r="U13" s="1">
        <v>110</v>
      </c>
      <c r="V13" s="1">
        <v>112</v>
      </c>
    </row>
    <row r="14" spans="1:22" x14ac:dyDescent="0.25">
      <c r="A14" s="3">
        <v>75</v>
      </c>
      <c r="B14" s="1">
        <v>72</v>
      </c>
      <c r="C14" s="1">
        <v>74</v>
      </c>
      <c r="D14" s="1">
        <v>76</v>
      </c>
      <c r="E14" s="1">
        <v>78</v>
      </c>
      <c r="F14" s="1">
        <v>80</v>
      </c>
      <c r="G14" s="1">
        <v>82</v>
      </c>
      <c r="H14" s="1">
        <v>84</v>
      </c>
      <c r="I14" s="1">
        <v>86</v>
      </c>
      <c r="J14" s="1">
        <v>88</v>
      </c>
      <c r="K14" s="1">
        <v>90</v>
      </c>
      <c r="L14" s="1">
        <v>92</v>
      </c>
      <c r="M14" s="1">
        <v>94</v>
      </c>
      <c r="N14" s="1">
        <v>96</v>
      </c>
      <c r="O14" s="1">
        <v>98</v>
      </c>
      <c r="P14" s="1">
        <v>100</v>
      </c>
      <c r="Q14" s="1">
        <v>102</v>
      </c>
      <c r="R14" s="1">
        <v>104</v>
      </c>
      <c r="S14" s="1">
        <v>106</v>
      </c>
      <c r="T14" s="1">
        <v>108</v>
      </c>
      <c r="U14" s="1">
        <v>110</v>
      </c>
      <c r="V14" s="1">
        <v>112</v>
      </c>
    </row>
    <row r="15" spans="1:22" x14ac:dyDescent="0.25">
      <c r="A15" s="3">
        <v>80</v>
      </c>
      <c r="B15" s="1">
        <v>72</v>
      </c>
      <c r="C15" s="1">
        <v>74</v>
      </c>
      <c r="D15" s="1">
        <v>76</v>
      </c>
      <c r="E15" s="1">
        <v>78</v>
      </c>
      <c r="F15" s="1">
        <v>80</v>
      </c>
      <c r="G15" s="1">
        <v>82</v>
      </c>
      <c r="H15" s="1">
        <v>84</v>
      </c>
      <c r="I15" s="1">
        <v>86</v>
      </c>
      <c r="J15" s="1">
        <v>88</v>
      </c>
      <c r="K15" s="1">
        <v>90</v>
      </c>
      <c r="L15" s="1">
        <v>92</v>
      </c>
      <c r="M15" s="1">
        <v>94</v>
      </c>
      <c r="N15" s="1">
        <v>96</v>
      </c>
      <c r="O15" s="1">
        <v>98</v>
      </c>
      <c r="P15" s="1">
        <v>100</v>
      </c>
      <c r="Q15" s="1">
        <v>102</v>
      </c>
      <c r="R15" s="1">
        <v>103</v>
      </c>
      <c r="S15" s="1">
        <v>105</v>
      </c>
      <c r="T15" s="1">
        <v>107</v>
      </c>
      <c r="U15" s="1">
        <v>109</v>
      </c>
      <c r="V15" s="1">
        <v>111</v>
      </c>
    </row>
    <row r="16" spans="1:22" x14ac:dyDescent="0.25">
      <c r="A16" s="3">
        <v>85</v>
      </c>
      <c r="B16" s="1">
        <v>71</v>
      </c>
      <c r="C16" s="1">
        <v>73</v>
      </c>
      <c r="D16" s="1">
        <v>75</v>
      </c>
      <c r="E16" s="1">
        <v>7</v>
      </c>
      <c r="F16" s="1">
        <v>79</v>
      </c>
      <c r="G16" s="1">
        <v>81</v>
      </c>
      <c r="H16" s="1">
        <v>83</v>
      </c>
      <c r="I16" s="1">
        <v>85</v>
      </c>
      <c r="J16" s="1">
        <v>87</v>
      </c>
      <c r="K16" s="1">
        <v>89</v>
      </c>
      <c r="L16" s="1">
        <v>91</v>
      </c>
      <c r="M16" s="1">
        <v>93</v>
      </c>
      <c r="N16" s="1">
        <v>95</v>
      </c>
      <c r="O16" s="1">
        <v>97</v>
      </c>
      <c r="P16" s="1">
        <v>99</v>
      </c>
      <c r="Q16" s="1">
        <v>101</v>
      </c>
      <c r="R16" s="1">
        <v>103</v>
      </c>
      <c r="S16" s="1">
        <v>105</v>
      </c>
      <c r="T16" s="1">
        <v>107</v>
      </c>
      <c r="U16" s="1">
        <v>109</v>
      </c>
      <c r="V16" s="1">
        <v>111</v>
      </c>
    </row>
    <row r="17" spans="1:22" x14ac:dyDescent="0.25">
      <c r="A17" s="3">
        <v>90</v>
      </c>
      <c r="B17" s="1">
        <v>71</v>
      </c>
      <c r="C17" s="1">
        <v>73</v>
      </c>
      <c r="D17" s="1">
        <v>75</v>
      </c>
      <c r="E17" s="1">
        <v>77</v>
      </c>
      <c r="F17" s="1">
        <v>79</v>
      </c>
      <c r="G17" s="1">
        <v>81</v>
      </c>
      <c r="H17" s="1">
        <v>83</v>
      </c>
      <c r="I17" s="1">
        <v>85</v>
      </c>
      <c r="J17" s="1">
        <v>87</v>
      </c>
      <c r="K17" s="1">
        <v>89</v>
      </c>
      <c r="L17" s="1">
        <v>91</v>
      </c>
      <c r="M17" s="1">
        <v>93</v>
      </c>
      <c r="N17" s="1">
        <v>95</v>
      </c>
      <c r="O17" s="1">
        <v>97</v>
      </c>
      <c r="P17" s="1">
        <v>98</v>
      </c>
      <c r="Q17" s="1">
        <v>100</v>
      </c>
      <c r="R17" s="1">
        <v>102</v>
      </c>
      <c r="S17" s="1">
        <v>104</v>
      </c>
      <c r="T17" s="1">
        <v>106</v>
      </c>
      <c r="U17" s="1">
        <v>108</v>
      </c>
      <c r="V17" s="1">
        <v>110</v>
      </c>
    </row>
    <row r="18" spans="1:22" x14ac:dyDescent="0.25">
      <c r="A18" s="3">
        <v>95</v>
      </c>
      <c r="B18" s="1">
        <v>70</v>
      </c>
      <c r="C18" s="1">
        <v>72</v>
      </c>
      <c r="D18" s="1">
        <v>74</v>
      </c>
      <c r="E18" s="1">
        <v>76</v>
      </c>
      <c r="F18" s="1">
        <v>78</v>
      </c>
      <c r="G18" s="1">
        <v>80</v>
      </c>
      <c r="H18" s="1">
        <v>82</v>
      </c>
      <c r="I18" s="1">
        <v>84</v>
      </c>
      <c r="J18" s="1">
        <v>86</v>
      </c>
      <c r="K18" s="1">
        <v>88</v>
      </c>
      <c r="L18" s="1">
        <v>90</v>
      </c>
      <c r="M18" s="1">
        <v>92</v>
      </c>
      <c r="N18" s="1">
        <v>94</v>
      </c>
      <c r="O18" s="1">
        <v>96</v>
      </c>
      <c r="P18" s="1">
        <v>98</v>
      </c>
      <c r="Q18" s="1">
        <v>100</v>
      </c>
      <c r="R18" s="1">
        <v>102</v>
      </c>
      <c r="S18" s="1">
        <v>104</v>
      </c>
      <c r="T18" s="1">
        <v>106</v>
      </c>
      <c r="U18" s="1">
        <v>108</v>
      </c>
      <c r="V18" s="1">
        <v>110</v>
      </c>
    </row>
    <row r="19" spans="1:22" x14ac:dyDescent="0.25">
      <c r="A19" s="3">
        <v>100</v>
      </c>
      <c r="B19" s="1">
        <v>70</v>
      </c>
      <c r="C19" s="1">
        <v>72</v>
      </c>
      <c r="D19" s="1">
        <v>74</v>
      </c>
      <c r="E19" s="1">
        <v>76</v>
      </c>
      <c r="F19" s="1">
        <v>78</v>
      </c>
      <c r="G19" s="1">
        <v>80</v>
      </c>
      <c r="H19" s="1">
        <v>82</v>
      </c>
      <c r="I19" s="1">
        <v>84</v>
      </c>
      <c r="J19" s="1">
        <v>86</v>
      </c>
      <c r="K19" s="1">
        <v>88</v>
      </c>
      <c r="L19" s="1">
        <v>90</v>
      </c>
      <c r="M19" s="1">
        <v>92</v>
      </c>
      <c r="N19" s="1">
        <v>94</v>
      </c>
      <c r="O19" s="1">
        <v>95</v>
      </c>
      <c r="P19" s="1">
        <v>97</v>
      </c>
      <c r="Q19" s="1">
        <v>99</v>
      </c>
      <c r="R19" s="1">
        <v>101</v>
      </c>
      <c r="S19" s="1">
        <v>103</v>
      </c>
      <c r="T19" s="1">
        <v>105</v>
      </c>
      <c r="U19" s="1">
        <v>107</v>
      </c>
      <c r="V19" s="1">
        <v>109</v>
      </c>
    </row>
    <row r="21" spans="1:22" x14ac:dyDescent="0.25">
      <c r="A21" t="s">
        <v>2</v>
      </c>
      <c r="C21" s="130">
        <f>IF('Scores Summary'!H7="","",'Scores Summary'!H7)</f>
        <v>29722</v>
      </c>
      <c r="D21" s="130"/>
    </row>
    <row r="22" spans="1:22" x14ac:dyDescent="0.25">
      <c r="A22" t="s">
        <v>4</v>
      </c>
      <c r="C22" s="130">
        <f>IF('Scores Summary'!C8="","",'Scores Summary'!C8)</f>
        <v>44704</v>
      </c>
      <c r="D22" s="130"/>
      <c r="E22" s="131"/>
      <c r="F22" s="131"/>
      <c r="G22" s="131"/>
      <c r="H22" s="130"/>
      <c r="I22" s="130"/>
    </row>
    <row r="23" spans="1:22" x14ac:dyDescent="0.25">
      <c r="A23" t="s">
        <v>0</v>
      </c>
      <c r="B23" s="2"/>
      <c r="C23" s="6">
        <f>IF(C21="","",IF(C22="","",YEARFRAC(C21,C22)))</f>
        <v>41.019444444444446</v>
      </c>
    </row>
    <row r="24" spans="1:22" ht="15.75" x14ac:dyDescent="0.25">
      <c r="A24" t="s">
        <v>3</v>
      </c>
      <c r="B24" s="2"/>
      <c r="C24" s="5">
        <f>IF(C23="","",MROUND(YEARFRAC(C21,C22),5))</f>
        <v>40</v>
      </c>
      <c r="F24" s="132" t="s">
        <v>5</v>
      </c>
      <c r="G24" s="132"/>
      <c r="H24" s="132"/>
      <c r="I24" s="115">
        <f>IF(C24="","",IF(B25="","",VLOOKUP(C24,A1:V19,B25+2,FALSE)))</f>
        <v>112</v>
      </c>
      <c r="J24" s="115"/>
      <c r="K24" s="115"/>
    </row>
    <row r="25" spans="1:22" x14ac:dyDescent="0.25">
      <c r="A25" t="s">
        <v>1</v>
      </c>
      <c r="B25" s="129">
        <f>IF('Scores Summary'!H8="Select:","",IF('Scores Summary'!H8="","",'Scores Summary'!H8))</f>
        <v>18</v>
      </c>
      <c r="C25" s="129"/>
    </row>
  </sheetData>
  <sheetProtection sheet="1" objects="1" scenarios="1"/>
  <mergeCells count="7">
    <mergeCell ref="B25:C25"/>
    <mergeCell ref="I24:K24"/>
    <mergeCell ref="C21:D21"/>
    <mergeCell ref="C22:D22"/>
    <mergeCell ref="H22:I22"/>
    <mergeCell ref="E22:G22"/>
    <mergeCell ref="F24:H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5"/>
  <sheetViews>
    <sheetView workbookViewId="0">
      <selection activeCell="I37" sqref="I37"/>
    </sheetView>
  </sheetViews>
  <sheetFormatPr defaultRowHeight="15" x14ac:dyDescent="0.25"/>
  <cols>
    <col min="2" max="22" width="5.7109375" style="1" customWidth="1"/>
  </cols>
  <sheetData>
    <row r="1" spans="1:22" x14ac:dyDescent="0.25"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</row>
    <row r="2" spans="1:22" x14ac:dyDescent="0.25">
      <c r="A2" s="3">
        <v>15</v>
      </c>
      <c r="B2" s="1">
        <v>67</v>
      </c>
      <c r="C2" s="1">
        <v>68</v>
      </c>
      <c r="D2" s="1">
        <v>69</v>
      </c>
      <c r="E2" s="1">
        <v>70</v>
      </c>
      <c r="F2" s="1">
        <v>71</v>
      </c>
      <c r="G2" s="1">
        <v>72</v>
      </c>
      <c r="H2" s="1">
        <v>73</v>
      </c>
      <c r="I2" s="1">
        <v>74</v>
      </c>
      <c r="J2" s="1">
        <v>75</v>
      </c>
      <c r="K2" s="1">
        <v>76</v>
      </c>
      <c r="L2" s="1">
        <v>77</v>
      </c>
      <c r="M2" s="1">
        <v>78</v>
      </c>
      <c r="N2" s="1">
        <v>79</v>
      </c>
      <c r="O2" s="1">
        <v>80</v>
      </c>
      <c r="P2" s="1">
        <v>81</v>
      </c>
      <c r="Q2" s="1">
        <v>82</v>
      </c>
      <c r="R2" s="1">
        <v>83</v>
      </c>
      <c r="S2" s="1">
        <v>84</v>
      </c>
      <c r="T2" s="1">
        <v>85</v>
      </c>
      <c r="U2" s="1">
        <v>86</v>
      </c>
      <c r="V2" s="1">
        <v>87</v>
      </c>
    </row>
    <row r="3" spans="1:22" x14ac:dyDescent="0.25">
      <c r="A3" s="3">
        <v>20</v>
      </c>
      <c r="B3" s="1">
        <v>66</v>
      </c>
      <c r="C3" s="1">
        <v>67</v>
      </c>
      <c r="D3" s="1">
        <v>68</v>
      </c>
      <c r="E3" s="1">
        <v>69</v>
      </c>
      <c r="F3" s="1">
        <v>70</v>
      </c>
      <c r="G3" s="1">
        <v>71</v>
      </c>
      <c r="H3" s="1">
        <v>72</v>
      </c>
      <c r="I3" s="1">
        <v>73</v>
      </c>
      <c r="J3" s="1">
        <v>74</v>
      </c>
      <c r="K3" s="1">
        <v>75</v>
      </c>
      <c r="L3" s="1">
        <v>76</v>
      </c>
      <c r="M3" s="1">
        <v>77</v>
      </c>
      <c r="N3" s="1">
        <v>78</v>
      </c>
      <c r="O3" s="1">
        <v>79</v>
      </c>
      <c r="P3" s="1">
        <v>80</v>
      </c>
      <c r="Q3" s="1">
        <v>81</v>
      </c>
      <c r="R3" s="1">
        <v>82</v>
      </c>
      <c r="S3" s="1">
        <v>83</v>
      </c>
      <c r="T3" s="1">
        <v>84</v>
      </c>
      <c r="U3" s="1">
        <v>85</v>
      </c>
      <c r="V3" s="1">
        <v>86</v>
      </c>
    </row>
    <row r="4" spans="1:22" x14ac:dyDescent="0.25">
      <c r="A4" s="3">
        <v>25</v>
      </c>
      <c r="B4" s="1">
        <v>65</v>
      </c>
      <c r="C4" s="1">
        <v>66</v>
      </c>
      <c r="D4" s="1">
        <v>67</v>
      </c>
      <c r="E4" s="1">
        <v>68</v>
      </c>
      <c r="F4" s="1">
        <v>69</v>
      </c>
      <c r="G4" s="1">
        <v>70</v>
      </c>
      <c r="H4" s="1">
        <v>71</v>
      </c>
      <c r="I4" s="1">
        <v>72</v>
      </c>
      <c r="J4" s="1">
        <v>73</v>
      </c>
      <c r="K4" s="1">
        <v>74</v>
      </c>
      <c r="L4" s="1">
        <v>75</v>
      </c>
      <c r="M4" s="1">
        <v>77</v>
      </c>
      <c r="N4" s="1">
        <v>78</v>
      </c>
      <c r="O4" s="1">
        <v>79</v>
      </c>
      <c r="P4" s="1">
        <v>80</v>
      </c>
      <c r="Q4" s="1">
        <v>81</v>
      </c>
      <c r="R4" s="1">
        <v>82</v>
      </c>
      <c r="S4" s="1">
        <v>83</v>
      </c>
      <c r="T4" s="1">
        <v>84</v>
      </c>
      <c r="U4" s="1">
        <v>85</v>
      </c>
      <c r="V4" s="1">
        <v>86</v>
      </c>
    </row>
    <row r="5" spans="1:22" x14ac:dyDescent="0.25">
      <c r="A5" s="3">
        <v>30</v>
      </c>
      <c r="B5" s="1">
        <v>65</v>
      </c>
      <c r="C5" s="1">
        <v>66</v>
      </c>
      <c r="D5" s="1">
        <v>67</v>
      </c>
      <c r="E5" s="1">
        <v>68</v>
      </c>
      <c r="F5" s="1">
        <v>69</v>
      </c>
      <c r="G5" s="1">
        <v>70</v>
      </c>
      <c r="H5" s="1">
        <v>71</v>
      </c>
      <c r="I5" s="1">
        <v>72</v>
      </c>
      <c r="J5" s="1">
        <v>73</v>
      </c>
      <c r="K5" s="1">
        <v>74</v>
      </c>
      <c r="L5" s="1">
        <v>75</v>
      </c>
      <c r="M5" s="1">
        <v>76</v>
      </c>
      <c r="N5" s="1">
        <v>77</v>
      </c>
      <c r="O5" s="1">
        <v>78</v>
      </c>
      <c r="P5" s="1">
        <v>79</v>
      </c>
      <c r="Q5" s="1">
        <v>80</v>
      </c>
      <c r="R5" s="1">
        <v>81</v>
      </c>
      <c r="S5" s="1">
        <v>82</v>
      </c>
      <c r="T5" s="1">
        <v>83</v>
      </c>
      <c r="U5" s="1">
        <v>84</v>
      </c>
      <c r="V5" s="1">
        <v>85</v>
      </c>
    </row>
    <row r="6" spans="1:22" x14ac:dyDescent="0.25">
      <c r="A6" s="3">
        <v>35</v>
      </c>
      <c r="B6" s="1">
        <v>64</v>
      </c>
      <c r="C6" s="1">
        <v>65</v>
      </c>
      <c r="D6" s="1">
        <v>66</v>
      </c>
      <c r="E6" s="1">
        <v>67</v>
      </c>
      <c r="F6" s="1">
        <v>68</v>
      </c>
      <c r="G6" s="1">
        <v>69</v>
      </c>
      <c r="H6" s="1">
        <v>70</v>
      </c>
      <c r="I6" s="1">
        <v>71</v>
      </c>
      <c r="J6" s="1">
        <v>72</v>
      </c>
      <c r="K6" s="1">
        <v>73</v>
      </c>
      <c r="L6" s="1">
        <v>74</v>
      </c>
      <c r="M6" s="1">
        <v>75</v>
      </c>
      <c r="N6" s="1">
        <v>76</v>
      </c>
      <c r="O6" s="1">
        <v>77</v>
      </c>
      <c r="P6" s="1">
        <v>78</v>
      </c>
      <c r="Q6" s="1">
        <v>79</v>
      </c>
      <c r="R6" s="1">
        <v>80</v>
      </c>
      <c r="S6" s="1">
        <v>81</v>
      </c>
      <c r="T6" s="1">
        <v>82</v>
      </c>
      <c r="U6" s="1">
        <v>83</v>
      </c>
      <c r="V6" s="1">
        <v>84</v>
      </c>
    </row>
    <row r="7" spans="1:22" x14ac:dyDescent="0.25">
      <c r="A7" s="3">
        <v>40</v>
      </c>
      <c r="B7" s="1">
        <v>63</v>
      </c>
      <c r="C7" s="1">
        <v>64</v>
      </c>
      <c r="D7" s="1">
        <v>65</v>
      </c>
      <c r="E7" s="1">
        <v>66</v>
      </c>
      <c r="F7" s="1">
        <v>67</v>
      </c>
      <c r="G7" s="1">
        <v>68</v>
      </c>
      <c r="H7" s="1">
        <v>69</v>
      </c>
      <c r="I7" s="1">
        <v>70</v>
      </c>
      <c r="J7" s="1">
        <v>71</v>
      </c>
      <c r="K7" s="1">
        <v>72</v>
      </c>
      <c r="L7" s="1">
        <v>73</v>
      </c>
      <c r="M7" s="1">
        <v>74</v>
      </c>
      <c r="N7" s="1">
        <v>75</v>
      </c>
      <c r="O7" s="1">
        <v>76</v>
      </c>
      <c r="P7" s="1">
        <v>77</v>
      </c>
      <c r="Q7" s="1">
        <v>78</v>
      </c>
      <c r="R7" s="1">
        <v>79</v>
      </c>
      <c r="S7" s="1">
        <v>81</v>
      </c>
      <c r="T7" s="1">
        <v>82</v>
      </c>
      <c r="U7" s="1">
        <v>83</v>
      </c>
      <c r="V7" s="1">
        <v>84</v>
      </c>
    </row>
    <row r="8" spans="1:22" x14ac:dyDescent="0.25">
      <c r="A8" s="3">
        <v>45</v>
      </c>
      <c r="B8" s="1">
        <v>62</v>
      </c>
      <c r="C8" s="1">
        <v>63</v>
      </c>
      <c r="D8" s="1">
        <v>64</v>
      </c>
      <c r="E8" s="1">
        <v>65</v>
      </c>
      <c r="F8" s="1">
        <v>66</v>
      </c>
      <c r="G8" s="1">
        <v>67</v>
      </c>
      <c r="H8" s="1">
        <v>69</v>
      </c>
      <c r="I8" s="1">
        <v>70</v>
      </c>
      <c r="J8" s="1">
        <v>71</v>
      </c>
      <c r="K8" s="1">
        <v>72</v>
      </c>
      <c r="L8" s="1">
        <v>73</v>
      </c>
      <c r="M8" s="1">
        <v>74</v>
      </c>
      <c r="N8" s="1">
        <v>75</v>
      </c>
      <c r="O8" s="1">
        <v>76</v>
      </c>
      <c r="P8" s="1">
        <v>77</v>
      </c>
      <c r="Q8" s="1">
        <v>78</v>
      </c>
      <c r="R8" s="1">
        <v>79</v>
      </c>
      <c r="S8" s="1">
        <v>80</v>
      </c>
      <c r="T8" s="1">
        <v>81</v>
      </c>
      <c r="U8" s="1">
        <v>82</v>
      </c>
      <c r="V8" s="1">
        <v>83</v>
      </c>
    </row>
    <row r="9" spans="1:22" x14ac:dyDescent="0.25">
      <c r="A9" s="3">
        <v>50</v>
      </c>
      <c r="B9" s="1">
        <v>62</v>
      </c>
      <c r="C9" s="1">
        <v>63</v>
      </c>
      <c r="D9" s="1">
        <v>64</v>
      </c>
      <c r="E9" s="1">
        <v>65</v>
      </c>
      <c r="F9" s="1">
        <v>66</v>
      </c>
      <c r="G9" s="1">
        <v>67</v>
      </c>
      <c r="H9" s="1">
        <v>68</v>
      </c>
      <c r="I9" s="1">
        <v>69</v>
      </c>
      <c r="J9" s="1">
        <v>70</v>
      </c>
      <c r="K9" s="1">
        <v>71</v>
      </c>
      <c r="L9" s="1">
        <v>72</v>
      </c>
      <c r="M9" s="1">
        <v>73</v>
      </c>
      <c r="N9" s="1">
        <v>74</v>
      </c>
      <c r="O9" s="1">
        <v>75</v>
      </c>
      <c r="P9" s="1">
        <v>76</v>
      </c>
      <c r="Q9" s="1">
        <v>77</v>
      </c>
      <c r="R9" s="1">
        <v>78</v>
      </c>
      <c r="S9" s="1">
        <v>79</v>
      </c>
      <c r="T9" s="1">
        <v>80</v>
      </c>
      <c r="U9" s="1">
        <v>81</v>
      </c>
      <c r="V9" s="1">
        <v>82</v>
      </c>
    </row>
    <row r="10" spans="1:22" x14ac:dyDescent="0.25">
      <c r="A10" s="3">
        <v>55</v>
      </c>
      <c r="B10" s="1">
        <v>61</v>
      </c>
      <c r="C10" s="1">
        <v>62</v>
      </c>
      <c r="D10" s="1">
        <v>63</v>
      </c>
      <c r="E10" s="1">
        <v>64</v>
      </c>
      <c r="F10" s="1">
        <v>65</v>
      </c>
      <c r="G10" s="1">
        <v>66</v>
      </c>
      <c r="H10" s="1">
        <v>67</v>
      </c>
      <c r="I10" s="1">
        <v>68</v>
      </c>
      <c r="J10" s="1">
        <v>69</v>
      </c>
      <c r="K10" s="1">
        <v>70</v>
      </c>
      <c r="L10" s="1">
        <v>71</v>
      </c>
      <c r="M10" s="1">
        <v>72</v>
      </c>
      <c r="N10" s="1">
        <v>73</v>
      </c>
      <c r="O10" s="1">
        <v>74</v>
      </c>
      <c r="P10" s="1">
        <v>75</v>
      </c>
      <c r="Q10" s="1">
        <v>76</v>
      </c>
      <c r="R10" s="1">
        <v>77</v>
      </c>
      <c r="S10" s="1">
        <v>78</v>
      </c>
      <c r="T10" s="1">
        <v>79</v>
      </c>
      <c r="U10" s="1">
        <v>80</v>
      </c>
      <c r="V10" s="1">
        <v>81</v>
      </c>
    </row>
    <row r="11" spans="1:22" x14ac:dyDescent="0.25">
      <c r="A11" s="3">
        <v>60</v>
      </c>
      <c r="B11" s="1">
        <v>60</v>
      </c>
      <c r="C11" s="1">
        <v>61</v>
      </c>
      <c r="D11" s="1">
        <v>62</v>
      </c>
      <c r="E11" s="1">
        <v>63</v>
      </c>
      <c r="F11" s="1">
        <v>64</v>
      </c>
      <c r="G11" s="1">
        <v>65</v>
      </c>
      <c r="H11" s="1">
        <v>66</v>
      </c>
      <c r="I11" s="1">
        <v>67</v>
      </c>
      <c r="J11" s="1">
        <v>68</v>
      </c>
      <c r="K11" s="1">
        <v>69</v>
      </c>
      <c r="L11" s="1">
        <v>70</v>
      </c>
      <c r="M11" s="1">
        <v>71</v>
      </c>
      <c r="N11" s="1">
        <v>73</v>
      </c>
      <c r="O11" s="1">
        <v>74</v>
      </c>
      <c r="P11" s="1">
        <v>75</v>
      </c>
      <c r="Q11" s="1">
        <v>76</v>
      </c>
      <c r="R11" s="1">
        <v>77</v>
      </c>
      <c r="S11" s="1">
        <v>78</v>
      </c>
      <c r="T11" s="1">
        <v>79</v>
      </c>
      <c r="U11" s="1">
        <v>80</v>
      </c>
      <c r="V11" s="1">
        <v>81</v>
      </c>
    </row>
    <row r="12" spans="1:22" x14ac:dyDescent="0.25">
      <c r="A12" s="3">
        <v>65</v>
      </c>
      <c r="B12" s="1">
        <v>59</v>
      </c>
      <c r="C12" s="1">
        <v>61</v>
      </c>
      <c r="D12" s="1">
        <v>62</v>
      </c>
      <c r="E12" s="1">
        <v>63</v>
      </c>
      <c r="F12" s="1">
        <v>64</v>
      </c>
      <c r="G12" s="1">
        <v>65</v>
      </c>
      <c r="H12" s="1">
        <v>66</v>
      </c>
      <c r="I12" s="1">
        <v>67</v>
      </c>
      <c r="J12" s="1">
        <v>68</v>
      </c>
      <c r="K12" s="1">
        <v>69</v>
      </c>
      <c r="L12" s="1">
        <v>70</v>
      </c>
      <c r="M12" s="1">
        <v>71</v>
      </c>
      <c r="N12" s="1">
        <v>72</v>
      </c>
      <c r="O12" s="1">
        <v>73</v>
      </c>
      <c r="P12" s="1">
        <v>74</v>
      </c>
      <c r="Q12" s="1">
        <v>75</v>
      </c>
      <c r="R12" s="1">
        <v>76</v>
      </c>
      <c r="S12" s="1">
        <v>77</v>
      </c>
      <c r="T12" s="1">
        <v>78</v>
      </c>
      <c r="U12" s="1">
        <v>79</v>
      </c>
      <c r="V12" s="1">
        <v>80</v>
      </c>
    </row>
    <row r="13" spans="1:22" x14ac:dyDescent="0.25">
      <c r="A13" s="3">
        <v>70</v>
      </c>
      <c r="B13" s="1">
        <v>59</v>
      </c>
      <c r="C13" s="1">
        <v>60</v>
      </c>
      <c r="D13" s="1">
        <v>61</v>
      </c>
      <c r="E13" s="1">
        <v>62</v>
      </c>
      <c r="F13" s="1">
        <v>63</v>
      </c>
      <c r="G13" s="1">
        <v>64</v>
      </c>
      <c r="H13" s="1">
        <v>65</v>
      </c>
      <c r="I13" s="1">
        <v>66</v>
      </c>
      <c r="J13" s="1">
        <v>67</v>
      </c>
      <c r="K13" s="1">
        <v>68</v>
      </c>
      <c r="L13" s="1">
        <v>69</v>
      </c>
      <c r="M13" s="1">
        <v>70</v>
      </c>
      <c r="N13" s="1">
        <v>71</v>
      </c>
      <c r="O13" s="1">
        <v>72</v>
      </c>
      <c r="P13" s="1">
        <v>73</v>
      </c>
      <c r="Q13" s="1">
        <v>74</v>
      </c>
      <c r="R13" s="1">
        <v>75</v>
      </c>
      <c r="S13" s="1">
        <v>76</v>
      </c>
      <c r="T13" s="1">
        <v>77</v>
      </c>
      <c r="U13" s="1">
        <v>78</v>
      </c>
      <c r="V13" s="1">
        <v>79</v>
      </c>
    </row>
    <row r="14" spans="1:22" x14ac:dyDescent="0.25">
      <c r="A14" s="3">
        <v>75</v>
      </c>
      <c r="B14" s="1">
        <v>58</v>
      </c>
      <c r="C14" s="1">
        <v>59</v>
      </c>
      <c r="D14" s="1">
        <v>60</v>
      </c>
      <c r="E14" s="1">
        <v>61</v>
      </c>
      <c r="F14" s="1">
        <v>62</v>
      </c>
      <c r="G14" s="1">
        <v>63</v>
      </c>
      <c r="H14" s="1">
        <v>64</v>
      </c>
      <c r="I14" s="1">
        <v>65</v>
      </c>
      <c r="J14" s="1">
        <v>66</v>
      </c>
      <c r="K14" s="1">
        <v>67</v>
      </c>
      <c r="L14" s="1">
        <v>68</v>
      </c>
      <c r="M14" s="1">
        <v>69</v>
      </c>
      <c r="N14" s="1">
        <v>70</v>
      </c>
      <c r="O14" s="1">
        <v>71</v>
      </c>
      <c r="P14" s="1">
        <v>72</v>
      </c>
      <c r="Q14" s="1">
        <v>73</v>
      </c>
      <c r="R14" s="1">
        <v>74</v>
      </c>
      <c r="S14" s="1">
        <v>75</v>
      </c>
      <c r="T14" s="1">
        <v>77</v>
      </c>
      <c r="U14" s="1">
        <v>78</v>
      </c>
      <c r="V14" s="1">
        <v>79</v>
      </c>
    </row>
    <row r="15" spans="1:22" x14ac:dyDescent="0.25">
      <c r="A15" s="3">
        <v>80</v>
      </c>
      <c r="B15" s="1">
        <v>57</v>
      </c>
      <c r="C15" s="1">
        <v>58</v>
      </c>
      <c r="D15" s="1">
        <v>59</v>
      </c>
      <c r="E15" s="1">
        <v>60</v>
      </c>
      <c r="F15" s="1">
        <v>61</v>
      </c>
      <c r="G15" s="1">
        <v>62</v>
      </c>
      <c r="H15" s="1">
        <v>63</v>
      </c>
      <c r="I15" s="1">
        <v>65</v>
      </c>
      <c r="J15" s="1">
        <v>66</v>
      </c>
      <c r="K15" s="1">
        <v>67</v>
      </c>
      <c r="L15" s="1">
        <v>68</v>
      </c>
      <c r="M15" s="1">
        <v>69</v>
      </c>
      <c r="N15" s="1">
        <v>70</v>
      </c>
      <c r="O15" s="1">
        <v>71</v>
      </c>
      <c r="P15" s="1">
        <v>72</v>
      </c>
      <c r="Q15" s="1">
        <v>73</v>
      </c>
      <c r="R15" s="1">
        <v>74</v>
      </c>
      <c r="S15" s="1">
        <v>75</v>
      </c>
      <c r="T15" s="1">
        <v>76</v>
      </c>
      <c r="U15" s="1">
        <v>77</v>
      </c>
      <c r="V15" s="1">
        <v>78</v>
      </c>
    </row>
    <row r="16" spans="1:22" x14ac:dyDescent="0.25">
      <c r="A16" s="3">
        <v>85</v>
      </c>
      <c r="B16" s="1">
        <v>57</v>
      </c>
      <c r="C16" s="1">
        <v>58</v>
      </c>
      <c r="D16" s="1">
        <v>59</v>
      </c>
      <c r="E16" s="1">
        <v>60</v>
      </c>
      <c r="F16" s="1">
        <v>61</v>
      </c>
      <c r="G16" s="1">
        <v>62</v>
      </c>
      <c r="H16" s="1">
        <v>63</v>
      </c>
      <c r="I16" s="1">
        <v>64</v>
      </c>
      <c r="J16" s="1">
        <v>65</v>
      </c>
      <c r="K16" s="1">
        <v>66</v>
      </c>
      <c r="L16" s="1">
        <v>67</v>
      </c>
      <c r="M16" s="1">
        <v>68</v>
      </c>
      <c r="N16" s="1">
        <v>69</v>
      </c>
      <c r="O16" s="1">
        <v>70</v>
      </c>
      <c r="P16" s="1">
        <v>71</v>
      </c>
      <c r="Q16" s="1">
        <v>72</v>
      </c>
      <c r="R16" s="1">
        <v>73</v>
      </c>
      <c r="S16" s="1">
        <v>74</v>
      </c>
      <c r="T16" s="1">
        <v>75</v>
      </c>
      <c r="U16" s="1">
        <v>76</v>
      </c>
      <c r="V16" s="1">
        <v>77</v>
      </c>
    </row>
    <row r="17" spans="1:22" x14ac:dyDescent="0.25">
      <c r="A17" s="3">
        <v>90</v>
      </c>
      <c r="B17" s="1">
        <v>56</v>
      </c>
      <c r="C17" s="1">
        <v>57</v>
      </c>
      <c r="D17" s="1">
        <v>58</v>
      </c>
      <c r="E17" s="1">
        <v>59</v>
      </c>
      <c r="F17" s="1">
        <v>60</v>
      </c>
      <c r="G17" s="1">
        <v>61</v>
      </c>
      <c r="H17" s="1">
        <v>62</v>
      </c>
      <c r="I17" s="1">
        <v>63</v>
      </c>
      <c r="J17" s="1">
        <v>64</v>
      </c>
      <c r="K17" s="1">
        <v>65</v>
      </c>
      <c r="L17" s="1">
        <v>66</v>
      </c>
      <c r="M17" s="1">
        <v>67</v>
      </c>
      <c r="N17" s="1">
        <v>68</v>
      </c>
      <c r="O17" s="1">
        <v>69</v>
      </c>
      <c r="P17" s="1">
        <v>70</v>
      </c>
      <c r="Q17" s="1">
        <v>71</v>
      </c>
      <c r="R17" s="1">
        <v>72</v>
      </c>
      <c r="S17" s="1">
        <v>73</v>
      </c>
      <c r="T17" s="1">
        <v>74</v>
      </c>
      <c r="U17" s="1">
        <v>75</v>
      </c>
      <c r="V17" s="1">
        <v>76</v>
      </c>
    </row>
    <row r="18" spans="1:22" x14ac:dyDescent="0.25">
      <c r="A18" s="3">
        <v>95</v>
      </c>
      <c r="B18" s="1">
        <v>55</v>
      </c>
      <c r="C18" s="1">
        <v>56</v>
      </c>
      <c r="D18" s="1">
        <v>57</v>
      </c>
      <c r="E18" s="1">
        <v>58</v>
      </c>
      <c r="F18" s="1">
        <v>59</v>
      </c>
      <c r="G18" s="1">
        <v>60</v>
      </c>
      <c r="H18" s="1">
        <v>61</v>
      </c>
      <c r="I18" s="1">
        <v>62</v>
      </c>
      <c r="J18" s="1">
        <v>63</v>
      </c>
      <c r="K18" s="1">
        <v>64</v>
      </c>
      <c r="L18" s="1">
        <v>65</v>
      </c>
      <c r="M18" s="1">
        <v>66</v>
      </c>
      <c r="N18" s="1">
        <v>67</v>
      </c>
      <c r="O18" s="1">
        <v>69</v>
      </c>
      <c r="P18" s="1">
        <v>70</v>
      </c>
      <c r="Q18" s="1">
        <v>71</v>
      </c>
      <c r="R18" s="1">
        <v>72</v>
      </c>
      <c r="S18" s="1">
        <v>73</v>
      </c>
      <c r="T18" s="1">
        <v>74</v>
      </c>
      <c r="U18" s="1">
        <v>75</v>
      </c>
      <c r="V18" s="1">
        <v>76</v>
      </c>
    </row>
    <row r="19" spans="1:22" x14ac:dyDescent="0.25">
      <c r="A19" s="3">
        <v>100</v>
      </c>
      <c r="B19" s="1">
        <v>54</v>
      </c>
      <c r="C19" s="1">
        <v>55</v>
      </c>
      <c r="D19" s="1">
        <v>57</v>
      </c>
      <c r="E19" s="1">
        <v>58</v>
      </c>
      <c r="F19" s="1">
        <v>59</v>
      </c>
      <c r="G19" s="1">
        <v>60</v>
      </c>
      <c r="H19" s="1">
        <v>61</v>
      </c>
      <c r="I19" s="1">
        <v>62</v>
      </c>
      <c r="J19" s="1">
        <v>63</v>
      </c>
      <c r="K19" s="1">
        <v>64</v>
      </c>
      <c r="L19" s="1">
        <v>65</v>
      </c>
      <c r="M19" s="1">
        <v>66</v>
      </c>
      <c r="N19" s="1">
        <v>67</v>
      </c>
      <c r="O19" s="1">
        <v>68</v>
      </c>
      <c r="P19" s="1">
        <v>69</v>
      </c>
      <c r="Q19" s="1">
        <v>70</v>
      </c>
      <c r="R19" s="1">
        <v>71</v>
      </c>
      <c r="S19" s="1">
        <v>72</v>
      </c>
      <c r="T19" s="1">
        <v>73</v>
      </c>
      <c r="U19" s="1">
        <v>74</v>
      </c>
      <c r="V19" s="1">
        <v>75</v>
      </c>
    </row>
    <row r="21" spans="1:22" x14ac:dyDescent="0.25">
      <c r="A21" t="s">
        <v>2</v>
      </c>
      <c r="C21" s="130">
        <f>'Stroop Word Predicted'!C21:D21</f>
        <v>29722</v>
      </c>
      <c r="D21" s="130"/>
    </row>
    <row r="22" spans="1:22" x14ac:dyDescent="0.25">
      <c r="A22" t="s">
        <v>4</v>
      </c>
      <c r="C22" s="130">
        <f>'Stroop Word Predicted'!C22:D22</f>
        <v>44704</v>
      </c>
      <c r="D22" s="130"/>
      <c r="E22" s="131"/>
      <c r="F22" s="131"/>
      <c r="G22" s="131"/>
      <c r="H22" s="130"/>
      <c r="I22" s="130"/>
    </row>
    <row r="23" spans="1:22" x14ac:dyDescent="0.25">
      <c r="A23" t="s">
        <v>0</v>
      </c>
      <c r="B23" s="2"/>
      <c r="C23" s="6">
        <f>'Stroop Word Predicted'!C23</f>
        <v>41.019444444444446</v>
      </c>
    </row>
    <row r="24" spans="1:22" ht="15.75" x14ac:dyDescent="0.25">
      <c r="A24" t="s">
        <v>3</v>
      </c>
      <c r="B24" s="2"/>
      <c r="C24" s="5">
        <f>'Stroop Word Predicted'!C24</f>
        <v>40</v>
      </c>
      <c r="F24" s="132" t="s">
        <v>5</v>
      </c>
      <c r="G24" s="132"/>
      <c r="H24" s="132"/>
      <c r="I24" s="115">
        <f>IF(C24="","",IF(B25="","",VLOOKUP(C24,A1:V19,B25+2,FALSE)))</f>
        <v>82</v>
      </c>
      <c r="J24" s="115"/>
      <c r="K24" s="115"/>
    </row>
    <row r="25" spans="1:22" x14ac:dyDescent="0.25">
      <c r="A25" t="s">
        <v>1</v>
      </c>
      <c r="B25" s="129">
        <f>'Stroop Word Predicted'!B25:C25</f>
        <v>18</v>
      </c>
      <c r="C25" s="129"/>
    </row>
  </sheetData>
  <sheetProtection sheet="1" objects="1" scenarios="1"/>
  <mergeCells count="7">
    <mergeCell ref="B25:C25"/>
    <mergeCell ref="C21:D21"/>
    <mergeCell ref="C22:D22"/>
    <mergeCell ref="E22:G22"/>
    <mergeCell ref="H22:I22"/>
    <mergeCell ref="F24:H24"/>
    <mergeCell ref="I24:K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5"/>
  <sheetViews>
    <sheetView workbookViewId="0">
      <selection activeCell="S39" sqref="S39"/>
    </sheetView>
  </sheetViews>
  <sheetFormatPr defaultRowHeight="15" x14ac:dyDescent="0.25"/>
  <cols>
    <col min="2" max="22" width="5.7109375" style="1" customWidth="1"/>
  </cols>
  <sheetData>
    <row r="1" spans="1:22" x14ac:dyDescent="0.25"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</row>
    <row r="2" spans="1:22" x14ac:dyDescent="0.25">
      <c r="A2" s="3">
        <v>15</v>
      </c>
      <c r="B2" s="1">
        <v>29</v>
      </c>
      <c r="C2" s="1">
        <v>30</v>
      </c>
      <c r="D2" s="1">
        <v>32</v>
      </c>
      <c r="E2" s="1">
        <v>33</v>
      </c>
      <c r="F2" s="1">
        <v>34</v>
      </c>
      <c r="G2" s="1">
        <v>36</v>
      </c>
      <c r="H2" s="1">
        <v>37</v>
      </c>
      <c r="I2" s="1">
        <v>38</v>
      </c>
      <c r="J2" s="1">
        <v>40</v>
      </c>
      <c r="K2" s="1">
        <v>41</v>
      </c>
      <c r="L2" s="1">
        <v>42</v>
      </c>
      <c r="M2" s="1">
        <v>44</v>
      </c>
      <c r="N2" s="1">
        <v>45</v>
      </c>
      <c r="O2" s="1">
        <v>46</v>
      </c>
      <c r="P2" s="1">
        <v>48</v>
      </c>
      <c r="Q2" s="1">
        <v>49</v>
      </c>
      <c r="R2" s="1">
        <v>51</v>
      </c>
      <c r="S2" s="1">
        <v>52</v>
      </c>
      <c r="T2" s="1">
        <v>53</v>
      </c>
      <c r="U2" s="1">
        <v>55</v>
      </c>
      <c r="V2" s="1">
        <v>56</v>
      </c>
    </row>
    <row r="3" spans="1:22" x14ac:dyDescent="0.25">
      <c r="A3" s="3">
        <v>20</v>
      </c>
      <c r="B3" s="1">
        <v>28</v>
      </c>
      <c r="C3" s="1">
        <v>29</v>
      </c>
      <c r="D3" s="1">
        <v>30</v>
      </c>
      <c r="E3" s="1">
        <v>32</v>
      </c>
      <c r="F3" s="1">
        <v>33</v>
      </c>
      <c r="G3" s="1">
        <v>35</v>
      </c>
      <c r="H3" s="1">
        <v>36</v>
      </c>
      <c r="I3" s="1">
        <v>37</v>
      </c>
      <c r="J3" s="1">
        <v>39</v>
      </c>
      <c r="K3" s="1">
        <v>40</v>
      </c>
      <c r="L3" s="1">
        <v>41</v>
      </c>
      <c r="M3" s="1">
        <v>43</v>
      </c>
      <c r="N3" s="1">
        <v>44</v>
      </c>
      <c r="O3" s="1">
        <v>45</v>
      </c>
      <c r="P3" s="1">
        <v>47</v>
      </c>
      <c r="Q3" s="1">
        <v>48</v>
      </c>
      <c r="R3" s="1">
        <v>49</v>
      </c>
      <c r="S3" s="1">
        <v>51</v>
      </c>
      <c r="T3" s="1">
        <v>52</v>
      </c>
      <c r="U3" s="1">
        <v>53</v>
      </c>
      <c r="V3" s="1">
        <v>55</v>
      </c>
    </row>
    <row r="4" spans="1:22" x14ac:dyDescent="0.25">
      <c r="A4" s="3">
        <v>25</v>
      </c>
      <c r="B4" s="1">
        <v>27</v>
      </c>
      <c r="C4" s="1">
        <v>28</v>
      </c>
      <c r="D4" s="1">
        <v>29</v>
      </c>
      <c r="E4" s="1">
        <v>31</v>
      </c>
      <c r="F4" s="1">
        <v>32</v>
      </c>
      <c r="G4" s="1">
        <v>33</v>
      </c>
      <c r="H4" s="1">
        <v>35</v>
      </c>
      <c r="I4" s="1">
        <v>36</v>
      </c>
      <c r="J4" s="1">
        <v>37</v>
      </c>
      <c r="K4" s="1">
        <v>39</v>
      </c>
      <c r="L4" s="1">
        <v>40</v>
      </c>
      <c r="M4" s="1">
        <v>41</v>
      </c>
      <c r="N4" s="1">
        <v>43</v>
      </c>
      <c r="O4" s="1">
        <v>44</v>
      </c>
      <c r="P4" s="1">
        <v>46</v>
      </c>
      <c r="Q4" s="1">
        <v>47</v>
      </c>
      <c r="R4" s="1">
        <v>48</v>
      </c>
      <c r="S4" s="1">
        <v>50</v>
      </c>
      <c r="T4" s="1">
        <v>51</v>
      </c>
      <c r="U4" s="1">
        <v>52</v>
      </c>
      <c r="V4" s="1">
        <v>54</v>
      </c>
    </row>
    <row r="5" spans="1:22" x14ac:dyDescent="0.25">
      <c r="A5" s="3">
        <v>30</v>
      </c>
      <c r="B5" s="1">
        <v>25</v>
      </c>
      <c r="C5" s="1">
        <v>27</v>
      </c>
      <c r="D5" s="1">
        <v>28</v>
      </c>
      <c r="E5" s="1">
        <v>29</v>
      </c>
      <c r="F5" s="1">
        <v>31</v>
      </c>
      <c r="G5" s="1">
        <v>32</v>
      </c>
      <c r="H5" s="1">
        <v>34</v>
      </c>
      <c r="I5" s="1">
        <v>35</v>
      </c>
      <c r="J5" s="1">
        <v>36</v>
      </c>
      <c r="K5" s="1">
        <v>38</v>
      </c>
      <c r="L5" s="1">
        <v>39</v>
      </c>
      <c r="M5" s="1">
        <v>40</v>
      </c>
      <c r="N5" s="1">
        <v>42</v>
      </c>
      <c r="O5" s="1">
        <v>43</v>
      </c>
      <c r="P5" s="1">
        <v>44</v>
      </c>
      <c r="Q5" s="1">
        <v>46</v>
      </c>
      <c r="R5" s="1">
        <v>47</v>
      </c>
      <c r="S5" s="1">
        <v>48</v>
      </c>
      <c r="T5" s="1">
        <v>50</v>
      </c>
      <c r="U5" s="1">
        <v>51</v>
      </c>
      <c r="V5" s="1">
        <v>52</v>
      </c>
    </row>
    <row r="6" spans="1:22" x14ac:dyDescent="0.25">
      <c r="A6" s="3">
        <v>35</v>
      </c>
      <c r="B6" s="1">
        <v>24</v>
      </c>
      <c r="C6" s="1">
        <v>26</v>
      </c>
      <c r="D6" s="1">
        <v>27</v>
      </c>
      <c r="E6" s="1">
        <v>28</v>
      </c>
      <c r="F6" s="1">
        <v>30</v>
      </c>
      <c r="G6" s="1">
        <v>31</v>
      </c>
      <c r="H6" s="1">
        <v>32</v>
      </c>
      <c r="I6" s="1">
        <v>34</v>
      </c>
      <c r="J6" s="1">
        <v>35</v>
      </c>
      <c r="K6" s="1">
        <v>36</v>
      </c>
      <c r="L6" s="1">
        <v>38</v>
      </c>
      <c r="M6" s="1">
        <v>39</v>
      </c>
      <c r="N6" s="1">
        <v>40</v>
      </c>
      <c r="O6" s="1">
        <v>42</v>
      </c>
      <c r="P6" s="1">
        <v>43</v>
      </c>
      <c r="Q6" s="1">
        <v>45</v>
      </c>
      <c r="R6" s="1">
        <v>46</v>
      </c>
      <c r="S6" s="1">
        <v>47</v>
      </c>
      <c r="T6" s="1">
        <v>49</v>
      </c>
      <c r="U6" s="1">
        <v>50</v>
      </c>
      <c r="V6" s="1">
        <v>51</v>
      </c>
    </row>
    <row r="7" spans="1:22" x14ac:dyDescent="0.25">
      <c r="A7" s="3">
        <v>40</v>
      </c>
      <c r="B7" s="1">
        <v>23</v>
      </c>
      <c r="C7" s="1">
        <v>24</v>
      </c>
      <c r="D7" s="1">
        <v>26</v>
      </c>
      <c r="E7" s="1">
        <v>27</v>
      </c>
      <c r="F7" s="1">
        <v>29</v>
      </c>
      <c r="G7" s="1">
        <v>30</v>
      </c>
      <c r="H7" s="1">
        <v>31</v>
      </c>
      <c r="I7" s="1">
        <v>33</v>
      </c>
      <c r="J7" s="1">
        <v>34</v>
      </c>
      <c r="K7" s="1">
        <v>35</v>
      </c>
      <c r="L7" s="1">
        <v>37</v>
      </c>
      <c r="M7" s="1">
        <v>38</v>
      </c>
      <c r="N7" s="1">
        <v>39</v>
      </c>
      <c r="O7" s="1">
        <v>41</v>
      </c>
      <c r="P7" s="1">
        <v>42</v>
      </c>
      <c r="Q7" s="1">
        <v>43</v>
      </c>
      <c r="R7" s="1">
        <v>45</v>
      </c>
      <c r="S7" s="1">
        <v>46</v>
      </c>
      <c r="T7" s="1">
        <v>47</v>
      </c>
      <c r="U7" s="1">
        <v>49</v>
      </c>
      <c r="V7" s="1">
        <v>50</v>
      </c>
    </row>
    <row r="8" spans="1:22" x14ac:dyDescent="0.25">
      <c r="A8" s="3">
        <v>45</v>
      </c>
      <c r="B8" s="1">
        <v>22</v>
      </c>
      <c r="C8" s="1">
        <v>23</v>
      </c>
      <c r="D8" s="1">
        <v>25</v>
      </c>
      <c r="E8" s="1">
        <v>26</v>
      </c>
      <c r="F8" s="1">
        <v>27</v>
      </c>
      <c r="G8" s="1">
        <v>29</v>
      </c>
      <c r="H8" s="1">
        <v>30</v>
      </c>
      <c r="I8" s="1">
        <v>31</v>
      </c>
      <c r="J8" s="1">
        <v>33</v>
      </c>
      <c r="K8" s="1">
        <v>34</v>
      </c>
      <c r="L8" s="1">
        <v>35</v>
      </c>
      <c r="M8" s="1">
        <v>37</v>
      </c>
      <c r="N8" s="1">
        <v>38</v>
      </c>
      <c r="O8" s="1">
        <v>40</v>
      </c>
      <c r="P8" s="1">
        <v>41</v>
      </c>
      <c r="Q8" s="1">
        <v>42</v>
      </c>
      <c r="R8" s="1">
        <v>44</v>
      </c>
      <c r="S8" s="1">
        <v>45</v>
      </c>
      <c r="T8" s="1">
        <v>46</v>
      </c>
      <c r="U8" s="1">
        <v>48</v>
      </c>
      <c r="V8" s="1">
        <v>49</v>
      </c>
    </row>
    <row r="9" spans="1:22" x14ac:dyDescent="0.25">
      <c r="A9" s="3">
        <v>50</v>
      </c>
      <c r="B9" s="1">
        <v>21</v>
      </c>
      <c r="C9" s="1">
        <v>22</v>
      </c>
      <c r="D9" s="1">
        <v>24</v>
      </c>
      <c r="E9" s="1">
        <v>25</v>
      </c>
      <c r="F9" s="1">
        <v>26</v>
      </c>
      <c r="G9" s="1">
        <v>28</v>
      </c>
      <c r="H9" s="1">
        <v>29</v>
      </c>
      <c r="I9" s="1">
        <v>30</v>
      </c>
      <c r="J9" s="1">
        <v>32</v>
      </c>
      <c r="K9" s="1">
        <v>33</v>
      </c>
      <c r="L9" s="1">
        <v>34</v>
      </c>
      <c r="M9" s="1">
        <v>36</v>
      </c>
      <c r="N9" s="1">
        <v>37</v>
      </c>
      <c r="O9" s="1">
        <v>38</v>
      </c>
      <c r="P9" s="1">
        <v>40</v>
      </c>
      <c r="Q9" s="1">
        <v>41</v>
      </c>
      <c r="R9" s="1">
        <v>42</v>
      </c>
      <c r="S9" s="1">
        <v>44</v>
      </c>
      <c r="T9" s="1">
        <v>45</v>
      </c>
      <c r="U9" s="1">
        <v>46</v>
      </c>
      <c r="V9" s="1">
        <v>48</v>
      </c>
    </row>
    <row r="10" spans="1:22" x14ac:dyDescent="0.25">
      <c r="A10" s="3">
        <v>55</v>
      </c>
      <c r="B10" s="1">
        <v>20</v>
      </c>
      <c r="C10" s="1">
        <v>21</v>
      </c>
      <c r="D10" s="1">
        <v>22</v>
      </c>
      <c r="E10" s="1">
        <v>24</v>
      </c>
      <c r="F10" s="1">
        <v>25</v>
      </c>
      <c r="G10" s="1">
        <v>26</v>
      </c>
      <c r="H10" s="1">
        <v>28</v>
      </c>
      <c r="I10" s="1">
        <v>29</v>
      </c>
      <c r="J10" s="1">
        <v>30</v>
      </c>
      <c r="K10" s="1">
        <v>32</v>
      </c>
      <c r="L10" s="1">
        <v>33</v>
      </c>
      <c r="M10" s="1">
        <v>35</v>
      </c>
      <c r="N10" s="1">
        <v>36</v>
      </c>
      <c r="O10" s="1">
        <v>37</v>
      </c>
      <c r="P10" s="1">
        <v>39</v>
      </c>
      <c r="Q10" s="1">
        <v>40</v>
      </c>
      <c r="R10" s="1">
        <v>41</v>
      </c>
      <c r="S10" s="1">
        <v>43</v>
      </c>
      <c r="T10" s="1">
        <v>44</v>
      </c>
      <c r="U10" s="1">
        <v>45</v>
      </c>
      <c r="V10" s="1">
        <v>47</v>
      </c>
    </row>
    <row r="11" spans="1:22" x14ac:dyDescent="0.25">
      <c r="A11" s="3">
        <v>60</v>
      </c>
      <c r="B11" s="1">
        <v>19</v>
      </c>
      <c r="C11" s="1">
        <v>20</v>
      </c>
      <c r="D11" s="1">
        <v>21</v>
      </c>
      <c r="E11" s="1">
        <v>23</v>
      </c>
      <c r="F11" s="1">
        <v>24</v>
      </c>
      <c r="G11" s="1">
        <v>25</v>
      </c>
      <c r="H11" s="1">
        <v>27</v>
      </c>
      <c r="I11" s="1">
        <v>28</v>
      </c>
      <c r="J11" s="1">
        <v>29</v>
      </c>
      <c r="K11" s="1">
        <v>31</v>
      </c>
      <c r="L11" s="1">
        <v>32</v>
      </c>
      <c r="M11" s="1">
        <v>33</v>
      </c>
      <c r="N11" s="1">
        <v>35</v>
      </c>
      <c r="O11" s="1">
        <v>36</v>
      </c>
      <c r="P11" s="1">
        <v>37</v>
      </c>
      <c r="Q11" s="1">
        <v>39</v>
      </c>
      <c r="R11" s="1">
        <v>40</v>
      </c>
      <c r="S11" s="1">
        <v>41</v>
      </c>
      <c r="T11" s="1">
        <v>43</v>
      </c>
      <c r="U11" s="1">
        <v>44</v>
      </c>
      <c r="V11" s="1">
        <v>46</v>
      </c>
    </row>
    <row r="12" spans="1:22" x14ac:dyDescent="0.25">
      <c r="A12" s="3">
        <v>65</v>
      </c>
      <c r="B12" s="1">
        <v>17</v>
      </c>
      <c r="C12" s="1">
        <v>19</v>
      </c>
      <c r="D12" s="1">
        <v>20</v>
      </c>
      <c r="E12" s="1">
        <v>21</v>
      </c>
      <c r="F12" s="1">
        <v>23</v>
      </c>
      <c r="G12" s="1">
        <v>24</v>
      </c>
      <c r="H12" s="1">
        <v>25</v>
      </c>
      <c r="I12" s="1">
        <v>27</v>
      </c>
      <c r="J12" s="1">
        <v>28</v>
      </c>
      <c r="K12" s="1">
        <v>30</v>
      </c>
      <c r="L12" s="1">
        <v>31</v>
      </c>
      <c r="M12" s="1">
        <v>32</v>
      </c>
      <c r="N12" s="1">
        <v>34</v>
      </c>
      <c r="O12" s="1">
        <v>35</v>
      </c>
      <c r="P12" s="1">
        <v>36</v>
      </c>
      <c r="Q12" s="1">
        <v>38</v>
      </c>
      <c r="R12" s="1">
        <v>39</v>
      </c>
      <c r="S12" s="1">
        <v>40</v>
      </c>
      <c r="T12" s="1">
        <v>42</v>
      </c>
      <c r="U12" s="1">
        <v>43</v>
      </c>
      <c r="V12" s="1">
        <v>44</v>
      </c>
    </row>
    <row r="13" spans="1:22" x14ac:dyDescent="0.25">
      <c r="A13" s="3">
        <v>70</v>
      </c>
      <c r="B13" s="1">
        <v>16</v>
      </c>
      <c r="C13" s="1">
        <v>18</v>
      </c>
      <c r="D13" s="1">
        <v>19</v>
      </c>
      <c r="E13" s="1">
        <v>20</v>
      </c>
      <c r="F13" s="1">
        <v>22</v>
      </c>
      <c r="G13" s="1">
        <v>23</v>
      </c>
      <c r="H13" s="1">
        <v>24</v>
      </c>
      <c r="I13" s="1">
        <v>26</v>
      </c>
      <c r="J13" s="1">
        <v>27</v>
      </c>
      <c r="K13" s="1">
        <v>28</v>
      </c>
      <c r="L13" s="1">
        <v>30</v>
      </c>
      <c r="M13" s="1">
        <v>31</v>
      </c>
      <c r="N13" s="1">
        <v>32</v>
      </c>
      <c r="O13" s="1">
        <v>34</v>
      </c>
      <c r="P13" s="1">
        <v>35</v>
      </c>
      <c r="Q13" s="1">
        <v>36</v>
      </c>
      <c r="R13" s="1">
        <v>38</v>
      </c>
      <c r="S13" s="1">
        <v>39</v>
      </c>
      <c r="T13" s="1">
        <v>41</v>
      </c>
      <c r="U13" s="1">
        <v>42</v>
      </c>
      <c r="V13" s="1">
        <v>43</v>
      </c>
    </row>
    <row r="14" spans="1:22" x14ac:dyDescent="0.25">
      <c r="A14" s="3">
        <v>75</v>
      </c>
      <c r="B14" s="1">
        <v>15</v>
      </c>
      <c r="C14" s="1">
        <v>16</v>
      </c>
      <c r="D14" s="1">
        <v>18</v>
      </c>
      <c r="E14" s="1">
        <v>19</v>
      </c>
      <c r="F14" s="1">
        <v>20</v>
      </c>
      <c r="G14" s="1">
        <v>22</v>
      </c>
      <c r="H14" s="1">
        <v>23</v>
      </c>
      <c r="I14" s="1">
        <v>25</v>
      </c>
      <c r="J14" s="1">
        <v>26</v>
      </c>
      <c r="K14" s="1">
        <v>27</v>
      </c>
      <c r="L14" s="1">
        <v>29</v>
      </c>
      <c r="M14" s="1">
        <v>30</v>
      </c>
      <c r="N14" s="1">
        <v>31</v>
      </c>
      <c r="O14" s="1">
        <v>33</v>
      </c>
      <c r="P14" s="1">
        <v>34</v>
      </c>
      <c r="Q14" s="1">
        <v>35</v>
      </c>
      <c r="R14" s="1">
        <v>37</v>
      </c>
      <c r="S14" s="1">
        <v>38</v>
      </c>
      <c r="T14" s="1">
        <v>39</v>
      </c>
      <c r="U14" s="1">
        <v>41</v>
      </c>
      <c r="V14" s="1">
        <v>42</v>
      </c>
    </row>
    <row r="15" spans="1:22" x14ac:dyDescent="0.25">
      <c r="A15" s="3">
        <v>80</v>
      </c>
      <c r="B15" s="1">
        <v>14</v>
      </c>
      <c r="C15" s="1">
        <v>15</v>
      </c>
      <c r="D15" s="1">
        <v>17</v>
      </c>
      <c r="E15" s="1">
        <v>18</v>
      </c>
      <c r="F15" s="1">
        <v>19</v>
      </c>
      <c r="G15" s="1">
        <v>21</v>
      </c>
      <c r="H15" s="1">
        <v>22</v>
      </c>
      <c r="I15" s="1">
        <v>23</v>
      </c>
      <c r="J15" s="1">
        <v>25</v>
      </c>
      <c r="K15" s="1">
        <v>26</v>
      </c>
      <c r="L15" s="1">
        <v>27</v>
      </c>
      <c r="M15" s="1">
        <v>29</v>
      </c>
      <c r="N15" s="1">
        <v>30</v>
      </c>
      <c r="O15" s="1">
        <v>31</v>
      </c>
      <c r="P15" s="1">
        <v>33</v>
      </c>
      <c r="Q15" s="1">
        <v>34</v>
      </c>
      <c r="R15" s="1">
        <v>36</v>
      </c>
      <c r="S15" s="1">
        <v>37</v>
      </c>
      <c r="T15" s="1">
        <v>38</v>
      </c>
      <c r="U15" s="1">
        <v>40</v>
      </c>
      <c r="V15" s="1">
        <v>41</v>
      </c>
    </row>
    <row r="16" spans="1:22" x14ac:dyDescent="0.25">
      <c r="A16" s="3">
        <v>85</v>
      </c>
      <c r="B16" s="1">
        <v>13</v>
      </c>
      <c r="C16" s="1">
        <v>14</v>
      </c>
      <c r="D16" s="1">
        <v>15</v>
      </c>
      <c r="E16" s="1">
        <v>17</v>
      </c>
      <c r="F16" s="1">
        <v>18</v>
      </c>
      <c r="G16" s="1">
        <v>19</v>
      </c>
      <c r="H16" s="1">
        <v>21</v>
      </c>
      <c r="I16" s="1">
        <v>22</v>
      </c>
      <c r="J16" s="1">
        <v>24</v>
      </c>
      <c r="K16" s="1">
        <v>25</v>
      </c>
      <c r="L16" s="1">
        <v>26</v>
      </c>
      <c r="M16" s="1">
        <v>28</v>
      </c>
      <c r="N16" s="1">
        <v>29</v>
      </c>
      <c r="O16" s="1">
        <v>30</v>
      </c>
      <c r="P16" s="1">
        <v>32</v>
      </c>
      <c r="Q16" s="1">
        <v>33</v>
      </c>
      <c r="R16" s="1">
        <v>34</v>
      </c>
      <c r="S16" s="1">
        <v>36</v>
      </c>
      <c r="T16" s="1">
        <v>37</v>
      </c>
      <c r="U16" s="1">
        <v>38</v>
      </c>
      <c r="V16" s="1">
        <v>40</v>
      </c>
    </row>
    <row r="17" spans="1:22" x14ac:dyDescent="0.25">
      <c r="A17" s="3">
        <v>90</v>
      </c>
      <c r="B17" s="1">
        <v>12</v>
      </c>
      <c r="C17" s="1">
        <v>13</v>
      </c>
      <c r="D17" s="1">
        <v>14</v>
      </c>
      <c r="E17" s="1">
        <v>16</v>
      </c>
      <c r="F17" s="1">
        <v>17</v>
      </c>
      <c r="G17" s="1">
        <v>18</v>
      </c>
      <c r="H17" s="1">
        <v>20</v>
      </c>
      <c r="I17" s="1">
        <v>21</v>
      </c>
      <c r="J17" s="1">
        <v>22</v>
      </c>
      <c r="K17" s="1">
        <v>24</v>
      </c>
      <c r="L17" s="1">
        <v>25</v>
      </c>
      <c r="M17" s="1">
        <v>26</v>
      </c>
      <c r="N17" s="1">
        <v>28</v>
      </c>
      <c r="O17" s="1">
        <v>29</v>
      </c>
      <c r="P17" s="1">
        <v>30</v>
      </c>
      <c r="Q17" s="1">
        <v>32</v>
      </c>
      <c r="R17" s="1">
        <v>33</v>
      </c>
      <c r="S17" s="1">
        <v>35</v>
      </c>
      <c r="T17" s="1">
        <v>36</v>
      </c>
      <c r="U17" s="1">
        <v>37</v>
      </c>
      <c r="V17" s="1">
        <v>39</v>
      </c>
    </row>
    <row r="18" spans="1:22" x14ac:dyDescent="0.25">
      <c r="A18" s="3">
        <v>95</v>
      </c>
      <c r="B18" s="1">
        <v>10</v>
      </c>
      <c r="C18" s="1">
        <v>12</v>
      </c>
      <c r="D18" s="1">
        <v>13</v>
      </c>
      <c r="E18" s="1">
        <v>14</v>
      </c>
      <c r="F18" s="1">
        <v>16</v>
      </c>
      <c r="G18" s="1">
        <v>17</v>
      </c>
      <c r="H18" s="1">
        <v>19</v>
      </c>
      <c r="I18" s="1">
        <v>20</v>
      </c>
      <c r="J18" s="1">
        <v>21</v>
      </c>
      <c r="K18" s="1">
        <v>23</v>
      </c>
      <c r="L18" s="1">
        <v>24</v>
      </c>
      <c r="M18" s="1">
        <v>25</v>
      </c>
      <c r="N18" s="1">
        <v>27</v>
      </c>
      <c r="O18" s="1">
        <v>28</v>
      </c>
      <c r="P18" s="1">
        <v>29</v>
      </c>
      <c r="Q18" s="1">
        <v>31</v>
      </c>
      <c r="R18" s="1">
        <v>32</v>
      </c>
      <c r="S18" s="1">
        <v>33</v>
      </c>
      <c r="T18" s="1">
        <v>35</v>
      </c>
      <c r="U18" s="1">
        <v>36</v>
      </c>
      <c r="V18" s="1">
        <v>37</v>
      </c>
    </row>
    <row r="19" spans="1:22" x14ac:dyDescent="0.25">
      <c r="A19" s="3">
        <v>100</v>
      </c>
      <c r="B19" s="1">
        <v>9</v>
      </c>
      <c r="C19" s="1">
        <v>11</v>
      </c>
      <c r="D19" s="1">
        <v>12</v>
      </c>
      <c r="E19" s="1">
        <v>13</v>
      </c>
      <c r="F19" s="1">
        <v>15</v>
      </c>
      <c r="G19" s="1">
        <v>16</v>
      </c>
      <c r="H19" s="1">
        <v>17</v>
      </c>
      <c r="I19" s="1">
        <v>19</v>
      </c>
      <c r="J19" s="1">
        <v>20</v>
      </c>
      <c r="K19" s="1">
        <v>21</v>
      </c>
      <c r="L19" s="1">
        <v>23</v>
      </c>
      <c r="M19" s="1">
        <v>24</v>
      </c>
      <c r="N19" s="1">
        <v>25</v>
      </c>
      <c r="O19" s="1">
        <v>27</v>
      </c>
      <c r="P19" s="1">
        <v>28</v>
      </c>
      <c r="Q19" s="1">
        <v>30</v>
      </c>
      <c r="R19" s="1">
        <v>31</v>
      </c>
      <c r="S19" s="1">
        <v>32</v>
      </c>
      <c r="T19" s="1">
        <v>34</v>
      </c>
      <c r="U19" s="1">
        <v>35</v>
      </c>
      <c r="V19" s="1">
        <v>36</v>
      </c>
    </row>
    <row r="21" spans="1:22" x14ac:dyDescent="0.25">
      <c r="A21" t="s">
        <v>2</v>
      </c>
      <c r="C21" s="130">
        <f>'Stroop Word Predicted'!C21:D21</f>
        <v>29722</v>
      </c>
      <c r="D21" s="130"/>
    </row>
    <row r="22" spans="1:22" x14ac:dyDescent="0.25">
      <c r="A22" t="s">
        <v>4</v>
      </c>
      <c r="C22" s="130">
        <f>'Stroop Word Predicted'!C22:D22</f>
        <v>44704</v>
      </c>
      <c r="D22" s="130"/>
      <c r="E22" s="131"/>
      <c r="F22" s="131"/>
      <c r="G22" s="131"/>
      <c r="H22" s="130"/>
      <c r="I22" s="130"/>
    </row>
    <row r="23" spans="1:22" x14ac:dyDescent="0.25">
      <c r="A23" t="s">
        <v>0</v>
      </c>
      <c r="B23" s="2"/>
      <c r="C23" s="6">
        <f>'Stroop Word Predicted'!C23</f>
        <v>41.019444444444446</v>
      </c>
    </row>
    <row r="24" spans="1:22" ht="15.75" x14ac:dyDescent="0.25">
      <c r="A24" t="s">
        <v>3</v>
      </c>
      <c r="B24" s="2"/>
      <c r="C24" s="5">
        <f>'Stroop Word Predicted'!C24</f>
        <v>40</v>
      </c>
      <c r="F24" s="132" t="s">
        <v>5</v>
      </c>
      <c r="G24" s="132"/>
      <c r="H24" s="132"/>
      <c r="I24" s="115">
        <f>IF(C24="","",IF(B25="","",VLOOKUP(C24,A1:V19,B25+2,FALSE)))</f>
        <v>47</v>
      </c>
      <c r="J24" s="115"/>
      <c r="K24" s="115"/>
    </row>
    <row r="25" spans="1:22" x14ac:dyDescent="0.25">
      <c r="A25" t="s">
        <v>1</v>
      </c>
      <c r="B25" s="129">
        <f>'Stroop Word Predicted'!B25:C25</f>
        <v>18</v>
      </c>
      <c r="C25" s="129"/>
    </row>
  </sheetData>
  <sheetProtection sheet="1" objects="1" scenarios="1"/>
  <mergeCells count="7">
    <mergeCell ref="B25:C25"/>
    <mergeCell ref="C21:D21"/>
    <mergeCell ref="C22:D22"/>
    <mergeCell ref="E22:G22"/>
    <mergeCell ref="H22:I22"/>
    <mergeCell ref="F24:H24"/>
    <mergeCell ref="I24:K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2"/>
  <sheetViews>
    <sheetView topLeftCell="A67" workbookViewId="0">
      <selection activeCell="D30" sqref="D30"/>
    </sheetView>
  </sheetViews>
  <sheetFormatPr defaultRowHeight="15" x14ac:dyDescent="0.25"/>
  <cols>
    <col min="1" max="1" width="15.42578125" customWidth="1"/>
    <col min="2" max="2" width="8.42578125" customWidth="1"/>
    <col min="3" max="3" width="7.85546875" customWidth="1"/>
    <col min="4" max="4" width="13.7109375" customWidth="1"/>
    <col min="5" max="5" width="11.140625" customWidth="1"/>
  </cols>
  <sheetData>
    <row r="1" spans="1:5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s="1">
        <v>50</v>
      </c>
      <c r="B2" s="1">
        <v>85</v>
      </c>
      <c r="C2" s="1">
        <v>92</v>
      </c>
      <c r="D2" s="1">
        <v>98</v>
      </c>
    </row>
    <row r="3" spans="1:5" x14ac:dyDescent="0.25">
      <c r="A3" s="1">
        <f>A2-1</f>
        <v>49</v>
      </c>
      <c r="B3" s="1">
        <v>84</v>
      </c>
      <c r="C3" s="1">
        <v>91</v>
      </c>
      <c r="D3" s="1">
        <v>97</v>
      </c>
    </row>
    <row r="4" spans="1:5" x14ac:dyDescent="0.25">
      <c r="A4" s="1">
        <f t="shared" ref="A4:A67" si="0">A3-1</f>
        <v>48</v>
      </c>
      <c r="B4" s="1">
        <v>84</v>
      </c>
      <c r="C4" s="1">
        <v>90</v>
      </c>
      <c r="D4" s="1">
        <v>97</v>
      </c>
    </row>
    <row r="5" spans="1:5" x14ac:dyDescent="0.25">
      <c r="A5" s="1">
        <f t="shared" si="0"/>
        <v>47</v>
      </c>
      <c r="B5" s="1">
        <v>83</v>
      </c>
      <c r="C5" s="1">
        <v>89</v>
      </c>
      <c r="D5" s="1">
        <v>96</v>
      </c>
    </row>
    <row r="6" spans="1:5" x14ac:dyDescent="0.25">
      <c r="A6" s="1">
        <f t="shared" si="0"/>
        <v>46</v>
      </c>
      <c r="B6" s="1">
        <v>82</v>
      </c>
      <c r="C6" s="1">
        <v>88</v>
      </c>
      <c r="D6" s="1">
        <v>95</v>
      </c>
    </row>
    <row r="7" spans="1:5" x14ac:dyDescent="0.25">
      <c r="A7" s="1">
        <f t="shared" si="0"/>
        <v>45</v>
      </c>
      <c r="B7" s="1">
        <v>82</v>
      </c>
      <c r="C7" s="1">
        <v>87</v>
      </c>
      <c r="D7" s="1">
        <v>94</v>
      </c>
    </row>
    <row r="8" spans="1:5" x14ac:dyDescent="0.25">
      <c r="A8" s="1">
        <f t="shared" si="0"/>
        <v>44</v>
      </c>
      <c r="B8" s="1">
        <v>81</v>
      </c>
      <c r="C8" s="1">
        <v>87</v>
      </c>
      <c r="D8" s="1">
        <v>93</v>
      </c>
    </row>
    <row r="9" spans="1:5" x14ac:dyDescent="0.25">
      <c r="A9" s="1">
        <f t="shared" si="0"/>
        <v>43</v>
      </c>
      <c r="B9" s="1">
        <v>80</v>
      </c>
      <c r="C9" s="1">
        <v>86</v>
      </c>
      <c r="D9" s="1">
        <v>92</v>
      </c>
    </row>
    <row r="10" spans="1:5" x14ac:dyDescent="0.25">
      <c r="A10" s="1">
        <f t="shared" si="0"/>
        <v>42</v>
      </c>
      <c r="B10" s="1">
        <v>80</v>
      </c>
      <c r="C10" s="1">
        <v>85</v>
      </c>
      <c r="D10" s="1">
        <v>91</v>
      </c>
    </row>
    <row r="11" spans="1:5" x14ac:dyDescent="0.25">
      <c r="A11" s="1">
        <f t="shared" si="0"/>
        <v>41</v>
      </c>
      <c r="B11" s="1">
        <v>79</v>
      </c>
      <c r="C11" s="1">
        <v>84</v>
      </c>
      <c r="D11" s="1">
        <v>90</v>
      </c>
    </row>
    <row r="12" spans="1:5" x14ac:dyDescent="0.25">
      <c r="A12" s="1">
        <f t="shared" si="0"/>
        <v>40</v>
      </c>
      <c r="B12" s="1">
        <v>78</v>
      </c>
      <c r="C12" s="1">
        <v>83</v>
      </c>
      <c r="D12" s="1">
        <v>89</v>
      </c>
    </row>
    <row r="13" spans="1:5" x14ac:dyDescent="0.25">
      <c r="A13" s="1">
        <f t="shared" si="0"/>
        <v>39</v>
      </c>
      <c r="B13" s="1">
        <v>77</v>
      </c>
      <c r="C13" s="1">
        <v>82</v>
      </c>
      <c r="D13" s="1">
        <v>88</v>
      </c>
    </row>
    <row r="14" spans="1:5" x14ac:dyDescent="0.25">
      <c r="A14" s="1">
        <f t="shared" si="0"/>
        <v>38</v>
      </c>
      <c r="B14" s="1">
        <v>77</v>
      </c>
      <c r="C14" s="1">
        <v>82</v>
      </c>
      <c r="D14" s="1">
        <v>87</v>
      </c>
    </row>
    <row r="15" spans="1:5" x14ac:dyDescent="0.25">
      <c r="A15" s="1">
        <f t="shared" si="0"/>
        <v>37</v>
      </c>
      <c r="B15" s="1">
        <v>76</v>
      </c>
      <c r="C15" s="1">
        <v>81</v>
      </c>
      <c r="D15" s="1">
        <v>86</v>
      </c>
    </row>
    <row r="16" spans="1:5" x14ac:dyDescent="0.25">
      <c r="A16" s="1">
        <f t="shared" si="0"/>
        <v>36</v>
      </c>
      <c r="B16" s="1">
        <v>75</v>
      </c>
      <c r="C16" s="1">
        <v>80</v>
      </c>
      <c r="D16" s="1">
        <v>85</v>
      </c>
    </row>
    <row r="17" spans="1:5" x14ac:dyDescent="0.25">
      <c r="A17" s="1">
        <f t="shared" si="0"/>
        <v>35</v>
      </c>
      <c r="B17" s="1">
        <v>75</v>
      </c>
      <c r="C17" s="1">
        <v>79</v>
      </c>
      <c r="D17" s="1">
        <v>84</v>
      </c>
    </row>
    <row r="18" spans="1:5" x14ac:dyDescent="0.25">
      <c r="A18" s="1">
        <f t="shared" si="0"/>
        <v>34</v>
      </c>
      <c r="B18" s="1">
        <v>74</v>
      </c>
      <c r="C18" s="1">
        <v>78</v>
      </c>
      <c r="D18" s="1">
        <v>83</v>
      </c>
    </row>
    <row r="19" spans="1:5" x14ac:dyDescent="0.25">
      <c r="A19" s="1">
        <f t="shared" si="0"/>
        <v>33</v>
      </c>
      <c r="B19" s="1">
        <v>73</v>
      </c>
      <c r="C19" s="1">
        <v>77</v>
      </c>
      <c r="D19" s="1">
        <v>82</v>
      </c>
    </row>
    <row r="20" spans="1:5" x14ac:dyDescent="0.25">
      <c r="A20" s="1">
        <f t="shared" si="0"/>
        <v>32</v>
      </c>
      <c r="B20" s="1">
        <v>72</v>
      </c>
      <c r="C20" s="1">
        <v>77</v>
      </c>
      <c r="D20" s="1">
        <v>81</v>
      </c>
    </row>
    <row r="21" spans="1:5" x14ac:dyDescent="0.25">
      <c r="A21" s="1">
        <f t="shared" si="0"/>
        <v>31</v>
      </c>
      <c r="B21" s="1">
        <v>72</v>
      </c>
      <c r="C21" s="1">
        <v>76</v>
      </c>
      <c r="D21" s="1">
        <v>80</v>
      </c>
    </row>
    <row r="22" spans="1:5" x14ac:dyDescent="0.25">
      <c r="A22" s="1">
        <f t="shared" si="0"/>
        <v>30</v>
      </c>
      <c r="B22" s="1">
        <v>71</v>
      </c>
      <c r="C22" s="1">
        <v>75</v>
      </c>
      <c r="D22" s="1">
        <v>79</v>
      </c>
      <c r="E22" s="1">
        <v>80</v>
      </c>
    </row>
    <row r="23" spans="1:5" x14ac:dyDescent="0.25">
      <c r="A23" s="1">
        <f t="shared" si="0"/>
        <v>29</v>
      </c>
      <c r="B23" s="1">
        <v>70</v>
      </c>
      <c r="C23" s="1">
        <v>74</v>
      </c>
      <c r="D23" s="1">
        <v>78</v>
      </c>
      <c r="E23" s="1">
        <v>79</v>
      </c>
    </row>
    <row r="24" spans="1:5" x14ac:dyDescent="0.25">
      <c r="A24" s="1">
        <f t="shared" si="0"/>
        <v>28</v>
      </c>
      <c r="B24" s="1">
        <v>70</v>
      </c>
      <c r="C24" s="1">
        <v>73</v>
      </c>
      <c r="D24" s="1">
        <v>77</v>
      </c>
      <c r="E24" s="1">
        <v>78</v>
      </c>
    </row>
    <row r="25" spans="1:5" x14ac:dyDescent="0.25">
      <c r="A25" s="1">
        <f t="shared" si="0"/>
        <v>27</v>
      </c>
      <c r="B25" s="1">
        <v>69</v>
      </c>
      <c r="C25" s="1">
        <v>72</v>
      </c>
      <c r="D25" s="1">
        <v>76</v>
      </c>
      <c r="E25" s="1">
        <v>77</v>
      </c>
    </row>
    <row r="26" spans="1:5" x14ac:dyDescent="0.25">
      <c r="A26" s="1">
        <f t="shared" si="0"/>
        <v>26</v>
      </c>
      <c r="B26" s="1">
        <v>68</v>
      </c>
      <c r="C26" s="1">
        <v>72</v>
      </c>
      <c r="D26" s="1">
        <v>75</v>
      </c>
      <c r="E26" s="1">
        <v>76</v>
      </c>
    </row>
    <row r="27" spans="1:5" x14ac:dyDescent="0.25">
      <c r="A27" s="1">
        <f t="shared" si="0"/>
        <v>25</v>
      </c>
      <c r="B27" s="1">
        <v>68</v>
      </c>
      <c r="C27" s="1">
        <v>71</v>
      </c>
      <c r="D27" s="1">
        <v>74</v>
      </c>
      <c r="E27" s="1">
        <v>75</v>
      </c>
    </row>
    <row r="28" spans="1:5" x14ac:dyDescent="0.25">
      <c r="A28" s="1">
        <f t="shared" si="0"/>
        <v>24</v>
      </c>
      <c r="B28" s="1">
        <v>67</v>
      </c>
      <c r="C28" s="1">
        <v>70</v>
      </c>
      <c r="D28" s="1">
        <v>73</v>
      </c>
      <c r="E28" s="1">
        <v>74</v>
      </c>
    </row>
    <row r="29" spans="1:5" x14ac:dyDescent="0.25">
      <c r="A29" s="1">
        <f t="shared" si="0"/>
        <v>23</v>
      </c>
      <c r="B29" s="1">
        <v>66</v>
      </c>
      <c r="C29" s="1">
        <v>69</v>
      </c>
      <c r="D29" s="1">
        <v>72</v>
      </c>
      <c r="E29" s="1">
        <v>73</v>
      </c>
    </row>
    <row r="30" spans="1:5" x14ac:dyDescent="0.25">
      <c r="A30" s="1">
        <f t="shared" si="0"/>
        <v>22</v>
      </c>
      <c r="B30" s="1">
        <v>65</v>
      </c>
      <c r="C30" s="1">
        <v>68</v>
      </c>
      <c r="D30" s="1">
        <v>71</v>
      </c>
      <c r="E30" s="1">
        <v>72</v>
      </c>
    </row>
    <row r="31" spans="1:5" x14ac:dyDescent="0.25">
      <c r="A31" s="1">
        <f t="shared" si="0"/>
        <v>21</v>
      </c>
      <c r="B31" s="1">
        <v>65</v>
      </c>
      <c r="C31" s="1">
        <v>67</v>
      </c>
      <c r="D31" s="1">
        <v>70</v>
      </c>
      <c r="E31" s="1">
        <v>71</v>
      </c>
    </row>
    <row r="32" spans="1:5" x14ac:dyDescent="0.25">
      <c r="A32" s="1">
        <f t="shared" si="0"/>
        <v>20</v>
      </c>
      <c r="B32" s="1">
        <v>64</v>
      </c>
      <c r="C32" s="1">
        <v>67</v>
      </c>
      <c r="D32" s="1">
        <v>69</v>
      </c>
      <c r="E32" s="1">
        <v>70</v>
      </c>
    </row>
    <row r="33" spans="1:5" x14ac:dyDescent="0.25">
      <c r="A33" s="1">
        <f t="shared" si="0"/>
        <v>19</v>
      </c>
      <c r="B33" s="1">
        <v>63</v>
      </c>
      <c r="C33" s="1">
        <v>66</v>
      </c>
      <c r="D33" s="1">
        <v>68</v>
      </c>
      <c r="E33" s="1">
        <v>69</v>
      </c>
    </row>
    <row r="34" spans="1:5" x14ac:dyDescent="0.25">
      <c r="A34" s="1">
        <f t="shared" si="0"/>
        <v>18</v>
      </c>
      <c r="B34" s="1">
        <v>63</v>
      </c>
      <c r="C34" s="1">
        <v>65</v>
      </c>
      <c r="D34" s="1">
        <v>67</v>
      </c>
      <c r="E34" s="1">
        <v>68</v>
      </c>
    </row>
    <row r="35" spans="1:5" x14ac:dyDescent="0.25">
      <c r="A35" s="1">
        <f t="shared" si="0"/>
        <v>17</v>
      </c>
      <c r="B35" s="1">
        <v>62</v>
      </c>
      <c r="C35" s="1">
        <v>64</v>
      </c>
      <c r="D35" s="1">
        <v>66</v>
      </c>
      <c r="E35" s="1">
        <v>67</v>
      </c>
    </row>
    <row r="36" spans="1:5" x14ac:dyDescent="0.25">
      <c r="A36" s="1">
        <f t="shared" si="0"/>
        <v>16</v>
      </c>
      <c r="B36" s="1">
        <v>61</v>
      </c>
      <c r="C36" s="1">
        <v>63</v>
      </c>
      <c r="D36" s="1">
        <v>66</v>
      </c>
      <c r="E36" s="1">
        <v>66</v>
      </c>
    </row>
    <row r="37" spans="1:5" x14ac:dyDescent="0.25">
      <c r="A37" s="1">
        <f t="shared" si="0"/>
        <v>15</v>
      </c>
      <c r="B37" s="1">
        <v>61</v>
      </c>
      <c r="C37" s="1">
        <v>62</v>
      </c>
      <c r="D37" s="1">
        <v>65</v>
      </c>
      <c r="E37" s="1">
        <v>65</v>
      </c>
    </row>
    <row r="38" spans="1:5" x14ac:dyDescent="0.25">
      <c r="A38" s="1">
        <f t="shared" si="0"/>
        <v>14</v>
      </c>
      <c r="B38" s="1">
        <v>60</v>
      </c>
      <c r="C38" s="1">
        <v>62</v>
      </c>
      <c r="D38" s="1">
        <v>64</v>
      </c>
      <c r="E38" s="1">
        <v>64</v>
      </c>
    </row>
    <row r="39" spans="1:5" x14ac:dyDescent="0.25">
      <c r="A39" s="1">
        <f t="shared" si="0"/>
        <v>13</v>
      </c>
      <c r="B39" s="1">
        <v>59</v>
      </c>
      <c r="C39" s="1">
        <v>61</v>
      </c>
      <c r="D39" s="1">
        <v>63</v>
      </c>
      <c r="E39" s="1">
        <v>63</v>
      </c>
    </row>
    <row r="40" spans="1:5" x14ac:dyDescent="0.25">
      <c r="A40" s="1">
        <f t="shared" si="0"/>
        <v>12</v>
      </c>
      <c r="B40" s="1">
        <v>58</v>
      </c>
      <c r="C40" s="1">
        <v>60</v>
      </c>
      <c r="D40" s="1">
        <v>62</v>
      </c>
      <c r="E40" s="1">
        <v>62</v>
      </c>
    </row>
    <row r="41" spans="1:5" x14ac:dyDescent="0.25">
      <c r="A41" s="1">
        <f t="shared" si="0"/>
        <v>11</v>
      </c>
      <c r="B41" s="1">
        <v>58</v>
      </c>
      <c r="C41" s="1">
        <v>59</v>
      </c>
      <c r="D41" s="1">
        <v>61</v>
      </c>
      <c r="E41" s="1">
        <v>61</v>
      </c>
    </row>
    <row r="42" spans="1:5" x14ac:dyDescent="0.25">
      <c r="A42" s="1">
        <f t="shared" si="0"/>
        <v>10</v>
      </c>
      <c r="B42" s="1">
        <v>57</v>
      </c>
      <c r="C42" s="1">
        <v>58</v>
      </c>
      <c r="D42" s="1">
        <v>60</v>
      </c>
      <c r="E42" s="1">
        <v>60</v>
      </c>
    </row>
    <row r="43" spans="1:5" x14ac:dyDescent="0.25">
      <c r="A43" s="1">
        <f t="shared" si="0"/>
        <v>9</v>
      </c>
      <c r="B43" s="1">
        <v>56</v>
      </c>
      <c r="C43" s="1">
        <v>57</v>
      </c>
      <c r="D43" s="1">
        <v>59</v>
      </c>
      <c r="E43" s="1">
        <v>59</v>
      </c>
    </row>
    <row r="44" spans="1:5" x14ac:dyDescent="0.25">
      <c r="A44" s="1">
        <f t="shared" si="0"/>
        <v>8</v>
      </c>
      <c r="B44" s="1">
        <v>56</v>
      </c>
      <c r="C44" s="1">
        <v>57</v>
      </c>
      <c r="D44" s="1">
        <v>58</v>
      </c>
      <c r="E44" s="1">
        <v>58</v>
      </c>
    </row>
    <row r="45" spans="1:5" x14ac:dyDescent="0.25">
      <c r="A45" s="1">
        <f t="shared" si="0"/>
        <v>7</v>
      </c>
      <c r="B45" s="1">
        <v>55</v>
      </c>
      <c r="C45" s="1">
        <v>56</v>
      </c>
      <c r="D45" s="1">
        <v>57</v>
      </c>
      <c r="E45" s="1">
        <v>57</v>
      </c>
    </row>
    <row r="46" spans="1:5" x14ac:dyDescent="0.25">
      <c r="A46" s="1">
        <f t="shared" si="0"/>
        <v>6</v>
      </c>
      <c r="B46" s="1">
        <v>54</v>
      </c>
      <c r="C46" s="1">
        <v>55</v>
      </c>
      <c r="D46" s="1">
        <v>56</v>
      </c>
      <c r="E46" s="1">
        <v>56</v>
      </c>
    </row>
    <row r="47" spans="1:5" x14ac:dyDescent="0.25">
      <c r="A47" s="1">
        <f t="shared" si="0"/>
        <v>5</v>
      </c>
      <c r="B47" s="1">
        <v>54</v>
      </c>
      <c r="C47" s="1">
        <v>54</v>
      </c>
      <c r="D47" s="1">
        <v>55</v>
      </c>
      <c r="E47" s="1">
        <v>55</v>
      </c>
    </row>
    <row r="48" spans="1:5" x14ac:dyDescent="0.25">
      <c r="A48" s="1">
        <f t="shared" si="0"/>
        <v>4</v>
      </c>
      <c r="B48" s="1">
        <v>53</v>
      </c>
      <c r="C48" s="1">
        <v>53</v>
      </c>
      <c r="D48" s="1">
        <v>54</v>
      </c>
      <c r="E48" s="1">
        <v>54</v>
      </c>
    </row>
    <row r="49" spans="1:5" x14ac:dyDescent="0.25">
      <c r="A49" s="1">
        <f t="shared" si="0"/>
        <v>3</v>
      </c>
      <c r="B49" s="1">
        <v>52</v>
      </c>
      <c r="C49" s="1">
        <v>52</v>
      </c>
      <c r="D49" s="1">
        <v>53</v>
      </c>
      <c r="E49" s="1">
        <v>53</v>
      </c>
    </row>
    <row r="50" spans="1:5" x14ac:dyDescent="0.25">
      <c r="A50" s="1">
        <f t="shared" si="0"/>
        <v>2</v>
      </c>
      <c r="B50" s="1">
        <v>51</v>
      </c>
      <c r="C50" s="1">
        <v>52</v>
      </c>
      <c r="D50" s="1">
        <v>52</v>
      </c>
      <c r="E50" s="1">
        <v>52</v>
      </c>
    </row>
    <row r="51" spans="1:5" x14ac:dyDescent="0.25">
      <c r="A51" s="1">
        <f t="shared" si="0"/>
        <v>1</v>
      </c>
      <c r="B51" s="1">
        <v>51</v>
      </c>
      <c r="C51" s="1">
        <v>51</v>
      </c>
      <c r="D51" s="1">
        <v>51</v>
      </c>
      <c r="E51" s="1">
        <v>51</v>
      </c>
    </row>
    <row r="52" spans="1:5" x14ac:dyDescent="0.25">
      <c r="A52" s="1">
        <f t="shared" si="0"/>
        <v>0</v>
      </c>
      <c r="B52" s="1">
        <v>50</v>
      </c>
      <c r="C52" s="1">
        <v>50</v>
      </c>
      <c r="D52" s="1">
        <v>50</v>
      </c>
      <c r="E52" s="1">
        <v>50</v>
      </c>
    </row>
    <row r="53" spans="1:5" x14ac:dyDescent="0.25">
      <c r="A53" s="1">
        <f t="shared" si="0"/>
        <v>-1</v>
      </c>
      <c r="B53" s="1">
        <v>49</v>
      </c>
      <c r="C53" s="1">
        <v>49</v>
      </c>
      <c r="D53" s="1">
        <v>49</v>
      </c>
      <c r="E53" s="1">
        <v>49</v>
      </c>
    </row>
    <row r="54" spans="1:5" x14ac:dyDescent="0.25">
      <c r="A54" s="1">
        <f t="shared" si="0"/>
        <v>-2</v>
      </c>
      <c r="B54" s="1">
        <v>49</v>
      </c>
      <c r="C54" s="1">
        <v>48</v>
      </c>
      <c r="D54" s="1">
        <v>48</v>
      </c>
      <c r="E54" s="1">
        <v>48</v>
      </c>
    </row>
    <row r="55" spans="1:5" x14ac:dyDescent="0.25">
      <c r="A55" s="1">
        <f t="shared" si="0"/>
        <v>-3</v>
      </c>
      <c r="B55" s="1">
        <v>48</v>
      </c>
      <c r="C55" s="1">
        <v>48</v>
      </c>
      <c r="D55" s="1">
        <v>47</v>
      </c>
      <c r="E55" s="1">
        <v>47</v>
      </c>
    </row>
    <row r="56" spans="1:5" x14ac:dyDescent="0.25">
      <c r="A56" s="1">
        <f t="shared" si="0"/>
        <v>-4</v>
      </c>
      <c r="B56" s="1">
        <v>47</v>
      </c>
      <c r="C56" s="1">
        <v>47</v>
      </c>
      <c r="D56" s="1">
        <v>46</v>
      </c>
      <c r="E56" s="1">
        <v>46</v>
      </c>
    </row>
    <row r="57" spans="1:5" x14ac:dyDescent="0.25">
      <c r="A57" s="1">
        <f t="shared" si="0"/>
        <v>-5</v>
      </c>
      <c r="B57" s="1">
        <v>46</v>
      </c>
      <c r="C57" s="1">
        <v>46</v>
      </c>
      <c r="D57" s="1">
        <v>45</v>
      </c>
      <c r="E57" s="1">
        <v>45</v>
      </c>
    </row>
    <row r="58" spans="1:5" x14ac:dyDescent="0.25">
      <c r="A58" s="1">
        <f t="shared" si="0"/>
        <v>-6</v>
      </c>
      <c r="B58" s="1">
        <v>46</v>
      </c>
      <c r="C58" s="1">
        <v>45</v>
      </c>
      <c r="D58" s="1">
        <v>44</v>
      </c>
      <c r="E58" s="1">
        <v>44</v>
      </c>
    </row>
    <row r="59" spans="1:5" x14ac:dyDescent="0.25">
      <c r="A59" s="1">
        <f t="shared" si="0"/>
        <v>-7</v>
      </c>
      <c r="B59" s="1">
        <v>45</v>
      </c>
      <c r="C59" s="1">
        <v>44</v>
      </c>
      <c r="D59" s="1">
        <v>43</v>
      </c>
      <c r="E59" s="1">
        <v>43</v>
      </c>
    </row>
    <row r="60" spans="1:5" x14ac:dyDescent="0.25">
      <c r="A60" s="1">
        <f t="shared" si="0"/>
        <v>-8</v>
      </c>
      <c r="B60" s="1">
        <v>44</v>
      </c>
      <c r="C60" s="1">
        <v>43</v>
      </c>
      <c r="D60" s="1">
        <v>42</v>
      </c>
      <c r="E60" s="1">
        <v>42</v>
      </c>
    </row>
    <row r="61" spans="1:5" x14ac:dyDescent="0.25">
      <c r="A61" s="1">
        <f t="shared" si="0"/>
        <v>-9</v>
      </c>
      <c r="B61" s="1">
        <v>44</v>
      </c>
      <c r="C61" s="1">
        <v>43</v>
      </c>
      <c r="D61" s="1">
        <v>41</v>
      </c>
      <c r="E61" s="1">
        <v>41</v>
      </c>
    </row>
    <row r="62" spans="1:5" x14ac:dyDescent="0.25">
      <c r="A62" s="1">
        <f t="shared" si="0"/>
        <v>-10</v>
      </c>
      <c r="B62" s="1">
        <v>43</v>
      </c>
      <c r="C62" s="1">
        <v>42</v>
      </c>
      <c r="D62" s="1">
        <v>40</v>
      </c>
      <c r="E62" s="1">
        <v>40</v>
      </c>
    </row>
    <row r="63" spans="1:5" x14ac:dyDescent="0.25">
      <c r="A63" s="1">
        <f t="shared" si="0"/>
        <v>-11</v>
      </c>
      <c r="B63" s="1">
        <v>42</v>
      </c>
      <c r="C63" s="1">
        <v>41</v>
      </c>
      <c r="D63" s="1">
        <v>39</v>
      </c>
      <c r="E63" s="1">
        <v>39</v>
      </c>
    </row>
    <row r="64" spans="1:5" x14ac:dyDescent="0.25">
      <c r="A64" s="1">
        <f t="shared" si="0"/>
        <v>-12</v>
      </c>
      <c r="B64" s="1">
        <v>42</v>
      </c>
      <c r="C64" s="1">
        <v>40</v>
      </c>
      <c r="D64" s="1">
        <v>38</v>
      </c>
      <c r="E64" s="1">
        <v>38</v>
      </c>
    </row>
    <row r="65" spans="1:5" x14ac:dyDescent="0.25">
      <c r="A65" s="1">
        <f t="shared" si="0"/>
        <v>-13</v>
      </c>
      <c r="B65" s="1">
        <v>41</v>
      </c>
      <c r="C65" s="1">
        <v>39</v>
      </c>
      <c r="D65" s="1">
        <v>37</v>
      </c>
      <c r="E65" s="1">
        <v>37</v>
      </c>
    </row>
    <row r="66" spans="1:5" x14ac:dyDescent="0.25">
      <c r="A66" s="1">
        <f t="shared" si="0"/>
        <v>-14</v>
      </c>
      <c r="B66" s="1">
        <v>40</v>
      </c>
      <c r="C66" s="1">
        <v>38</v>
      </c>
      <c r="D66" s="1">
        <v>36</v>
      </c>
      <c r="E66" s="1">
        <v>36</v>
      </c>
    </row>
    <row r="67" spans="1:5" x14ac:dyDescent="0.25">
      <c r="A67" s="1">
        <f t="shared" si="0"/>
        <v>-15</v>
      </c>
      <c r="B67" s="1">
        <v>39</v>
      </c>
      <c r="C67" s="1">
        <v>38</v>
      </c>
      <c r="D67" s="1">
        <v>35</v>
      </c>
      <c r="E67" s="1">
        <v>35</v>
      </c>
    </row>
    <row r="68" spans="1:5" x14ac:dyDescent="0.25">
      <c r="A68" s="1">
        <f t="shared" ref="A68:A102" si="1">A67-1</f>
        <v>-16</v>
      </c>
      <c r="B68" s="1">
        <v>39</v>
      </c>
      <c r="C68" s="1">
        <v>37</v>
      </c>
      <c r="D68" s="1">
        <v>34</v>
      </c>
      <c r="E68" s="1">
        <v>34</v>
      </c>
    </row>
    <row r="69" spans="1:5" x14ac:dyDescent="0.25">
      <c r="A69" s="1">
        <f t="shared" si="1"/>
        <v>-17</v>
      </c>
      <c r="B69" s="1">
        <v>38</v>
      </c>
      <c r="C69" s="1">
        <v>36</v>
      </c>
      <c r="D69" s="1">
        <v>34</v>
      </c>
      <c r="E69" s="1">
        <v>33</v>
      </c>
    </row>
    <row r="70" spans="1:5" x14ac:dyDescent="0.25">
      <c r="A70" s="1">
        <f t="shared" si="1"/>
        <v>-18</v>
      </c>
      <c r="B70" s="1">
        <v>37</v>
      </c>
      <c r="C70" s="1">
        <v>35</v>
      </c>
      <c r="D70" s="1">
        <v>33</v>
      </c>
      <c r="E70" s="1">
        <v>32</v>
      </c>
    </row>
    <row r="71" spans="1:5" x14ac:dyDescent="0.25">
      <c r="A71" s="1">
        <f t="shared" si="1"/>
        <v>-19</v>
      </c>
      <c r="B71" s="1">
        <v>37</v>
      </c>
      <c r="C71" s="1">
        <v>34</v>
      </c>
      <c r="D71" s="1">
        <v>32</v>
      </c>
      <c r="E71" s="1">
        <v>31</v>
      </c>
    </row>
    <row r="72" spans="1:5" x14ac:dyDescent="0.25">
      <c r="A72" s="1">
        <f t="shared" si="1"/>
        <v>-20</v>
      </c>
      <c r="B72" s="1">
        <v>36</v>
      </c>
      <c r="C72" s="1">
        <v>33</v>
      </c>
      <c r="D72" s="1">
        <v>31</v>
      </c>
      <c r="E72" s="1">
        <v>30</v>
      </c>
    </row>
    <row r="73" spans="1:5" x14ac:dyDescent="0.25">
      <c r="A73" s="1">
        <f t="shared" si="1"/>
        <v>-21</v>
      </c>
      <c r="B73" s="1">
        <v>35</v>
      </c>
      <c r="C73" s="1">
        <v>33</v>
      </c>
      <c r="D73" s="1">
        <v>30</v>
      </c>
      <c r="E73" s="1">
        <v>29</v>
      </c>
    </row>
    <row r="74" spans="1:5" x14ac:dyDescent="0.25">
      <c r="A74" s="1">
        <f t="shared" si="1"/>
        <v>-22</v>
      </c>
      <c r="B74" s="1">
        <v>35</v>
      </c>
      <c r="C74" s="1">
        <v>32</v>
      </c>
      <c r="D74" s="1">
        <v>29</v>
      </c>
      <c r="E74" s="1">
        <v>28</v>
      </c>
    </row>
    <row r="75" spans="1:5" x14ac:dyDescent="0.25">
      <c r="A75" s="1">
        <f t="shared" si="1"/>
        <v>-23</v>
      </c>
      <c r="B75" s="1">
        <v>34</v>
      </c>
      <c r="C75" s="1">
        <v>31</v>
      </c>
      <c r="D75" s="1">
        <v>28</v>
      </c>
      <c r="E75" s="1">
        <v>27</v>
      </c>
    </row>
    <row r="76" spans="1:5" x14ac:dyDescent="0.25">
      <c r="A76" s="1">
        <f t="shared" si="1"/>
        <v>-24</v>
      </c>
      <c r="B76" s="1">
        <v>33</v>
      </c>
      <c r="C76" s="1">
        <v>30</v>
      </c>
      <c r="D76" s="1">
        <v>27</v>
      </c>
      <c r="E76" s="1">
        <v>26</v>
      </c>
    </row>
    <row r="77" spans="1:5" x14ac:dyDescent="0.25">
      <c r="A77" s="1">
        <f t="shared" si="1"/>
        <v>-25</v>
      </c>
      <c r="B77" s="1">
        <v>32</v>
      </c>
      <c r="C77" s="1">
        <v>29</v>
      </c>
      <c r="D77" s="1">
        <v>26</v>
      </c>
      <c r="E77" s="1">
        <v>25</v>
      </c>
    </row>
    <row r="78" spans="1:5" x14ac:dyDescent="0.25">
      <c r="A78" s="1">
        <f t="shared" si="1"/>
        <v>-26</v>
      </c>
      <c r="B78" s="1">
        <v>32</v>
      </c>
      <c r="C78" s="1">
        <v>28</v>
      </c>
      <c r="D78" s="1">
        <v>25</v>
      </c>
      <c r="E78" s="1">
        <v>24</v>
      </c>
    </row>
    <row r="79" spans="1:5" x14ac:dyDescent="0.25">
      <c r="A79" s="1">
        <f t="shared" si="1"/>
        <v>-27</v>
      </c>
      <c r="B79" s="1">
        <v>31</v>
      </c>
      <c r="C79" s="1">
        <v>28</v>
      </c>
      <c r="D79" s="1">
        <v>24</v>
      </c>
      <c r="E79" s="1">
        <v>23</v>
      </c>
    </row>
    <row r="80" spans="1:5" x14ac:dyDescent="0.25">
      <c r="A80" s="1">
        <f t="shared" si="1"/>
        <v>-28</v>
      </c>
      <c r="B80" s="1">
        <v>30</v>
      </c>
      <c r="C80" s="1">
        <v>27</v>
      </c>
      <c r="D80" s="1">
        <v>23</v>
      </c>
      <c r="E80" s="1">
        <v>22</v>
      </c>
    </row>
    <row r="81" spans="1:5" x14ac:dyDescent="0.25">
      <c r="A81" s="1">
        <f t="shared" si="1"/>
        <v>-29</v>
      </c>
      <c r="B81" s="1">
        <v>30</v>
      </c>
      <c r="C81" s="1">
        <v>26</v>
      </c>
      <c r="D81" s="1">
        <v>22</v>
      </c>
      <c r="E81" s="1">
        <v>21</v>
      </c>
    </row>
    <row r="82" spans="1:5" x14ac:dyDescent="0.25">
      <c r="A82" s="1">
        <f t="shared" si="1"/>
        <v>-30</v>
      </c>
      <c r="B82" s="1">
        <v>29</v>
      </c>
      <c r="C82" s="1">
        <v>25</v>
      </c>
      <c r="D82" s="1">
        <v>21</v>
      </c>
    </row>
    <row r="83" spans="1:5" x14ac:dyDescent="0.25">
      <c r="A83" s="1">
        <f t="shared" si="1"/>
        <v>-31</v>
      </c>
      <c r="B83" s="1">
        <v>28</v>
      </c>
      <c r="C83" s="1">
        <v>24</v>
      </c>
      <c r="D83" s="1">
        <v>20</v>
      </c>
    </row>
    <row r="84" spans="1:5" x14ac:dyDescent="0.25">
      <c r="A84" s="1">
        <f t="shared" si="1"/>
        <v>-32</v>
      </c>
      <c r="B84" s="1">
        <v>28</v>
      </c>
      <c r="C84" s="1">
        <v>23</v>
      </c>
      <c r="D84" s="1">
        <v>19</v>
      </c>
    </row>
    <row r="85" spans="1:5" x14ac:dyDescent="0.25">
      <c r="A85" s="1">
        <f t="shared" si="1"/>
        <v>-33</v>
      </c>
      <c r="B85" s="1">
        <v>27</v>
      </c>
      <c r="C85" s="1">
        <v>23</v>
      </c>
      <c r="D85" s="1">
        <v>18</v>
      </c>
    </row>
    <row r="86" spans="1:5" x14ac:dyDescent="0.25">
      <c r="A86" s="1">
        <f t="shared" si="1"/>
        <v>-34</v>
      </c>
      <c r="B86" s="1">
        <v>26</v>
      </c>
      <c r="C86" s="1">
        <v>22</v>
      </c>
      <c r="D86" s="1">
        <v>17</v>
      </c>
    </row>
    <row r="87" spans="1:5" x14ac:dyDescent="0.25">
      <c r="A87" s="1">
        <f t="shared" si="1"/>
        <v>-35</v>
      </c>
      <c r="B87" s="1">
        <v>25</v>
      </c>
      <c r="C87" s="1">
        <v>21</v>
      </c>
      <c r="D87" s="1">
        <v>16</v>
      </c>
    </row>
    <row r="88" spans="1:5" x14ac:dyDescent="0.25">
      <c r="A88" s="1">
        <f t="shared" si="1"/>
        <v>-36</v>
      </c>
      <c r="B88" s="1">
        <v>25</v>
      </c>
      <c r="C88" s="1">
        <v>20</v>
      </c>
      <c r="D88" s="1">
        <v>15</v>
      </c>
    </row>
    <row r="89" spans="1:5" x14ac:dyDescent="0.25">
      <c r="A89" s="1">
        <f t="shared" si="1"/>
        <v>-37</v>
      </c>
      <c r="B89" s="1">
        <v>24</v>
      </c>
      <c r="C89" s="1">
        <v>19</v>
      </c>
      <c r="D89" s="1">
        <v>14</v>
      </c>
    </row>
    <row r="90" spans="1:5" x14ac:dyDescent="0.25">
      <c r="A90" s="1">
        <f t="shared" si="1"/>
        <v>-38</v>
      </c>
      <c r="B90" s="1">
        <v>23</v>
      </c>
      <c r="C90" s="1">
        <v>18</v>
      </c>
      <c r="D90" s="1">
        <v>13</v>
      </c>
    </row>
    <row r="91" spans="1:5" x14ac:dyDescent="0.25">
      <c r="A91" s="1">
        <f t="shared" si="1"/>
        <v>-39</v>
      </c>
      <c r="B91" s="1">
        <v>23</v>
      </c>
      <c r="C91" s="1">
        <v>18</v>
      </c>
      <c r="D91" s="1">
        <v>12</v>
      </c>
    </row>
    <row r="92" spans="1:5" x14ac:dyDescent="0.25">
      <c r="A92" s="1">
        <f t="shared" si="1"/>
        <v>-40</v>
      </c>
      <c r="B92" s="1">
        <v>22</v>
      </c>
      <c r="C92" s="1">
        <v>17</v>
      </c>
      <c r="D92" s="1">
        <v>11</v>
      </c>
    </row>
    <row r="93" spans="1:5" x14ac:dyDescent="0.25">
      <c r="A93" s="1">
        <f t="shared" si="1"/>
        <v>-41</v>
      </c>
      <c r="B93" s="1">
        <v>21</v>
      </c>
      <c r="C93" s="1">
        <v>16</v>
      </c>
      <c r="D93" s="1">
        <v>10</v>
      </c>
    </row>
    <row r="94" spans="1:5" x14ac:dyDescent="0.25">
      <c r="A94" s="1">
        <f t="shared" si="1"/>
        <v>-42</v>
      </c>
      <c r="B94" s="1">
        <v>20</v>
      </c>
      <c r="C94" s="1">
        <v>15</v>
      </c>
      <c r="D94" s="1">
        <v>9</v>
      </c>
    </row>
    <row r="95" spans="1:5" x14ac:dyDescent="0.25">
      <c r="A95" s="1">
        <f t="shared" si="1"/>
        <v>-43</v>
      </c>
      <c r="B95" s="1">
        <v>20</v>
      </c>
      <c r="C95" s="1">
        <v>14</v>
      </c>
      <c r="D95" s="1">
        <v>8</v>
      </c>
    </row>
    <row r="96" spans="1:5" x14ac:dyDescent="0.25">
      <c r="A96" s="1">
        <f t="shared" si="1"/>
        <v>-44</v>
      </c>
      <c r="B96" s="1">
        <v>19</v>
      </c>
      <c r="C96" s="1">
        <v>13</v>
      </c>
      <c r="D96" s="1">
        <v>7</v>
      </c>
    </row>
    <row r="97" spans="1:4" x14ac:dyDescent="0.25">
      <c r="A97" s="1">
        <f t="shared" si="1"/>
        <v>-45</v>
      </c>
      <c r="B97" s="1">
        <v>18</v>
      </c>
      <c r="C97" s="1">
        <v>13</v>
      </c>
      <c r="D97" s="1">
        <v>6</v>
      </c>
    </row>
    <row r="98" spans="1:4" x14ac:dyDescent="0.25">
      <c r="A98" s="1">
        <f t="shared" si="1"/>
        <v>-46</v>
      </c>
      <c r="B98" s="1">
        <v>18</v>
      </c>
      <c r="C98" s="1">
        <v>12</v>
      </c>
      <c r="D98" s="1">
        <v>5</v>
      </c>
    </row>
    <row r="99" spans="1:4" x14ac:dyDescent="0.25">
      <c r="A99" s="1">
        <f t="shared" si="1"/>
        <v>-47</v>
      </c>
      <c r="B99" s="1">
        <v>17</v>
      </c>
      <c r="C99" s="1">
        <v>11</v>
      </c>
      <c r="D99" s="1">
        <v>4</v>
      </c>
    </row>
    <row r="100" spans="1:4" x14ac:dyDescent="0.25">
      <c r="A100" s="1">
        <f t="shared" si="1"/>
        <v>-48</v>
      </c>
      <c r="B100" s="1">
        <v>16</v>
      </c>
      <c r="C100" s="1">
        <v>10</v>
      </c>
      <c r="D100" s="1">
        <v>3</v>
      </c>
    </row>
    <row r="101" spans="1:4" x14ac:dyDescent="0.25">
      <c r="A101" s="1">
        <f t="shared" si="1"/>
        <v>-49</v>
      </c>
      <c r="B101" s="1">
        <v>16</v>
      </c>
      <c r="C101" s="1">
        <v>9</v>
      </c>
      <c r="D101" s="1">
        <v>3</v>
      </c>
    </row>
    <row r="102" spans="1:4" x14ac:dyDescent="0.25">
      <c r="A102" s="1">
        <f t="shared" si="1"/>
        <v>-50</v>
      </c>
      <c r="B102" s="1">
        <v>15</v>
      </c>
      <c r="C102" s="1">
        <v>8</v>
      </c>
      <c r="D102" s="1">
        <v>3</v>
      </c>
    </row>
  </sheetData>
  <sheetProtection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38"/>
  <sheetViews>
    <sheetView workbookViewId="0">
      <selection activeCell="F37" sqref="F37:G37"/>
    </sheetView>
  </sheetViews>
  <sheetFormatPr defaultRowHeight="15" x14ac:dyDescent="0.25"/>
  <cols>
    <col min="2" max="29" width="4.7109375" customWidth="1"/>
  </cols>
  <sheetData>
    <row r="1" spans="1:30" x14ac:dyDescent="0.25">
      <c r="B1">
        <v>2</v>
      </c>
      <c r="C1">
        <f>B1+4</f>
        <v>6</v>
      </c>
      <c r="D1">
        <f t="shared" ref="D1:AC1" si="0">C1+4</f>
        <v>10</v>
      </c>
      <c r="E1">
        <f t="shared" si="0"/>
        <v>14</v>
      </c>
      <c r="F1">
        <f t="shared" si="0"/>
        <v>18</v>
      </c>
      <c r="G1">
        <f t="shared" si="0"/>
        <v>22</v>
      </c>
      <c r="H1">
        <f t="shared" si="0"/>
        <v>26</v>
      </c>
      <c r="I1">
        <f t="shared" si="0"/>
        <v>30</v>
      </c>
      <c r="J1">
        <f t="shared" si="0"/>
        <v>34</v>
      </c>
      <c r="K1">
        <f t="shared" si="0"/>
        <v>38</v>
      </c>
      <c r="L1">
        <f t="shared" si="0"/>
        <v>42</v>
      </c>
      <c r="M1">
        <f t="shared" si="0"/>
        <v>46</v>
      </c>
      <c r="N1">
        <f t="shared" si="0"/>
        <v>50</v>
      </c>
      <c r="O1">
        <f t="shared" si="0"/>
        <v>54</v>
      </c>
      <c r="P1">
        <f t="shared" si="0"/>
        <v>58</v>
      </c>
      <c r="Q1">
        <f t="shared" si="0"/>
        <v>62</v>
      </c>
      <c r="R1">
        <f t="shared" si="0"/>
        <v>66</v>
      </c>
      <c r="S1">
        <f t="shared" si="0"/>
        <v>70</v>
      </c>
      <c r="T1">
        <f t="shared" si="0"/>
        <v>74</v>
      </c>
      <c r="U1">
        <f t="shared" si="0"/>
        <v>78</v>
      </c>
      <c r="V1">
        <f t="shared" si="0"/>
        <v>82</v>
      </c>
      <c r="W1">
        <f t="shared" si="0"/>
        <v>86</v>
      </c>
      <c r="X1">
        <f t="shared" si="0"/>
        <v>90</v>
      </c>
      <c r="Y1">
        <f t="shared" si="0"/>
        <v>94</v>
      </c>
      <c r="Z1">
        <f t="shared" si="0"/>
        <v>98</v>
      </c>
      <c r="AA1">
        <f t="shared" si="0"/>
        <v>102</v>
      </c>
      <c r="AB1">
        <f t="shared" si="0"/>
        <v>106</v>
      </c>
      <c r="AC1">
        <f t="shared" si="0"/>
        <v>110</v>
      </c>
      <c r="AD1" s="14" t="s">
        <v>29</v>
      </c>
    </row>
    <row r="2" spans="1:30" x14ac:dyDescent="0.25">
      <c r="A2">
        <v>2</v>
      </c>
      <c r="B2">
        <v>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</row>
    <row r="3" spans="1:30" x14ac:dyDescent="0.25">
      <c r="A3">
        <f>A2+4</f>
        <v>6</v>
      </c>
      <c r="B3">
        <v>2</v>
      </c>
      <c r="C3">
        <v>3</v>
      </c>
      <c r="D3">
        <v>4</v>
      </c>
      <c r="E3">
        <v>4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</row>
    <row r="4" spans="1:30" x14ac:dyDescent="0.25">
      <c r="A4">
        <f t="shared" ref="A4:A34" si="1">A3+4</f>
        <v>10</v>
      </c>
      <c r="B4">
        <v>2</v>
      </c>
      <c r="C4">
        <v>4</v>
      </c>
      <c r="D4">
        <v>5</v>
      </c>
      <c r="E4">
        <v>6</v>
      </c>
      <c r="F4">
        <v>6</v>
      </c>
      <c r="G4">
        <v>7</v>
      </c>
      <c r="H4">
        <v>7</v>
      </c>
      <c r="I4">
        <v>8</v>
      </c>
      <c r="J4">
        <v>8</v>
      </c>
      <c r="K4">
        <v>8</v>
      </c>
      <c r="L4">
        <v>8</v>
      </c>
      <c r="M4">
        <v>8</v>
      </c>
      <c r="N4">
        <v>8</v>
      </c>
      <c r="O4">
        <v>8</v>
      </c>
      <c r="P4">
        <v>9</v>
      </c>
      <c r="Q4">
        <v>9</v>
      </c>
      <c r="R4">
        <v>9</v>
      </c>
      <c r="S4">
        <v>9</v>
      </c>
      <c r="T4">
        <v>9</v>
      </c>
      <c r="U4">
        <v>9</v>
      </c>
      <c r="V4">
        <v>9</v>
      </c>
      <c r="W4">
        <v>9</v>
      </c>
      <c r="X4">
        <v>9</v>
      </c>
      <c r="Y4">
        <v>9</v>
      </c>
      <c r="Z4">
        <v>9</v>
      </c>
      <c r="AA4">
        <v>9</v>
      </c>
      <c r="AB4">
        <v>9</v>
      </c>
      <c r="AC4">
        <v>9</v>
      </c>
    </row>
    <row r="5" spans="1:30" x14ac:dyDescent="0.25">
      <c r="A5">
        <f t="shared" si="1"/>
        <v>14</v>
      </c>
      <c r="B5">
        <v>2</v>
      </c>
      <c r="C5">
        <v>4</v>
      </c>
      <c r="D5">
        <v>6</v>
      </c>
      <c r="E5">
        <v>7</v>
      </c>
      <c r="F5">
        <v>8</v>
      </c>
      <c r="G5">
        <v>9</v>
      </c>
      <c r="H5">
        <v>9</v>
      </c>
      <c r="I5">
        <v>10</v>
      </c>
      <c r="J5">
        <v>10</v>
      </c>
      <c r="K5">
        <v>10</v>
      </c>
      <c r="L5">
        <v>11</v>
      </c>
      <c r="M5">
        <v>11</v>
      </c>
      <c r="N5">
        <v>11</v>
      </c>
      <c r="O5">
        <v>11</v>
      </c>
      <c r="P5">
        <v>11</v>
      </c>
      <c r="Q5">
        <v>11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12</v>
      </c>
      <c r="Y5">
        <v>12</v>
      </c>
      <c r="Z5">
        <v>12</v>
      </c>
      <c r="AA5">
        <v>12</v>
      </c>
      <c r="AB5">
        <v>12</v>
      </c>
      <c r="AC5">
        <v>12</v>
      </c>
    </row>
    <row r="6" spans="1:30" x14ac:dyDescent="0.25">
      <c r="A6">
        <f t="shared" si="1"/>
        <v>18</v>
      </c>
      <c r="B6">
        <v>2</v>
      </c>
      <c r="C6">
        <v>5</v>
      </c>
      <c r="D6">
        <v>6</v>
      </c>
      <c r="E6">
        <v>8</v>
      </c>
      <c r="F6">
        <v>9</v>
      </c>
      <c r="G6">
        <v>11</v>
      </c>
      <c r="H6">
        <v>11</v>
      </c>
      <c r="I6">
        <v>11</v>
      </c>
      <c r="J6">
        <v>12</v>
      </c>
      <c r="K6">
        <v>12</v>
      </c>
      <c r="L6">
        <v>13</v>
      </c>
      <c r="M6">
        <v>13</v>
      </c>
      <c r="N6">
        <v>13</v>
      </c>
      <c r="O6">
        <v>14</v>
      </c>
      <c r="P6">
        <v>14</v>
      </c>
      <c r="Q6">
        <v>14</v>
      </c>
      <c r="R6">
        <v>14</v>
      </c>
      <c r="S6">
        <v>14</v>
      </c>
      <c r="T6">
        <v>14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</row>
    <row r="7" spans="1:30" x14ac:dyDescent="0.25">
      <c r="A7">
        <f t="shared" si="1"/>
        <v>22</v>
      </c>
      <c r="B7">
        <v>2</v>
      </c>
      <c r="C7">
        <v>5</v>
      </c>
      <c r="D7">
        <v>7</v>
      </c>
      <c r="E7">
        <v>9</v>
      </c>
      <c r="F7">
        <v>10</v>
      </c>
      <c r="G7">
        <v>12</v>
      </c>
      <c r="H7">
        <v>12</v>
      </c>
      <c r="I7">
        <v>13</v>
      </c>
      <c r="J7">
        <v>13</v>
      </c>
      <c r="K7">
        <v>14</v>
      </c>
      <c r="L7">
        <v>14</v>
      </c>
      <c r="M7">
        <v>15</v>
      </c>
      <c r="N7">
        <v>15</v>
      </c>
      <c r="O7">
        <v>16</v>
      </c>
      <c r="P7">
        <v>16</v>
      </c>
      <c r="Q7">
        <v>16</v>
      </c>
      <c r="R7">
        <v>17</v>
      </c>
      <c r="S7">
        <v>17</v>
      </c>
      <c r="T7">
        <v>17</v>
      </c>
      <c r="U7">
        <v>17</v>
      </c>
      <c r="V7">
        <v>17</v>
      </c>
      <c r="W7">
        <v>18</v>
      </c>
      <c r="X7">
        <v>18</v>
      </c>
      <c r="Y7">
        <v>18</v>
      </c>
      <c r="Z7">
        <v>18</v>
      </c>
      <c r="AA7">
        <v>18</v>
      </c>
      <c r="AB7">
        <v>18</v>
      </c>
      <c r="AC7">
        <v>18</v>
      </c>
    </row>
    <row r="8" spans="1:30" x14ac:dyDescent="0.25">
      <c r="A8">
        <f t="shared" si="1"/>
        <v>26</v>
      </c>
      <c r="B8">
        <v>2</v>
      </c>
      <c r="C8">
        <v>5</v>
      </c>
      <c r="D8">
        <v>7</v>
      </c>
      <c r="E8">
        <v>9</v>
      </c>
      <c r="F8">
        <v>11</v>
      </c>
      <c r="G8">
        <v>13</v>
      </c>
      <c r="H8">
        <v>13</v>
      </c>
      <c r="I8">
        <v>14</v>
      </c>
      <c r="J8">
        <v>15</v>
      </c>
      <c r="K8">
        <v>15</v>
      </c>
      <c r="L8">
        <v>16</v>
      </c>
      <c r="M8">
        <v>17</v>
      </c>
      <c r="N8">
        <v>17</v>
      </c>
      <c r="O8">
        <v>18</v>
      </c>
      <c r="P8">
        <v>18</v>
      </c>
      <c r="Q8">
        <v>18</v>
      </c>
      <c r="R8">
        <v>19</v>
      </c>
      <c r="S8">
        <v>19</v>
      </c>
      <c r="T8">
        <v>19</v>
      </c>
      <c r="U8">
        <v>20</v>
      </c>
      <c r="V8">
        <v>20</v>
      </c>
      <c r="W8">
        <v>20</v>
      </c>
      <c r="X8">
        <v>20</v>
      </c>
      <c r="Y8">
        <v>20</v>
      </c>
      <c r="Z8">
        <v>21</v>
      </c>
      <c r="AA8">
        <v>21</v>
      </c>
      <c r="AB8">
        <v>21</v>
      </c>
      <c r="AC8">
        <v>21</v>
      </c>
    </row>
    <row r="9" spans="1:30" x14ac:dyDescent="0.25">
      <c r="A9">
        <f t="shared" si="1"/>
        <v>30</v>
      </c>
      <c r="B9">
        <v>2</v>
      </c>
      <c r="C9">
        <v>5</v>
      </c>
      <c r="D9">
        <v>8</v>
      </c>
      <c r="E9">
        <v>10</v>
      </c>
      <c r="F9">
        <v>11</v>
      </c>
      <c r="G9">
        <v>14</v>
      </c>
      <c r="H9">
        <v>14</v>
      </c>
      <c r="I9">
        <v>15</v>
      </c>
      <c r="J9">
        <v>16</v>
      </c>
      <c r="K9">
        <v>17</v>
      </c>
      <c r="L9">
        <v>18</v>
      </c>
      <c r="M9">
        <v>18</v>
      </c>
      <c r="N9">
        <v>19</v>
      </c>
      <c r="O9">
        <v>19</v>
      </c>
      <c r="P9">
        <v>20</v>
      </c>
      <c r="Q9">
        <v>20</v>
      </c>
      <c r="R9">
        <v>21</v>
      </c>
      <c r="S9">
        <v>21</v>
      </c>
      <c r="T9">
        <v>21</v>
      </c>
      <c r="U9">
        <v>22</v>
      </c>
      <c r="V9">
        <v>22</v>
      </c>
      <c r="W9">
        <v>22</v>
      </c>
      <c r="X9">
        <v>23</v>
      </c>
      <c r="Y9">
        <v>23</v>
      </c>
      <c r="Z9">
        <v>23</v>
      </c>
      <c r="AA9">
        <v>23</v>
      </c>
      <c r="AB9">
        <v>23</v>
      </c>
      <c r="AC9">
        <v>24</v>
      </c>
    </row>
    <row r="10" spans="1:30" x14ac:dyDescent="0.25">
      <c r="A10">
        <f t="shared" si="1"/>
        <v>34</v>
      </c>
      <c r="B10">
        <v>2</v>
      </c>
      <c r="C10">
        <v>5</v>
      </c>
      <c r="D10">
        <v>8</v>
      </c>
      <c r="E10">
        <v>10</v>
      </c>
      <c r="F10">
        <v>12</v>
      </c>
      <c r="G10">
        <v>15</v>
      </c>
      <c r="H10">
        <v>15</v>
      </c>
      <c r="I10">
        <v>16</v>
      </c>
      <c r="J10">
        <v>17</v>
      </c>
      <c r="K10">
        <v>18</v>
      </c>
      <c r="L10">
        <v>19</v>
      </c>
      <c r="M10">
        <v>20</v>
      </c>
      <c r="N10">
        <v>20</v>
      </c>
      <c r="O10">
        <v>21</v>
      </c>
      <c r="P10">
        <v>21</v>
      </c>
      <c r="Q10">
        <v>22</v>
      </c>
      <c r="R10">
        <v>22</v>
      </c>
      <c r="S10">
        <v>23</v>
      </c>
      <c r="T10">
        <v>23</v>
      </c>
      <c r="U10">
        <v>24</v>
      </c>
      <c r="V10">
        <v>24</v>
      </c>
      <c r="W10">
        <v>24</v>
      </c>
      <c r="X10">
        <v>25</v>
      </c>
      <c r="Y10">
        <v>25</v>
      </c>
      <c r="Z10">
        <v>25</v>
      </c>
      <c r="AA10">
        <v>26</v>
      </c>
      <c r="AB10">
        <v>26</v>
      </c>
      <c r="AC10">
        <v>26</v>
      </c>
    </row>
    <row r="11" spans="1:30" x14ac:dyDescent="0.25">
      <c r="A11">
        <f t="shared" si="1"/>
        <v>38</v>
      </c>
      <c r="B11">
        <v>2</v>
      </c>
      <c r="C11">
        <v>5</v>
      </c>
      <c r="D11">
        <v>8</v>
      </c>
      <c r="E11">
        <v>10</v>
      </c>
      <c r="F11">
        <v>12</v>
      </c>
      <c r="G11">
        <v>15</v>
      </c>
      <c r="H11">
        <v>15</v>
      </c>
      <c r="I11">
        <v>17</v>
      </c>
      <c r="J11">
        <v>18</v>
      </c>
      <c r="K11">
        <v>19</v>
      </c>
      <c r="L11">
        <v>20</v>
      </c>
      <c r="M11">
        <v>21</v>
      </c>
      <c r="N11">
        <v>22</v>
      </c>
      <c r="O11">
        <v>22</v>
      </c>
      <c r="P11">
        <v>23</v>
      </c>
      <c r="Q11">
        <v>24</v>
      </c>
      <c r="R11">
        <v>24</v>
      </c>
      <c r="S11">
        <v>25</v>
      </c>
      <c r="T11">
        <v>25</v>
      </c>
      <c r="U11">
        <v>26</v>
      </c>
      <c r="V11">
        <v>26</v>
      </c>
      <c r="W11">
        <v>26</v>
      </c>
      <c r="X11">
        <v>27</v>
      </c>
      <c r="Y11">
        <v>27</v>
      </c>
      <c r="Z11">
        <v>27</v>
      </c>
      <c r="AA11">
        <v>28</v>
      </c>
      <c r="AB11">
        <v>28</v>
      </c>
      <c r="AC11">
        <v>28</v>
      </c>
    </row>
    <row r="12" spans="1:30" x14ac:dyDescent="0.25">
      <c r="A12">
        <f t="shared" si="1"/>
        <v>42</v>
      </c>
      <c r="B12">
        <v>2</v>
      </c>
      <c r="C12">
        <v>5</v>
      </c>
      <c r="D12">
        <v>8</v>
      </c>
      <c r="E12">
        <v>11</v>
      </c>
      <c r="F12">
        <v>13</v>
      </c>
      <c r="G12">
        <v>16</v>
      </c>
      <c r="H12">
        <v>16</v>
      </c>
      <c r="I12">
        <v>18</v>
      </c>
      <c r="J12">
        <v>19</v>
      </c>
      <c r="K12">
        <v>20</v>
      </c>
      <c r="L12">
        <v>21</v>
      </c>
      <c r="M12">
        <v>22</v>
      </c>
      <c r="N12">
        <v>23</v>
      </c>
      <c r="O12">
        <v>24</v>
      </c>
      <c r="P12">
        <v>24</v>
      </c>
      <c r="Q12">
        <v>25</v>
      </c>
      <c r="R12">
        <v>26</v>
      </c>
      <c r="S12">
        <v>26</v>
      </c>
      <c r="T12">
        <v>27</v>
      </c>
      <c r="U12">
        <v>27</v>
      </c>
      <c r="V12">
        <v>28</v>
      </c>
      <c r="W12">
        <v>28</v>
      </c>
      <c r="X12">
        <v>29</v>
      </c>
      <c r="Y12">
        <v>29</v>
      </c>
      <c r="Z12">
        <v>29</v>
      </c>
      <c r="AA12">
        <v>30</v>
      </c>
      <c r="AB12">
        <v>30</v>
      </c>
      <c r="AC12">
        <v>30</v>
      </c>
    </row>
    <row r="13" spans="1:30" x14ac:dyDescent="0.25">
      <c r="A13">
        <f t="shared" si="1"/>
        <v>46</v>
      </c>
      <c r="B13">
        <v>2</v>
      </c>
      <c r="C13">
        <v>5</v>
      </c>
      <c r="D13">
        <v>8</v>
      </c>
      <c r="E13">
        <v>11</v>
      </c>
      <c r="F13">
        <v>13</v>
      </c>
      <c r="G13">
        <v>17</v>
      </c>
      <c r="H13">
        <v>17</v>
      </c>
      <c r="I13">
        <v>18</v>
      </c>
      <c r="J13">
        <v>20</v>
      </c>
      <c r="K13">
        <v>21</v>
      </c>
      <c r="L13">
        <v>22</v>
      </c>
      <c r="M13">
        <v>23</v>
      </c>
      <c r="N13">
        <v>24</v>
      </c>
      <c r="O13">
        <v>25</v>
      </c>
      <c r="P13">
        <v>26</v>
      </c>
      <c r="Q13">
        <v>26</v>
      </c>
      <c r="R13">
        <v>27</v>
      </c>
      <c r="S13">
        <v>28</v>
      </c>
      <c r="T13">
        <v>28</v>
      </c>
      <c r="U13">
        <v>29</v>
      </c>
      <c r="V13">
        <v>29</v>
      </c>
      <c r="W13">
        <v>30</v>
      </c>
      <c r="X13">
        <v>30</v>
      </c>
      <c r="Y13">
        <v>31</v>
      </c>
      <c r="Z13">
        <v>31</v>
      </c>
      <c r="AA13">
        <v>32</v>
      </c>
      <c r="AB13">
        <v>32</v>
      </c>
      <c r="AC13">
        <v>32</v>
      </c>
    </row>
    <row r="14" spans="1:30" x14ac:dyDescent="0.25">
      <c r="A14">
        <f t="shared" si="1"/>
        <v>50</v>
      </c>
      <c r="B14">
        <v>2</v>
      </c>
      <c r="C14">
        <v>5</v>
      </c>
      <c r="D14">
        <v>8</v>
      </c>
      <c r="E14">
        <v>11</v>
      </c>
      <c r="F14">
        <v>13</v>
      </c>
      <c r="G14">
        <v>17</v>
      </c>
      <c r="H14">
        <v>17</v>
      </c>
      <c r="I14">
        <v>19</v>
      </c>
      <c r="J14">
        <v>20</v>
      </c>
      <c r="K14">
        <v>22</v>
      </c>
      <c r="L14">
        <v>23</v>
      </c>
      <c r="M14">
        <v>24</v>
      </c>
      <c r="N14">
        <v>25</v>
      </c>
      <c r="O14">
        <v>26</v>
      </c>
      <c r="P14">
        <v>27</v>
      </c>
      <c r="Q14">
        <v>28</v>
      </c>
      <c r="R14">
        <v>28</v>
      </c>
      <c r="S14">
        <v>29</v>
      </c>
      <c r="T14">
        <v>30</v>
      </c>
      <c r="U14">
        <v>30</v>
      </c>
      <c r="V14">
        <v>31</v>
      </c>
      <c r="W14">
        <v>32</v>
      </c>
      <c r="X14">
        <v>32</v>
      </c>
      <c r="Y14">
        <v>33</v>
      </c>
      <c r="Z14">
        <v>33</v>
      </c>
      <c r="AA14">
        <v>34</v>
      </c>
      <c r="AB14">
        <v>34</v>
      </c>
      <c r="AC14">
        <v>34</v>
      </c>
    </row>
    <row r="15" spans="1:30" x14ac:dyDescent="0.25">
      <c r="A15">
        <f t="shared" si="1"/>
        <v>54</v>
      </c>
      <c r="B15">
        <v>2</v>
      </c>
      <c r="C15">
        <v>5</v>
      </c>
      <c r="D15">
        <v>8</v>
      </c>
      <c r="E15">
        <v>11</v>
      </c>
      <c r="F15">
        <v>14</v>
      </c>
      <c r="G15">
        <v>18</v>
      </c>
      <c r="H15">
        <v>18</v>
      </c>
      <c r="I15">
        <v>19</v>
      </c>
      <c r="J15">
        <v>21</v>
      </c>
      <c r="K15">
        <v>22</v>
      </c>
      <c r="L15">
        <v>24</v>
      </c>
      <c r="M15">
        <v>25</v>
      </c>
      <c r="N15">
        <v>26</v>
      </c>
      <c r="O15">
        <v>27</v>
      </c>
      <c r="P15">
        <v>28</v>
      </c>
      <c r="Q15">
        <v>29</v>
      </c>
      <c r="R15">
        <v>30</v>
      </c>
      <c r="S15">
        <v>30</v>
      </c>
      <c r="T15">
        <v>31</v>
      </c>
      <c r="U15">
        <v>32</v>
      </c>
      <c r="V15">
        <v>33</v>
      </c>
      <c r="W15">
        <v>33</v>
      </c>
      <c r="X15">
        <v>34</v>
      </c>
      <c r="Y15">
        <v>34</v>
      </c>
      <c r="Z15">
        <v>35</v>
      </c>
      <c r="AA15">
        <v>35</v>
      </c>
      <c r="AB15">
        <v>36</v>
      </c>
      <c r="AC15">
        <v>36</v>
      </c>
    </row>
    <row r="16" spans="1:30" x14ac:dyDescent="0.25">
      <c r="A16">
        <f t="shared" si="1"/>
        <v>58</v>
      </c>
      <c r="B16">
        <v>2</v>
      </c>
      <c r="C16">
        <v>5</v>
      </c>
      <c r="D16">
        <v>9</v>
      </c>
      <c r="E16">
        <v>11</v>
      </c>
      <c r="F16">
        <v>14</v>
      </c>
      <c r="G16">
        <v>18</v>
      </c>
      <c r="H16">
        <v>18</v>
      </c>
      <c r="I16">
        <v>20</v>
      </c>
      <c r="J16">
        <v>21</v>
      </c>
      <c r="K16">
        <v>23</v>
      </c>
      <c r="L16">
        <v>24</v>
      </c>
      <c r="M16">
        <v>26</v>
      </c>
      <c r="N16">
        <v>27</v>
      </c>
      <c r="O16">
        <v>28</v>
      </c>
      <c r="P16">
        <v>29</v>
      </c>
      <c r="Q16">
        <v>30</v>
      </c>
      <c r="R16">
        <v>31</v>
      </c>
      <c r="S16">
        <v>32</v>
      </c>
      <c r="T16">
        <v>33</v>
      </c>
      <c r="U16">
        <v>33</v>
      </c>
      <c r="V16">
        <v>34</v>
      </c>
      <c r="W16">
        <v>35</v>
      </c>
      <c r="X16">
        <v>35</v>
      </c>
      <c r="Y16">
        <v>36</v>
      </c>
      <c r="Z16">
        <v>36</v>
      </c>
      <c r="AA16">
        <v>37</v>
      </c>
      <c r="AB16">
        <v>37</v>
      </c>
      <c r="AC16">
        <v>38</v>
      </c>
    </row>
    <row r="17" spans="1:29" x14ac:dyDescent="0.25">
      <c r="A17">
        <f t="shared" si="1"/>
        <v>62</v>
      </c>
      <c r="B17">
        <v>2</v>
      </c>
      <c r="C17">
        <v>5</v>
      </c>
      <c r="D17">
        <v>9</v>
      </c>
      <c r="E17">
        <v>11</v>
      </c>
      <c r="F17">
        <v>14</v>
      </c>
      <c r="G17">
        <v>18</v>
      </c>
      <c r="H17">
        <v>18</v>
      </c>
      <c r="I17">
        <v>20</v>
      </c>
      <c r="J17">
        <v>22</v>
      </c>
      <c r="K17">
        <v>24</v>
      </c>
      <c r="L17">
        <v>25</v>
      </c>
      <c r="M17">
        <v>26</v>
      </c>
      <c r="N17">
        <v>28</v>
      </c>
      <c r="O17">
        <v>29</v>
      </c>
      <c r="P17">
        <v>30</v>
      </c>
      <c r="Q17">
        <v>31</v>
      </c>
      <c r="R17">
        <v>32</v>
      </c>
      <c r="S17">
        <v>33</v>
      </c>
      <c r="T17">
        <v>34</v>
      </c>
      <c r="U17">
        <v>35</v>
      </c>
      <c r="V17">
        <v>35</v>
      </c>
      <c r="W17">
        <v>36</v>
      </c>
      <c r="X17">
        <v>37</v>
      </c>
      <c r="Y17">
        <v>37</v>
      </c>
      <c r="Z17">
        <v>38</v>
      </c>
      <c r="AA17">
        <v>39</v>
      </c>
      <c r="AB17">
        <v>39</v>
      </c>
      <c r="AC17">
        <v>40</v>
      </c>
    </row>
    <row r="18" spans="1:29" x14ac:dyDescent="0.25">
      <c r="A18">
        <f t="shared" si="1"/>
        <v>66</v>
      </c>
      <c r="B18">
        <v>2</v>
      </c>
      <c r="C18">
        <v>6</v>
      </c>
      <c r="D18">
        <v>9</v>
      </c>
      <c r="E18">
        <v>12</v>
      </c>
      <c r="F18">
        <v>14</v>
      </c>
      <c r="G18">
        <v>19</v>
      </c>
      <c r="H18">
        <v>19</v>
      </c>
      <c r="I18">
        <v>21</v>
      </c>
      <c r="J18">
        <v>22</v>
      </c>
      <c r="K18">
        <v>24</v>
      </c>
      <c r="L18">
        <v>26</v>
      </c>
      <c r="M18">
        <v>27</v>
      </c>
      <c r="N18">
        <v>28</v>
      </c>
      <c r="O18">
        <v>30</v>
      </c>
      <c r="P18">
        <v>31</v>
      </c>
      <c r="Q18">
        <v>32</v>
      </c>
      <c r="R18">
        <v>33</v>
      </c>
      <c r="S18">
        <v>34</v>
      </c>
      <c r="T18">
        <v>35</v>
      </c>
      <c r="U18">
        <v>36</v>
      </c>
      <c r="V18">
        <v>37</v>
      </c>
      <c r="W18">
        <v>37</v>
      </c>
      <c r="X18">
        <v>38</v>
      </c>
      <c r="Y18">
        <v>39</v>
      </c>
      <c r="Z18">
        <v>39</v>
      </c>
      <c r="AA18">
        <v>40</v>
      </c>
      <c r="AB18">
        <v>41</v>
      </c>
      <c r="AC18">
        <v>41</v>
      </c>
    </row>
    <row r="19" spans="1:29" x14ac:dyDescent="0.25">
      <c r="A19">
        <f t="shared" si="1"/>
        <v>70</v>
      </c>
      <c r="B19">
        <v>2</v>
      </c>
      <c r="C19">
        <v>6</v>
      </c>
      <c r="D19">
        <v>9</v>
      </c>
      <c r="E19">
        <v>12</v>
      </c>
      <c r="F19">
        <v>14</v>
      </c>
      <c r="G19">
        <v>19</v>
      </c>
      <c r="H19">
        <v>19</v>
      </c>
      <c r="I19">
        <v>21</v>
      </c>
      <c r="J19">
        <v>23</v>
      </c>
      <c r="K19">
        <v>25</v>
      </c>
      <c r="L19">
        <v>26</v>
      </c>
      <c r="M19">
        <v>28</v>
      </c>
      <c r="N19">
        <v>29</v>
      </c>
      <c r="O19">
        <v>30</v>
      </c>
      <c r="P19">
        <v>32</v>
      </c>
      <c r="Q19">
        <v>33</v>
      </c>
      <c r="R19">
        <v>34</v>
      </c>
      <c r="S19">
        <v>35</v>
      </c>
      <c r="T19">
        <v>36</v>
      </c>
      <c r="U19">
        <v>37</v>
      </c>
      <c r="V19">
        <v>38</v>
      </c>
      <c r="W19">
        <v>39</v>
      </c>
      <c r="X19">
        <v>39</v>
      </c>
      <c r="Y19">
        <v>40</v>
      </c>
      <c r="Z19">
        <v>41</v>
      </c>
      <c r="AA19">
        <v>42</v>
      </c>
      <c r="AB19">
        <v>42</v>
      </c>
      <c r="AC19">
        <v>43</v>
      </c>
    </row>
    <row r="20" spans="1:29" x14ac:dyDescent="0.25">
      <c r="A20">
        <f t="shared" si="1"/>
        <v>74</v>
      </c>
      <c r="B20">
        <v>2</v>
      </c>
      <c r="C20">
        <v>6</v>
      </c>
      <c r="D20">
        <v>9</v>
      </c>
      <c r="E20">
        <v>12</v>
      </c>
      <c r="F20">
        <v>14</v>
      </c>
      <c r="G20">
        <v>19</v>
      </c>
      <c r="H20">
        <v>19</v>
      </c>
      <c r="I20">
        <v>21</v>
      </c>
      <c r="J20">
        <v>23</v>
      </c>
      <c r="K20">
        <v>25</v>
      </c>
      <c r="L20">
        <v>27</v>
      </c>
      <c r="M20">
        <v>28</v>
      </c>
      <c r="N20">
        <v>30</v>
      </c>
      <c r="O20">
        <v>31</v>
      </c>
      <c r="P20">
        <v>33</v>
      </c>
      <c r="Q20">
        <v>34</v>
      </c>
      <c r="R20">
        <v>35</v>
      </c>
      <c r="S20">
        <v>36</v>
      </c>
      <c r="T20">
        <v>37</v>
      </c>
      <c r="U20">
        <v>38</v>
      </c>
      <c r="V20">
        <v>39</v>
      </c>
      <c r="W20">
        <v>40</v>
      </c>
      <c r="X20">
        <v>41</v>
      </c>
      <c r="Y20">
        <v>41</v>
      </c>
      <c r="Z20">
        <v>42</v>
      </c>
      <c r="AA20">
        <v>43</v>
      </c>
      <c r="AB20">
        <v>44</v>
      </c>
      <c r="AC20">
        <v>44</v>
      </c>
    </row>
    <row r="21" spans="1:29" x14ac:dyDescent="0.25">
      <c r="A21">
        <f t="shared" si="1"/>
        <v>78</v>
      </c>
      <c r="B21">
        <v>2</v>
      </c>
      <c r="C21">
        <v>6</v>
      </c>
      <c r="D21">
        <v>9</v>
      </c>
      <c r="E21">
        <v>12</v>
      </c>
      <c r="F21">
        <v>15</v>
      </c>
      <c r="G21">
        <v>20</v>
      </c>
      <c r="H21">
        <v>20</v>
      </c>
      <c r="I21">
        <v>22</v>
      </c>
      <c r="J21">
        <v>24</v>
      </c>
      <c r="K21">
        <v>26</v>
      </c>
      <c r="L21">
        <v>27</v>
      </c>
      <c r="M21">
        <v>29</v>
      </c>
      <c r="N21">
        <v>30</v>
      </c>
      <c r="O21">
        <v>32</v>
      </c>
      <c r="P21">
        <v>33</v>
      </c>
      <c r="Q21">
        <v>35</v>
      </c>
      <c r="R21">
        <v>36</v>
      </c>
      <c r="S21">
        <v>37</v>
      </c>
      <c r="T21">
        <v>38</v>
      </c>
      <c r="U21">
        <v>39</v>
      </c>
      <c r="V21">
        <v>40</v>
      </c>
      <c r="W21">
        <v>41</v>
      </c>
      <c r="X21">
        <v>42</v>
      </c>
      <c r="Y21">
        <v>43</v>
      </c>
      <c r="Z21">
        <v>43</v>
      </c>
      <c r="AA21">
        <v>44</v>
      </c>
      <c r="AB21">
        <v>45</v>
      </c>
      <c r="AC21">
        <v>46</v>
      </c>
    </row>
    <row r="22" spans="1:29" x14ac:dyDescent="0.25">
      <c r="A22">
        <f t="shared" si="1"/>
        <v>82</v>
      </c>
      <c r="B22">
        <v>2</v>
      </c>
      <c r="C22">
        <v>6</v>
      </c>
      <c r="D22">
        <v>9</v>
      </c>
      <c r="E22">
        <v>12</v>
      </c>
      <c r="F22">
        <v>15</v>
      </c>
      <c r="G22">
        <v>20</v>
      </c>
      <c r="H22">
        <v>20</v>
      </c>
      <c r="I22">
        <v>22</v>
      </c>
      <c r="J22">
        <v>24</v>
      </c>
      <c r="K22">
        <v>26</v>
      </c>
      <c r="L22">
        <v>28</v>
      </c>
      <c r="M22">
        <v>29</v>
      </c>
      <c r="N22">
        <v>31</v>
      </c>
      <c r="O22">
        <v>33</v>
      </c>
      <c r="P22">
        <v>34</v>
      </c>
      <c r="Q22">
        <v>35</v>
      </c>
      <c r="R22">
        <v>37</v>
      </c>
      <c r="S22">
        <v>38</v>
      </c>
      <c r="T22">
        <v>39</v>
      </c>
      <c r="U22">
        <v>40</v>
      </c>
      <c r="V22">
        <v>41</v>
      </c>
      <c r="W22">
        <v>42</v>
      </c>
      <c r="X22">
        <v>43</v>
      </c>
      <c r="Y22">
        <v>44</v>
      </c>
      <c r="Z22">
        <v>45</v>
      </c>
      <c r="AA22">
        <v>45</v>
      </c>
      <c r="AB22">
        <v>46</v>
      </c>
      <c r="AC22">
        <v>47</v>
      </c>
    </row>
    <row r="23" spans="1:29" x14ac:dyDescent="0.25">
      <c r="A23">
        <f t="shared" si="1"/>
        <v>86</v>
      </c>
      <c r="B23">
        <v>2</v>
      </c>
      <c r="C23">
        <v>6</v>
      </c>
      <c r="D23">
        <v>9</v>
      </c>
      <c r="E23">
        <v>12</v>
      </c>
      <c r="F23">
        <v>15</v>
      </c>
      <c r="G23">
        <v>20</v>
      </c>
      <c r="H23">
        <v>20</v>
      </c>
      <c r="I23">
        <v>22</v>
      </c>
      <c r="J23">
        <v>24</v>
      </c>
      <c r="K23">
        <v>26</v>
      </c>
      <c r="L23">
        <v>28</v>
      </c>
      <c r="M23">
        <v>30</v>
      </c>
      <c r="N23">
        <v>32</v>
      </c>
      <c r="O23">
        <v>33</v>
      </c>
      <c r="P23">
        <v>35</v>
      </c>
      <c r="Q23">
        <v>36</v>
      </c>
      <c r="R23">
        <v>37</v>
      </c>
      <c r="S23">
        <v>39</v>
      </c>
      <c r="T23">
        <v>40</v>
      </c>
      <c r="U23">
        <v>41</v>
      </c>
      <c r="V23">
        <v>42</v>
      </c>
      <c r="W23">
        <v>43</v>
      </c>
      <c r="X23">
        <v>44</v>
      </c>
      <c r="Y23">
        <v>45</v>
      </c>
      <c r="Z23">
        <v>46</v>
      </c>
      <c r="AA23">
        <v>47</v>
      </c>
      <c r="AB23">
        <v>47</v>
      </c>
      <c r="AC23">
        <v>48</v>
      </c>
    </row>
    <row r="24" spans="1:29" x14ac:dyDescent="0.25">
      <c r="A24">
        <f t="shared" si="1"/>
        <v>90</v>
      </c>
      <c r="B24">
        <v>2</v>
      </c>
      <c r="C24">
        <v>6</v>
      </c>
      <c r="D24">
        <v>9</v>
      </c>
      <c r="E24">
        <v>12</v>
      </c>
      <c r="F24">
        <v>15</v>
      </c>
      <c r="G24">
        <v>20</v>
      </c>
      <c r="H24">
        <v>20</v>
      </c>
      <c r="I24">
        <v>23</v>
      </c>
      <c r="J24">
        <v>25</v>
      </c>
      <c r="K24">
        <v>27</v>
      </c>
      <c r="L24">
        <v>29</v>
      </c>
      <c r="M24">
        <v>30</v>
      </c>
      <c r="N24">
        <v>32</v>
      </c>
      <c r="O24">
        <v>34</v>
      </c>
      <c r="P24">
        <v>35</v>
      </c>
      <c r="Q24">
        <v>37</v>
      </c>
      <c r="R24">
        <v>38</v>
      </c>
      <c r="S24">
        <v>39</v>
      </c>
      <c r="T24">
        <v>41</v>
      </c>
      <c r="U24">
        <v>42</v>
      </c>
      <c r="V24">
        <v>43</v>
      </c>
      <c r="W24">
        <v>44</v>
      </c>
      <c r="X24">
        <v>45</v>
      </c>
      <c r="Y24">
        <v>46</v>
      </c>
      <c r="Z24">
        <v>47</v>
      </c>
      <c r="AA24">
        <v>48</v>
      </c>
      <c r="AB24">
        <v>49</v>
      </c>
      <c r="AC24">
        <v>50</v>
      </c>
    </row>
    <row r="25" spans="1:29" x14ac:dyDescent="0.25">
      <c r="A25">
        <f t="shared" si="1"/>
        <v>94</v>
      </c>
      <c r="B25">
        <v>2</v>
      </c>
      <c r="C25">
        <v>6</v>
      </c>
      <c r="D25">
        <v>9</v>
      </c>
      <c r="E25">
        <v>12</v>
      </c>
      <c r="F25">
        <v>15</v>
      </c>
      <c r="G25">
        <v>20</v>
      </c>
      <c r="H25">
        <v>20</v>
      </c>
      <c r="I25">
        <v>23</v>
      </c>
      <c r="J25">
        <v>25</v>
      </c>
      <c r="K25">
        <v>27</v>
      </c>
      <c r="L25">
        <v>29</v>
      </c>
      <c r="M25">
        <v>31</v>
      </c>
      <c r="N25">
        <v>33</v>
      </c>
      <c r="O25">
        <v>34</v>
      </c>
      <c r="P25">
        <v>36</v>
      </c>
      <c r="Q25">
        <v>37</v>
      </c>
      <c r="R25">
        <v>39</v>
      </c>
      <c r="S25">
        <v>40</v>
      </c>
      <c r="T25">
        <v>41</v>
      </c>
      <c r="U25">
        <v>43</v>
      </c>
      <c r="V25">
        <v>44</v>
      </c>
      <c r="W25">
        <v>45</v>
      </c>
      <c r="X25">
        <v>46</v>
      </c>
      <c r="Y25">
        <v>47</v>
      </c>
      <c r="Z25">
        <v>48</v>
      </c>
      <c r="AA25">
        <v>49</v>
      </c>
      <c r="AB25">
        <v>50</v>
      </c>
      <c r="AC25">
        <v>51</v>
      </c>
    </row>
    <row r="26" spans="1:29" x14ac:dyDescent="0.25">
      <c r="A26">
        <f t="shared" si="1"/>
        <v>98</v>
      </c>
      <c r="B26">
        <v>2</v>
      </c>
      <c r="C26">
        <v>6</v>
      </c>
      <c r="D26">
        <v>9</v>
      </c>
      <c r="E26">
        <v>12</v>
      </c>
      <c r="F26">
        <v>15</v>
      </c>
      <c r="G26">
        <v>21</v>
      </c>
      <c r="H26">
        <v>21</v>
      </c>
      <c r="I26">
        <v>23</v>
      </c>
      <c r="J26">
        <v>25</v>
      </c>
      <c r="K26">
        <v>27</v>
      </c>
      <c r="L26">
        <v>29</v>
      </c>
      <c r="M26">
        <v>31</v>
      </c>
      <c r="N26">
        <v>33</v>
      </c>
      <c r="O26">
        <v>35</v>
      </c>
      <c r="P26">
        <v>36</v>
      </c>
      <c r="Q26">
        <v>38</v>
      </c>
      <c r="R26">
        <v>39</v>
      </c>
      <c r="S26">
        <v>41</v>
      </c>
      <c r="T26">
        <v>42</v>
      </c>
      <c r="U26">
        <v>43</v>
      </c>
      <c r="V26">
        <v>45</v>
      </c>
      <c r="W26">
        <v>46</v>
      </c>
      <c r="X26">
        <v>47</v>
      </c>
      <c r="Y26">
        <v>48</v>
      </c>
      <c r="Z26">
        <v>49</v>
      </c>
      <c r="AA26">
        <v>50</v>
      </c>
      <c r="AB26">
        <v>51</v>
      </c>
      <c r="AC26">
        <v>52</v>
      </c>
    </row>
    <row r="27" spans="1:29" x14ac:dyDescent="0.25">
      <c r="A27">
        <f t="shared" si="1"/>
        <v>102</v>
      </c>
      <c r="B27">
        <v>2</v>
      </c>
      <c r="C27">
        <v>6</v>
      </c>
      <c r="D27">
        <v>9</v>
      </c>
      <c r="E27">
        <v>12</v>
      </c>
      <c r="F27">
        <v>15</v>
      </c>
      <c r="G27">
        <v>21</v>
      </c>
      <c r="H27">
        <v>21</v>
      </c>
      <c r="I27">
        <v>23</v>
      </c>
      <c r="J27">
        <v>26</v>
      </c>
      <c r="K27">
        <v>28</v>
      </c>
      <c r="L27">
        <v>30</v>
      </c>
      <c r="M27">
        <v>32</v>
      </c>
      <c r="N27">
        <v>34</v>
      </c>
      <c r="O27">
        <v>35</v>
      </c>
      <c r="P27">
        <v>37</v>
      </c>
      <c r="Q27">
        <v>39</v>
      </c>
      <c r="R27">
        <v>40</v>
      </c>
      <c r="S27">
        <v>42</v>
      </c>
      <c r="T27">
        <v>43</v>
      </c>
      <c r="U27">
        <v>44</v>
      </c>
      <c r="V27">
        <v>45</v>
      </c>
      <c r="W27">
        <v>47</v>
      </c>
      <c r="X27">
        <v>48</v>
      </c>
      <c r="Y27">
        <v>49</v>
      </c>
      <c r="Z27">
        <v>50</v>
      </c>
      <c r="AA27">
        <v>51</v>
      </c>
      <c r="AB27">
        <v>52</v>
      </c>
      <c r="AC27">
        <v>53</v>
      </c>
    </row>
    <row r="28" spans="1:29" x14ac:dyDescent="0.25">
      <c r="A28">
        <f t="shared" si="1"/>
        <v>106</v>
      </c>
      <c r="B28">
        <v>2</v>
      </c>
      <c r="C28">
        <v>6</v>
      </c>
      <c r="D28">
        <v>9</v>
      </c>
      <c r="E28">
        <v>12</v>
      </c>
      <c r="F28">
        <v>15</v>
      </c>
      <c r="G28">
        <v>21</v>
      </c>
      <c r="H28">
        <v>21</v>
      </c>
      <c r="I28">
        <v>23</v>
      </c>
      <c r="J28">
        <v>26</v>
      </c>
      <c r="K28">
        <v>28</v>
      </c>
      <c r="L28">
        <v>30</v>
      </c>
      <c r="M28">
        <v>32</v>
      </c>
      <c r="N28">
        <v>34</v>
      </c>
      <c r="O28">
        <v>36</v>
      </c>
      <c r="P28">
        <v>39</v>
      </c>
      <c r="Q28">
        <v>39</v>
      </c>
      <c r="R28">
        <v>41</v>
      </c>
      <c r="S28">
        <v>42</v>
      </c>
      <c r="T28">
        <v>44</v>
      </c>
      <c r="U28">
        <v>45</v>
      </c>
      <c r="V28">
        <v>46</v>
      </c>
      <c r="W28">
        <v>47</v>
      </c>
      <c r="X28">
        <v>49</v>
      </c>
      <c r="Y28">
        <v>50</v>
      </c>
      <c r="Z28">
        <v>51</v>
      </c>
      <c r="AA28">
        <v>52</v>
      </c>
      <c r="AB28">
        <v>53</v>
      </c>
      <c r="AC28">
        <v>54</v>
      </c>
    </row>
    <row r="29" spans="1:29" x14ac:dyDescent="0.25">
      <c r="A29">
        <f t="shared" si="1"/>
        <v>110</v>
      </c>
      <c r="B29">
        <v>2</v>
      </c>
      <c r="C29">
        <v>6</v>
      </c>
      <c r="D29">
        <v>9</v>
      </c>
      <c r="E29">
        <v>12</v>
      </c>
      <c r="F29">
        <v>15</v>
      </c>
      <c r="G29">
        <v>21</v>
      </c>
      <c r="H29">
        <v>21</v>
      </c>
      <c r="I29">
        <v>24</v>
      </c>
      <c r="J29">
        <v>26</v>
      </c>
      <c r="K29">
        <v>28</v>
      </c>
      <c r="L29">
        <v>30</v>
      </c>
      <c r="M29">
        <v>32</v>
      </c>
      <c r="N29">
        <v>34</v>
      </c>
      <c r="O29">
        <v>36</v>
      </c>
      <c r="P29">
        <v>38</v>
      </c>
      <c r="Q29">
        <v>40</v>
      </c>
      <c r="R29">
        <v>41</v>
      </c>
      <c r="S29">
        <v>43</v>
      </c>
      <c r="T29">
        <v>44</v>
      </c>
      <c r="U29">
        <v>46</v>
      </c>
      <c r="V29">
        <v>47</v>
      </c>
      <c r="W29">
        <v>48</v>
      </c>
      <c r="X29">
        <v>50</v>
      </c>
      <c r="Y29">
        <v>51</v>
      </c>
      <c r="Z29">
        <v>52</v>
      </c>
      <c r="AA29">
        <v>53</v>
      </c>
      <c r="AB29">
        <v>54</v>
      </c>
      <c r="AC29">
        <v>55</v>
      </c>
    </row>
    <row r="30" spans="1:29" x14ac:dyDescent="0.25">
      <c r="A30">
        <f t="shared" si="1"/>
        <v>114</v>
      </c>
      <c r="B30">
        <v>2</v>
      </c>
      <c r="C30">
        <v>6</v>
      </c>
      <c r="D30">
        <v>9</v>
      </c>
      <c r="E30">
        <v>12</v>
      </c>
      <c r="F30">
        <v>16</v>
      </c>
      <c r="G30">
        <v>21</v>
      </c>
      <c r="H30">
        <v>21</v>
      </c>
      <c r="I30">
        <v>24</v>
      </c>
      <c r="J30">
        <v>26</v>
      </c>
      <c r="K30">
        <v>29</v>
      </c>
      <c r="L30">
        <v>31</v>
      </c>
      <c r="M30">
        <v>33</v>
      </c>
      <c r="N30">
        <v>35</v>
      </c>
      <c r="O30">
        <v>37</v>
      </c>
      <c r="P30">
        <v>38</v>
      </c>
      <c r="Q30">
        <v>40</v>
      </c>
      <c r="R30">
        <v>42</v>
      </c>
      <c r="S30">
        <v>43</v>
      </c>
      <c r="T30">
        <v>45</v>
      </c>
      <c r="U30">
        <v>46</v>
      </c>
      <c r="V30">
        <v>48</v>
      </c>
      <c r="W30">
        <v>49</v>
      </c>
      <c r="X30">
        <v>50</v>
      </c>
      <c r="Y30">
        <v>52</v>
      </c>
      <c r="Z30">
        <v>53</v>
      </c>
      <c r="AA30">
        <v>54</v>
      </c>
      <c r="AB30">
        <v>55</v>
      </c>
      <c r="AC30">
        <v>56</v>
      </c>
    </row>
    <row r="31" spans="1:29" x14ac:dyDescent="0.25">
      <c r="A31">
        <f t="shared" si="1"/>
        <v>118</v>
      </c>
      <c r="B31">
        <v>2</v>
      </c>
      <c r="C31">
        <v>6</v>
      </c>
      <c r="D31">
        <v>9</v>
      </c>
      <c r="E31">
        <v>13</v>
      </c>
      <c r="F31">
        <v>16</v>
      </c>
      <c r="G31">
        <v>21</v>
      </c>
      <c r="H31">
        <v>21</v>
      </c>
      <c r="I31">
        <v>24</v>
      </c>
      <c r="J31">
        <v>26</v>
      </c>
      <c r="K31">
        <v>29</v>
      </c>
      <c r="L31">
        <v>31</v>
      </c>
      <c r="M31">
        <v>33</v>
      </c>
      <c r="N31">
        <v>35</v>
      </c>
      <c r="O31">
        <v>37</v>
      </c>
      <c r="P31">
        <v>39</v>
      </c>
      <c r="Q31">
        <v>41</v>
      </c>
      <c r="R31">
        <v>42</v>
      </c>
      <c r="S31">
        <v>44</v>
      </c>
      <c r="T31">
        <v>45</v>
      </c>
      <c r="U31">
        <v>47</v>
      </c>
      <c r="V31">
        <v>48</v>
      </c>
      <c r="W31">
        <v>50</v>
      </c>
      <c r="X31">
        <v>51</v>
      </c>
      <c r="Y31">
        <v>52</v>
      </c>
      <c r="Z31">
        <v>54</v>
      </c>
      <c r="AA31">
        <v>55</v>
      </c>
      <c r="AB31">
        <v>56</v>
      </c>
      <c r="AC31">
        <v>57</v>
      </c>
    </row>
    <row r="32" spans="1:29" x14ac:dyDescent="0.25">
      <c r="A32">
        <f t="shared" si="1"/>
        <v>122</v>
      </c>
      <c r="B32">
        <v>2</v>
      </c>
      <c r="C32">
        <v>6</v>
      </c>
      <c r="D32">
        <v>9</v>
      </c>
      <c r="E32">
        <v>13</v>
      </c>
      <c r="F32">
        <v>16</v>
      </c>
      <c r="G32">
        <v>21</v>
      </c>
      <c r="H32">
        <v>21</v>
      </c>
      <c r="I32">
        <v>24</v>
      </c>
      <c r="J32">
        <v>27</v>
      </c>
      <c r="K32">
        <v>29</v>
      </c>
      <c r="L32">
        <v>31</v>
      </c>
      <c r="M32">
        <v>33</v>
      </c>
      <c r="N32">
        <v>35</v>
      </c>
      <c r="O32">
        <v>37</v>
      </c>
      <c r="P32">
        <v>39</v>
      </c>
      <c r="Q32">
        <v>41</v>
      </c>
      <c r="R32">
        <v>43</v>
      </c>
      <c r="S32">
        <v>44</v>
      </c>
      <c r="T32">
        <v>46</v>
      </c>
      <c r="U32">
        <v>48</v>
      </c>
      <c r="V32">
        <v>49</v>
      </c>
      <c r="W32">
        <v>50</v>
      </c>
      <c r="X32">
        <v>52</v>
      </c>
      <c r="Y32">
        <v>53</v>
      </c>
      <c r="Z32">
        <v>54</v>
      </c>
      <c r="AA32">
        <v>56</v>
      </c>
      <c r="AB32">
        <v>57</v>
      </c>
      <c r="AC32">
        <v>58</v>
      </c>
    </row>
    <row r="33" spans="1:29" x14ac:dyDescent="0.25">
      <c r="A33">
        <f t="shared" si="1"/>
        <v>126</v>
      </c>
      <c r="B33">
        <v>2</v>
      </c>
      <c r="C33">
        <v>6</v>
      </c>
      <c r="D33">
        <v>9</v>
      </c>
      <c r="E33">
        <v>13</v>
      </c>
      <c r="F33">
        <v>16</v>
      </c>
      <c r="G33">
        <v>22</v>
      </c>
      <c r="H33">
        <v>22</v>
      </c>
      <c r="I33">
        <v>24</v>
      </c>
      <c r="J33">
        <v>27</v>
      </c>
      <c r="K33">
        <v>29</v>
      </c>
      <c r="L33">
        <v>32</v>
      </c>
      <c r="M33">
        <v>34</v>
      </c>
      <c r="N33">
        <v>36</v>
      </c>
      <c r="O33">
        <v>38</v>
      </c>
      <c r="P33">
        <v>40</v>
      </c>
      <c r="Q33">
        <v>42</v>
      </c>
      <c r="R33">
        <v>43</v>
      </c>
      <c r="S33">
        <v>45</v>
      </c>
      <c r="T33">
        <v>47</v>
      </c>
      <c r="U33">
        <v>48</v>
      </c>
      <c r="V33">
        <v>50</v>
      </c>
      <c r="W33">
        <v>51</v>
      </c>
      <c r="X33">
        <v>53</v>
      </c>
      <c r="Y33">
        <v>54</v>
      </c>
      <c r="Z33">
        <v>55</v>
      </c>
      <c r="AA33">
        <v>56</v>
      </c>
      <c r="AB33">
        <v>58</v>
      </c>
      <c r="AC33">
        <v>59</v>
      </c>
    </row>
    <row r="34" spans="1:29" x14ac:dyDescent="0.25">
      <c r="A34">
        <f t="shared" si="1"/>
        <v>130</v>
      </c>
      <c r="B34">
        <v>2</v>
      </c>
      <c r="C34">
        <v>6</v>
      </c>
      <c r="D34">
        <v>9</v>
      </c>
      <c r="E34">
        <v>13</v>
      </c>
      <c r="F34">
        <v>16</v>
      </c>
      <c r="G34">
        <v>22</v>
      </c>
      <c r="H34">
        <v>22</v>
      </c>
      <c r="I34">
        <v>24</v>
      </c>
      <c r="J34">
        <v>27</v>
      </c>
      <c r="K34">
        <v>29</v>
      </c>
      <c r="L34">
        <v>32</v>
      </c>
      <c r="M34">
        <v>34</v>
      </c>
      <c r="N34">
        <v>36</v>
      </c>
      <c r="O34">
        <v>38</v>
      </c>
      <c r="P34">
        <v>40</v>
      </c>
      <c r="Q34">
        <v>42</v>
      </c>
      <c r="R34">
        <v>44</v>
      </c>
      <c r="S34">
        <v>46</v>
      </c>
      <c r="T34">
        <v>47</v>
      </c>
      <c r="U34">
        <v>49</v>
      </c>
      <c r="V34">
        <v>50</v>
      </c>
      <c r="W34">
        <v>52</v>
      </c>
      <c r="X34">
        <v>53</v>
      </c>
      <c r="Y34">
        <v>55</v>
      </c>
      <c r="Z34">
        <v>56</v>
      </c>
      <c r="AA34">
        <v>57</v>
      </c>
      <c r="AB34">
        <v>58</v>
      </c>
      <c r="AC34">
        <v>60</v>
      </c>
    </row>
    <row r="35" spans="1:29" x14ac:dyDescent="0.25">
      <c r="A35" t="s">
        <v>28</v>
      </c>
    </row>
    <row r="37" spans="1:29" x14ac:dyDescent="0.25">
      <c r="B37" s="131" t="s">
        <v>30</v>
      </c>
      <c r="C37" s="131"/>
      <c r="D37" s="131"/>
      <c r="E37" s="131"/>
      <c r="F37" s="133">
        <f>IF('Scores Summary'!D16="","",'Scores Summary'!D16)</f>
        <v>88</v>
      </c>
      <c r="G37" s="133"/>
      <c r="I37" s="131" t="s">
        <v>32</v>
      </c>
      <c r="J37" s="131"/>
      <c r="K37" s="131"/>
      <c r="L37" s="131"/>
      <c r="M37" s="131"/>
      <c r="N37" s="133">
        <f>IF(F37="","",CEILING(F37,4)-2)</f>
        <v>86</v>
      </c>
      <c r="O37" s="133"/>
      <c r="R37" s="131" t="s">
        <v>34</v>
      </c>
      <c r="S37" s="131"/>
      <c r="T37" s="131"/>
      <c r="U37" s="131"/>
      <c r="V37" s="115">
        <f>IF(N37="","",IF(N38="","",VLOOKUP(N37,A1:AC34,((0.25*N38)+1.5),FALSE)))</f>
        <v>41</v>
      </c>
      <c r="W37" s="115"/>
    </row>
    <row r="38" spans="1:29" x14ac:dyDescent="0.25">
      <c r="B38" s="131" t="s">
        <v>31</v>
      </c>
      <c r="C38" s="131"/>
      <c r="D38" s="131"/>
      <c r="E38" s="131"/>
      <c r="F38" s="133">
        <f>IF('Scores Summary'!D17="","",'Scores Summary'!D17)</f>
        <v>80</v>
      </c>
      <c r="G38" s="133"/>
      <c r="I38" s="131" t="s">
        <v>33</v>
      </c>
      <c r="J38" s="131"/>
      <c r="K38" s="131"/>
      <c r="L38" s="131"/>
      <c r="M38" s="131"/>
      <c r="N38" s="133">
        <f>IF(F38="","",CEILING(F38,4)-2)</f>
        <v>78</v>
      </c>
      <c r="O38" s="133"/>
    </row>
  </sheetData>
  <sheetProtection sheet="1" objects="1" scenarios="1"/>
  <mergeCells count="10">
    <mergeCell ref="N37:O37"/>
    <mergeCell ref="N38:O38"/>
    <mergeCell ref="R37:U37"/>
    <mergeCell ref="V37:W37"/>
    <mergeCell ref="B37:E37"/>
    <mergeCell ref="B38:E38"/>
    <mergeCell ref="F37:G37"/>
    <mergeCell ref="F38:G38"/>
    <mergeCell ref="I37:M37"/>
    <mergeCell ref="I38:M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Scores Summary</vt:lpstr>
      <vt:lpstr>Scores Summary 2</vt:lpstr>
      <vt:lpstr>Scores Summary 3</vt:lpstr>
      <vt:lpstr>CVLT Standard</vt:lpstr>
      <vt:lpstr>CVLT Alt</vt:lpstr>
      <vt:lpstr>CVLT-3 (Contrast)</vt:lpstr>
      <vt:lpstr>Heaton Appx C</vt:lpstr>
      <vt:lpstr>Beery VMI</vt:lpstr>
      <vt:lpstr>JOLO</vt:lpstr>
      <vt:lpstr>Stroop Word Predicted</vt:lpstr>
      <vt:lpstr>Stroop Color Predicted</vt:lpstr>
      <vt:lpstr>Stroop Inhibition Predicted</vt:lpstr>
      <vt:lpstr>Stroop T-Score Calc</vt:lpstr>
      <vt:lpstr>Stroop Inter. Pred.</vt:lpstr>
    </vt:vector>
  </TitlesOfParts>
  <Company>AHN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Page</dc:creator>
  <cp:lastModifiedBy>Unterberger, Jeffrey He/Him (AHN)</cp:lastModifiedBy>
  <cp:lastPrinted>2021-08-14T20:53:19Z</cp:lastPrinted>
  <dcterms:created xsi:type="dcterms:W3CDTF">2021-08-14T12:29:02Z</dcterms:created>
  <dcterms:modified xsi:type="dcterms:W3CDTF">2024-08-19T19:50:51Z</dcterms:modified>
</cp:coreProperties>
</file>