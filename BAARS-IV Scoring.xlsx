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R:\Neuropsychology\Scoring\BAARS-IV\"/>
    </mc:Choice>
  </mc:AlternateContent>
  <xr:revisionPtr revIDLastSave="0" documentId="13_ncr:1_{45FC134D-8B07-4A75-9CF1-4CF1DFFF6F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ARS-IV 18-39" sheetId="1" r:id="rId1"/>
    <sheet name="BAARS-IV 40-59" sheetId="2" r:id="rId2"/>
    <sheet name="BAARS-IV 60-89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3" i="2" l="1"/>
  <c r="C19" i="2" l="1"/>
  <c r="B20" i="2"/>
  <c r="B16" i="2"/>
  <c r="B11" i="2"/>
  <c r="B5" i="2"/>
  <c r="C5" i="2" s="1"/>
  <c r="E5" i="2" s="1"/>
  <c r="B16" i="1" l="1"/>
  <c r="B11" i="1"/>
  <c r="C11" i="1" s="1"/>
  <c r="E11" i="1" s="1"/>
  <c r="C2" i="1"/>
  <c r="D2" i="1" s="1"/>
  <c r="E2" i="1" l="1"/>
  <c r="D19" i="2" l="1"/>
  <c r="E19" i="2"/>
  <c r="C3" i="1"/>
  <c r="D3" i="1" l="1"/>
  <c r="E3" i="1"/>
  <c r="C6" i="2"/>
  <c r="C6" i="3"/>
  <c r="C18" i="2"/>
  <c r="C17" i="2"/>
  <c r="C15" i="2"/>
  <c r="C14" i="2"/>
  <c r="E14" i="2" s="1"/>
  <c r="D6" i="3" l="1"/>
  <c r="E6" i="3"/>
  <c r="D15" i="2"/>
  <c r="E15" i="2"/>
  <c r="D17" i="2"/>
  <c r="E17" i="2"/>
  <c r="D6" i="2"/>
  <c r="E6" i="2"/>
  <c r="D18" i="2"/>
  <c r="E18" i="2"/>
  <c r="D14" i="2"/>
  <c r="C19" i="3"/>
  <c r="C18" i="3"/>
  <c r="C17" i="3"/>
  <c r="C15" i="3"/>
  <c r="E19" i="3" l="1"/>
  <c r="D19" i="3"/>
  <c r="E15" i="3"/>
  <c r="D15" i="3"/>
  <c r="D17" i="3"/>
  <c r="E17" i="3"/>
  <c r="E18" i="3"/>
  <c r="D18" i="3"/>
  <c r="C14" i="3"/>
  <c r="C10" i="3"/>
  <c r="B11" i="3"/>
  <c r="C11" i="3" s="1"/>
  <c r="C4" i="3"/>
  <c r="E4" i="3" s="1"/>
  <c r="C3" i="3"/>
  <c r="C2" i="3"/>
  <c r="C4" i="2"/>
  <c r="C2" i="2"/>
  <c r="B20" i="3"/>
  <c r="C20" i="3" s="1"/>
  <c r="B16" i="3"/>
  <c r="C16" i="3" s="1"/>
  <c r="B5" i="3"/>
  <c r="C5" i="3" s="1"/>
  <c r="C20" i="2"/>
  <c r="C16" i="2"/>
  <c r="C11" i="2"/>
  <c r="B20" i="1"/>
  <c r="C20" i="1" s="1"/>
  <c r="B5" i="1"/>
  <c r="C5" i="1" s="1"/>
  <c r="C10" i="2"/>
  <c r="C9" i="2"/>
  <c r="C10" i="1"/>
  <c r="E10" i="1" s="1"/>
  <c r="D10" i="3" l="1"/>
  <c r="E10" i="3"/>
  <c r="D14" i="3"/>
  <c r="E14" i="3"/>
  <c r="D11" i="3"/>
  <c r="E11" i="3"/>
  <c r="D5" i="3"/>
  <c r="E5" i="3"/>
  <c r="E20" i="3"/>
  <c r="D20" i="3"/>
  <c r="E16" i="3"/>
  <c r="D16" i="3"/>
  <c r="D2" i="3"/>
  <c r="E2" i="3"/>
  <c r="D3" i="3"/>
  <c r="E3" i="3"/>
  <c r="D9" i="2"/>
  <c r="E9" i="2"/>
  <c r="E3" i="2"/>
  <c r="D3" i="2"/>
  <c r="D5" i="2"/>
  <c r="D4" i="2"/>
  <c r="E4" i="2"/>
  <c r="E20" i="2"/>
  <c r="D20" i="2"/>
  <c r="D10" i="2"/>
  <c r="E10" i="2"/>
  <c r="E11" i="2"/>
  <c r="D11" i="2"/>
  <c r="E16" i="2"/>
  <c r="D16" i="2"/>
  <c r="E2" i="2"/>
  <c r="D2" i="2"/>
  <c r="D4" i="3"/>
  <c r="D10" i="1"/>
  <c r="C19" i="1" l="1"/>
  <c r="C18" i="1"/>
  <c r="C14" i="1"/>
  <c r="D14" i="1" s="1"/>
  <c r="C15" i="1"/>
  <c r="C16" i="1"/>
  <c r="D19" i="1" l="1"/>
  <c r="E19" i="1"/>
  <c r="E18" i="1"/>
  <c r="D18" i="1"/>
  <c r="D20" i="1"/>
  <c r="E20" i="1"/>
  <c r="D17" i="1"/>
  <c r="E17" i="1"/>
  <c r="E15" i="1"/>
  <c r="D15" i="1"/>
  <c r="E14" i="1"/>
  <c r="D16" i="1"/>
  <c r="E16" i="1"/>
  <c r="C9" i="1"/>
  <c r="D11" i="1" l="1"/>
  <c r="E9" i="1"/>
  <c r="D9" i="1"/>
  <c r="C6" i="1"/>
  <c r="C4" i="1"/>
  <c r="D6" i="1" l="1"/>
  <c r="E6" i="1"/>
  <c r="E4" i="1"/>
  <c r="D4" i="1"/>
  <c r="E5" i="1"/>
  <c r="D5" i="1"/>
  <c r="C9" i="3"/>
  <c r="D9" i="3" l="1"/>
  <c r="E9" i="3"/>
</calcChain>
</file>

<file path=xl/sharedStrings.xml><?xml version="1.0" encoding="utf-8"?>
<sst xmlns="http://schemas.openxmlformats.org/spreadsheetml/2006/main" count="66" uniqueCount="20">
  <si>
    <t>Current Symptoms</t>
  </si>
  <si>
    <t>Raw Score</t>
  </si>
  <si>
    <t>Percentile</t>
  </si>
  <si>
    <t>T-Score</t>
  </si>
  <si>
    <t>Classification</t>
  </si>
  <si>
    <t>Inattention Raw</t>
  </si>
  <si>
    <t>Hyperative Raw</t>
  </si>
  <si>
    <t>Impulsive Raw</t>
  </si>
  <si>
    <t>Total ADHD Raw</t>
  </si>
  <si>
    <t>SCT Raw</t>
  </si>
  <si>
    <t>Childhood Symptoms</t>
  </si>
  <si>
    <t>Hyperactive-Impulsive Raw</t>
  </si>
  <si>
    <t>Symptom Counts</t>
  </si>
  <si>
    <t>Current Inattention</t>
  </si>
  <si>
    <t>Current Hyperative-Impulsive</t>
  </si>
  <si>
    <t>Current Total ADHD</t>
  </si>
  <si>
    <t>Current SCT</t>
  </si>
  <si>
    <t>Child Inattention</t>
  </si>
  <si>
    <t>Child Hyperactive-Impulsive</t>
  </si>
  <si>
    <t>Child Total ADHD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</si>
</sst>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8"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00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150" zoomScaleNormal="150" workbookViewId="0">
      <selection activeCell="G5" sqref="G5"/>
    </sheetView>
  </sheetViews>
  <sheetFormatPr defaultRowHeight="14.45"/>
  <cols>
    <col min="1" max="1" width="27.85546875" bestFit="1" customWidth="1"/>
    <col min="2" max="2" width="10" bestFit="1" customWidth="1"/>
    <col min="3" max="3" width="10.140625" bestFit="1" customWidth="1"/>
    <col min="4" max="4" width="8.42578125" bestFit="1" customWidth="1"/>
    <col min="5" max="5" width="23.7109375" bestFit="1" customWidth="1"/>
  </cols>
  <sheetData>
    <row r="1" spans="1:5" ht="18.60000000000000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3">
        <v>14</v>
      </c>
      <c r="C2" s="3" t="str">
        <f>IF(AND(B2&gt;=9,B2&lt;=10),"1-50",IF(AND(B2&gt;=11,B2&lt;=15),"51-75",IF(AND(B2=16),80,IF(AND(B2=17),84,IF(AND(B2=18),89,IF(AND(B2=19),90,IF(AND(B2=20),92,IF(AND(B2=21),93,IF(AND(B2=22),95,IF(AND(B2=23),96,IF(AND(B2&gt;=24,B2&lt;=26),97,IF(AND(B2&gt;=27,B2&lt;=28),98,IF(AND(B2&gt;=29,B2&lt;=36),"99+", "ERROR")))))))))))))</f>
        <v>51-75</v>
      </c>
      <c r="D2" s="5" t="str">
        <f>IF(C2="99+", "&gt;75", IF(C2="1-50", "27-50", IF(C2="51-75", "50-57",((_xlfn.NORM.S.INV(C2/100))*10)+50)))</f>
        <v>50-57</v>
      </c>
      <c r="E2" s="3" t="str">
        <f>IF(AND(C2="1-50"),"Normal",IF(AND(C2="51-75"),"Normal",IF(AND(C2&gt;=76,C2&lt;=83),"Marginally Symptomatic",IF(AND(C2&gt;=84,C2&lt;=92),"Somewhat Symptomatic",IF(AND(C2&gt;=93,C2&lt;=95),"Mildly Symptomatic",IF(AND(C2&gt;=96,C2&lt;=98),"Moderately Symptomatic",IF(AND(C2="99+"),"Severely Symptomatic","ERROR")))))))</f>
        <v>Normal</v>
      </c>
    </row>
    <row r="3" spans="1:5">
      <c r="A3" s="4" t="s">
        <v>6</v>
      </c>
      <c r="B3" s="3">
        <v>10</v>
      </c>
      <c r="C3" s="3">
        <f>IF(AND(B3=5),"1-50",IF(AND(B3&gt;=6,B3&lt;=8),"51-75",IF(AND(B3=9),79,IF(AND(B3=10),86,IF(AND(B3=11),90,IF(AND(B3=12),93,IF(AND(B3=13),94,IF(AND(B3=14),96,IF(AND(B3&gt;=15,B3&lt;=16),98,IF(AND(B3&gt;=17,B3&lt;=20),"99+","ERROR"))))))))))</f>
        <v>86</v>
      </c>
      <c r="D3" s="5">
        <f t="shared" ref="D3:D11" si="0">IF(C3="99+", "&gt;75", IF(C3="1-50", "27-50", IF(C3="51-75", "50-57",((_xlfn.NORM.S.INV(C3/100))*10)+50)))</f>
        <v>60.803193408149568</v>
      </c>
      <c r="E3" s="3" t="str">
        <f t="shared" ref="E3:E10" si="1">IF(AND(C3="1-50"),"Normal",IF(AND(C3="51-75"),"Normal",IF(AND(C3&gt;=76,C3&lt;=83),"Marginally Symptomatic",IF(AND(C3&gt;=84,C3&lt;=92),"Somewhat Symptomatic",IF(AND(C3&gt;=93,C3&lt;=95),"Mildly Symptomatic",IF(AND(C3&gt;=96,C3&lt;=98),"Moderately Symptomatic",IF(AND(C3="99+"),"Severely Symptomatic","ERROR")))))))</f>
        <v>Somewhat Symptomatic</v>
      </c>
    </row>
    <row r="4" spans="1:5">
      <c r="A4" s="4" t="s">
        <v>7</v>
      </c>
      <c r="B4" s="3">
        <v>4</v>
      </c>
      <c r="C4" s="3" t="str">
        <f>IF(AND(B4=4),"1-50",IF(AND(B4&gt;=5,B4&lt;=6),"51-75",IF(AND(B4=7),81,IF(AND(B4=8),92,IF(AND(B4=9),94,IF(AND(B4=10),95,IF(AND(B4=11),96,IF(AND(B4&gt;=12,B4&lt;=13),98,IF(AND(B4&gt;=14,B4&lt;=16),"99+","ERROR")))))))))</f>
        <v>1-50</v>
      </c>
      <c r="D4" s="5" t="str">
        <f t="shared" si="0"/>
        <v>27-50</v>
      </c>
      <c r="E4" s="3" t="str">
        <f t="shared" si="1"/>
        <v>Normal</v>
      </c>
    </row>
    <row r="5" spans="1:5">
      <c r="A5" s="4" t="s">
        <v>8</v>
      </c>
      <c r="B5" s="6">
        <f>SUM(B2:B4)</f>
        <v>28</v>
      </c>
      <c r="C5" s="3" t="str">
        <f>IF(AND(B5&gt;=18,B5&lt;=22),"1-50",IF(AND(B5&gt;=23,B5&lt;=29),"51-75",IF(AND(B5=30),77,IF(AND(B5=31),79,IF(AND(B5=32),81,IF(AND(B5=33),82,IF(AND(B5=34),83,IF(AND(B5=35),85,IF(AND(B5=36),90,IF(AND(B5=37),91,IF(AND(B5=38),92,IF(AND(B5&gt;=39,B5&lt;=41),93,IF(AND(B5=42),94,IF(AND(B5=43),95,IF(AND(B5&gt;=44,B5&lt;=45),96,IF(AND(B5&gt;=46,B5&lt;=48),97,IF(AND(B5&gt;=49,B5&lt;=53),98,IF(AND(B5&gt;=54,B5&lt;=72),"99+","ERROR"))))))))))))))))))</f>
        <v>51-75</v>
      </c>
      <c r="D5" s="5" t="str">
        <f t="shared" si="0"/>
        <v>50-57</v>
      </c>
      <c r="E5" s="3" t="str">
        <f t="shared" si="1"/>
        <v>Normal</v>
      </c>
    </row>
    <row r="6" spans="1:5">
      <c r="A6" s="4" t="s">
        <v>9</v>
      </c>
      <c r="B6" s="3">
        <v>18</v>
      </c>
      <c r="C6" s="3">
        <f>IF(AND(B6&gt;=9,B6&lt;=12),"1-50",IF(AND(B6&gt;=13,B6&lt;=16),"51-75",IF(AND(B6=17),77,IF(AND(B6=18),83,IF(AND(B6=19),85,IF(AND(B6=20),87,IF(AND(B6=21),90,IF(AND(B6=22),92,IF(AND(B6=23),93,IF(AND(B6=24),94,IF(AND(B6&gt;=25,B6&lt;=26),96,IF(AND(B6&gt;=27,B6&lt;=28),97,IF(AND(B6&gt;=29,B6&lt;=31),98,IF(AND(B6&gt;=32,B6&lt;=36),"99+","ERROR"))))))))))))))</f>
        <v>83</v>
      </c>
      <c r="D6" s="5">
        <f t="shared" si="0"/>
        <v>59.541652531461956</v>
      </c>
      <c r="E6" s="3" t="str">
        <f t="shared" si="1"/>
        <v>Marginally Symptomatic</v>
      </c>
    </row>
    <row r="7" spans="1:5">
      <c r="B7" s="1"/>
      <c r="C7" s="1"/>
      <c r="D7" s="5"/>
      <c r="E7" s="3"/>
    </row>
    <row r="8" spans="1:5" ht="18.600000000000001">
      <c r="A8" s="2" t="s">
        <v>10</v>
      </c>
      <c r="B8" s="3"/>
      <c r="C8" s="3"/>
      <c r="D8" s="5"/>
      <c r="E8" s="3"/>
    </row>
    <row r="9" spans="1:5">
      <c r="A9" s="4" t="s">
        <v>5</v>
      </c>
      <c r="B9" s="3">
        <v>20</v>
      </c>
      <c r="C9" s="3">
        <f>IF(AND(B9&gt;=9,B9&lt;=10),"1-50",IF(AND(B9&gt;=11,B9&lt;=17),"51-75",IF(AND(B9=18),81,IF(AND(B9=19),83,IF(AND(B9=20),85,IF(AND(B9=21),88,IF(AND(B9=22),89,IF(AND(B9=23),90,IF(AND(B9=24),92,IF(AND(B9=25),94,IF(AND(B9=26),95,IF(AND(B9&gt;=27,B9&lt;=29),97,IF(AND(B9&gt;=30,B9&lt;=31),98,IF(AND(B9&gt;=32,B9&lt;=36),"99+","ERROR"))))))))))))))</f>
        <v>85</v>
      </c>
      <c r="D9" s="5">
        <f t="shared" si="0"/>
        <v>60.3643338949379</v>
      </c>
      <c r="E9" s="3" t="str">
        <f t="shared" si="1"/>
        <v>Somewhat Symptomatic</v>
      </c>
    </row>
    <row r="10" spans="1:5">
      <c r="A10" s="4" t="s">
        <v>11</v>
      </c>
      <c r="B10" s="3">
        <v>16</v>
      </c>
      <c r="C10" s="3" t="str">
        <f>IF(AND(B10&gt;=9,B10&lt;=11),"1-50",IF(AND(B10&gt;=12,B10&lt;=17),"51-75",IF(AND(B10=18),82,IF(AND(B10=19),85,IF(AND(B10=20),87,IF(AND(B10=21),88,IF(AND(B10=22),91,IF(AND(B10=23),93,IF(AND(B10=24),94,IF(AND(B10=25),95,IF(AND(B10=26),96,IF(AND(B10&gt;=27,B10&lt;=30),98,IF(AND(B10&gt;=31,B10&lt;=36),"99+","ERROR")))))))))))))</f>
        <v>51-75</v>
      </c>
      <c r="D10" s="5" t="str">
        <f t="shared" si="0"/>
        <v>50-57</v>
      </c>
      <c r="E10" s="3" t="str">
        <f t="shared" si="1"/>
        <v>Normal</v>
      </c>
    </row>
    <row r="11" spans="1:5">
      <c r="A11" s="4" t="s">
        <v>8</v>
      </c>
      <c r="B11" s="6">
        <f>SUM(B9:B10)</f>
        <v>36</v>
      </c>
      <c r="C11" s="3">
        <f>IF(AND(B11&gt;=18,B11&lt;=23),"1-50",IF(AND(B11&gt;=24,B11&lt;=33),"51-75",IF(AND(B11=34),76,IF(AND(B11=35),77,IF(AND(B11=36),82,IF(AND(B11=37),84,IF(AND(B11=38),85,IF(AND(B11&gt;=39,B11&lt;=40),87,IF(AND(B11=41),88,IF(AND(B11=42),89,IF(AND(B11=43),90,IF(AND(B11=44),91,IF(AND(B11=45),92,IF(AND(B11=46),93,IF(AND(B11&gt;=47,B11&lt;=48),94,IF(AND(B11&gt;=49,B11&lt;=50),95,IF(AND(B11=51),96,IF(AND(B11&gt;=52,B11&lt;=54),97,IF(AND(B11&gt;=55,B11&lt;=59),98,IF(AND(B11&gt;=60,B11&lt;=72),"99+","ERROR"))))))))))))))))))))</f>
        <v>82</v>
      </c>
      <c r="D11" s="5">
        <f t="shared" si="0"/>
        <v>59.153650878428124</v>
      </c>
      <c r="E11" s="3" t="str">
        <f>IF(AND(C11="1-50"),"Normal",IF(AND(C11="51-75"),"Normal",IF(AND(C11&gt;=76,C11&lt;=83),"Marginally Symptomatic",IF(AND(C11&gt;=84,C11&lt;=92),"Somewhat Symptomatic",IF(AND(C11&gt;=93,C11&lt;=95),"Mildly Symptomatic",IF(AND(C11&gt;=96,C11&lt;=98),"Moderately Symptomatic",IF(AND(C11="99+"),"Severely Symptomatic")))))))</f>
        <v>Marginally Symptomatic</v>
      </c>
    </row>
    <row r="12" spans="1:5">
      <c r="B12" s="1"/>
      <c r="C12" s="1"/>
      <c r="D12" s="5"/>
      <c r="E12" s="3"/>
    </row>
    <row r="13" spans="1:5" ht="18.600000000000001">
      <c r="A13" s="2" t="s">
        <v>12</v>
      </c>
      <c r="B13" s="3"/>
      <c r="C13" s="3"/>
      <c r="D13" s="5"/>
      <c r="E13" s="3"/>
    </row>
    <row r="14" spans="1:5">
      <c r="A14" s="4" t="s">
        <v>13</v>
      </c>
      <c r="B14" s="3">
        <v>0</v>
      </c>
      <c r="C14" s="3" t="str">
        <f>IF(AND(B14=0),"1-75",IF(AND(B14=1),86,IF(AND(B14=2),89,IF(AND(B14=3),92,IF(AND(B14=4),95,IF(AND(B14=5),96,IF(AND(B14=6),97,IF(AND(B14&gt;=7,B14&lt;=8),98,IF(AND(B14=9),"99+", "ERROR")))))))))</f>
        <v>1-75</v>
      </c>
      <c r="D14" s="5" t="str">
        <f>IF(C14="99+", "&gt;75", IF(C14="1-75","27-57",((_xlfn.NORM.S.INV(C14/100))*10)+50))</f>
        <v>27-57</v>
      </c>
      <c r="E14" s="3" t="str">
        <f>IF(AND(C14="1-75"),"Normal",IF(AND(C14&gt;=76,C14&lt;=83),"Marginally Symptomatic",IF(AND(C14&gt;=84,C14&lt;=92),"Somewhat Symptomatic",IF(AND(C14&gt;=93,C14&lt;=95),"Mildly Symptomatic",IF(AND(C14&gt;=96,C14&lt;=98),"Moderately Symptomatic",IF(AND(C14="99+"),"Severely Symptomatic","ERROR"))))))</f>
        <v>Normal</v>
      </c>
    </row>
    <row r="15" spans="1:5">
      <c r="A15" s="4" t="s">
        <v>14</v>
      </c>
      <c r="B15" s="3">
        <v>1</v>
      </c>
      <c r="C15" s="3">
        <f>IF(AND(B15=0),"1-75",IF(AND(B15=1),80,IF(AND(B15=2),88,IF(AND(B15=3),93,IF(AND(B15=4),95,IF(AND(B15=5),97,IF(AND(B15&gt;=6,B15&lt;=7),98,IF(AND(B15&gt;=8,B15&lt;=9),"99+","ERROR"))))))))</f>
        <v>80</v>
      </c>
      <c r="D15" s="5">
        <f t="shared" ref="D15:D20" si="2">IF(C15="99+", "&gt;75", IF(C15="1-75","27-57",((_xlfn.NORM.S.INV(C15/100))*10)+50))</f>
        <v>58.416212335729149</v>
      </c>
      <c r="E15" s="3" t="str">
        <f t="shared" ref="E15:E20" si="3">IF(AND(C15="1-75"),"Normal",IF(AND(C15&gt;=76,C15&lt;=83),"Marginally Symptomatic",IF(AND(C15&gt;=84,C15&lt;=92),"Somewhat Symptomatic",IF(AND(C15&gt;=93,C15&lt;=95),"Mildly Symptomatic",IF(AND(C15&gt;=96,C15&lt;=98),"Moderately Symptomatic",IF(AND(C15="99+"),"Severely Symptomatic","ERROR"))))))</f>
        <v>Marginally Symptomatic</v>
      </c>
    </row>
    <row r="16" spans="1:5">
      <c r="A16" s="4" t="s">
        <v>15</v>
      </c>
      <c r="B16" s="6">
        <f>SUM(B14,B15)</f>
        <v>1</v>
      </c>
      <c r="C16" s="3" t="str">
        <f>IF(AND(B16&gt;=0,B16&lt;=1),"1-75",IF(AND(B16=2),80,IF(AND(B16=3),85,IF(AND(B16=4),88,IF(AND(B16=5),91,IF(AND(B16=6),92,IF(AND(B16=7),94,IF(AND(B16=8),95,IF(AND(B16&gt;=9,B16&lt;=11),97,IF(AND(B16&gt;=12,B16&lt;=13),98,IF(AND(B16&gt;=14,B16&lt;=18),"99+","ERROR")))))))))))</f>
        <v>1-75</v>
      </c>
      <c r="D16" s="5" t="str">
        <f t="shared" si="2"/>
        <v>27-57</v>
      </c>
      <c r="E16" s="3" t="str">
        <f t="shared" si="3"/>
        <v>Normal</v>
      </c>
    </row>
    <row r="17" spans="1:5">
      <c r="A17" s="4" t="s">
        <v>16</v>
      </c>
      <c r="B17" s="3">
        <v>2</v>
      </c>
      <c r="C17" s="3">
        <f>IF(AND(B17=0),"1-75",IF(AND(B17=1),78,IF(AND(B17=2),85,IF(AND(B17=3),88,IF(AND(B17=4),93,IF(AND(B17=5),94,IF(AND(B17=6),96,IF(AND(B17=7),97,IF(AND(B17=8),98,IF(AND(B17=9),"99+",))))))))))</f>
        <v>85</v>
      </c>
      <c r="D17" s="5">
        <f t="shared" si="2"/>
        <v>60.3643338949379</v>
      </c>
      <c r="E17" s="3" t="str">
        <f t="shared" si="3"/>
        <v>Somewhat Symptomatic</v>
      </c>
    </row>
    <row r="18" spans="1:5">
      <c r="A18" s="4" t="s">
        <v>17</v>
      </c>
      <c r="B18" s="3">
        <v>3</v>
      </c>
      <c r="C18" s="3">
        <f>IF(AND(B18=0),"1-75",IF(AND(B18=1),79,IF(AND(B18=2),83,IF(AND(B18=3),85,IF(AND(B18=4),89,IF(AND(B18=5),92,IF(AND(B18=6),93,IF(AND(B18=7),96,IF(AND(B18=8),98,IF(AND(B18=9),"99+","ERROR"))))))))))</f>
        <v>85</v>
      </c>
      <c r="D18" s="5">
        <f t="shared" si="2"/>
        <v>60.3643338949379</v>
      </c>
      <c r="E18" s="3" t="str">
        <f t="shared" si="3"/>
        <v>Somewhat Symptomatic</v>
      </c>
    </row>
    <row r="19" spans="1:5">
      <c r="A19" s="4" t="s">
        <v>18</v>
      </c>
      <c r="B19" s="3">
        <v>2</v>
      </c>
      <c r="C19" s="3">
        <f>IF(AND(B19=0),"1-75",IF(AND(B19=1),78,IF(AND(B19=2),83,IF(AND(B19=3),87,IF(AND(B19=4),89,IF(AND(B19=5),93,IF(AND(B19=6),95,IF(AND(B19=7),97,IF(AND(B19=8),98,IF(AND(B19=9),"99+","ERROR"))))))))))</f>
        <v>83</v>
      </c>
      <c r="D19" s="5">
        <f t="shared" si="2"/>
        <v>59.541652531461956</v>
      </c>
      <c r="E19" s="3" t="str">
        <f t="shared" si="3"/>
        <v>Marginally Symptomatic</v>
      </c>
    </row>
    <row r="20" spans="1:5">
      <c r="A20" s="4" t="s">
        <v>19</v>
      </c>
      <c r="B20" s="6">
        <f>SUM(B18:B19)</f>
        <v>5</v>
      </c>
      <c r="C20" s="3">
        <f>IF(AND(B20&gt;=0,B20&lt;=2),"1-75",IF(AND(B20=3),78,IF(AND(B20=4),81,IF(AND(B20=5),84,IF(AND(B20=6),86,IF(AND(B20=7),87,IF(AND(B20=8),89,IF(AND(B20=9),92,IF(AND(B20=10),93,IF(AND(B20&gt;=11,B20&lt;=12),95,IF(AND(B20=13),96,IF(AND(B20=14),97,IF(AND(B20&gt;=15,B20&lt;=16),98,IF(AND(B20&gt;=17,B20&lt;=18),"99+","ERROR"))))))))))))))</f>
        <v>84</v>
      </c>
      <c r="D20" s="5">
        <f t="shared" si="2"/>
        <v>59.944578832097498</v>
      </c>
      <c r="E20" s="3" t="str">
        <f t="shared" si="3"/>
        <v>Somewhat Symptomatic</v>
      </c>
    </row>
  </sheetData>
  <conditionalFormatting sqref="E2:E20">
    <cfRule type="beginsWith" dxfId="17" priority="1" operator="beginsWith" text="Normal">
      <formula>LEFT(E2,LEN("Normal"))="Normal"</formula>
    </cfRule>
    <cfRule type="containsText" dxfId="16" priority="2" operator="containsText" text="Moderately Symptomatic">
      <formula>NOT(ISERROR(SEARCH("Moderately Symptomatic",E2)))</formula>
    </cfRule>
    <cfRule type="containsText" dxfId="15" priority="3" operator="containsText" text="Mildly Symptomatic">
      <formula>NOT(ISERROR(SEARCH("Mildly Symptomatic",E2)))</formula>
    </cfRule>
    <cfRule type="containsText" dxfId="14" priority="4" operator="containsText" text="Somewhat Symptomatic">
      <formula>NOT(ISERROR(SEARCH("Somewhat Symptomatic",E2)))</formula>
    </cfRule>
    <cfRule type="containsText" dxfId="13" priority="5" operator="containsText" text="Severely Symptomatic">
      <formula>NOT(ISERROR(SEARCH("Severely Symptomatic",E2)))</formula>
    </cfRule>
    <cfRule type="containsText" dxfId="12" priority="6" operator="containsText" text="Marginally Symptomatic">
      <formula>NOT(ISERROR(SEARCH("Marginally Symptomatic",E2)))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zoomScale="150" zoomScaleNormal="150" workbookViewId="0">
      <selection activeCell="B20" sqref="B20"/>
    </sheetView>
  </sheetViews>
  <sheetFormatPr defaultRowHeight="14.45"/>
  <cols>
    <col min="1" max="1" width="27.85546875" bestFit="1" customWidth="1"/>
    <col min="2" max="2" width="10" bestFit="1" customWidth="1"/>
    <col min="3" max="3" width="10.140625" bestFit="1" customWidth="1"/>
    <col min="4" max="4" width="8.42578125" bestFit="1" customWidth="1"/>
    <col min="5" max="5" width="23.7109375" bestFit="1" customWidth="1"/>
  </cols>
  <sheetData>
    <row r="1" spans="1:5" ht="18.60000000000000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3">
        <v>20</v>
      </c>
      <c r="C2" s="3">
        <f>IF(AND(B2&gt;=9,B2&lt;=10),"1-50",IF(AND(B2&gt;=11,B2&lt;=13),"51-75",IF(AND(B2=14),78,IF(AND(B2=15),81,IF(AND(B2=16),84,IF(AND(B2=17),86,IF(AND(B2=18),91,IF(AND(B2=19),93,IF(AND(B2=20),94,IF(AND(B2=21),96,IF(AND(B2&gt;=22, B2&lt;=23),97,IF(AND(B2&gt;=24,B2&lt;=26),98,IF(AND(B2&gt;=27,B2&lt;=36),"99+","ERROR")))))))))))))</f>
        <v>94</v>
      </c>
      <c r="D2" s="5">
        <f>IF(C2="99+", "&gt;75", IF(C2="1-50", "27-50", IF(C2="51-75", "50-57",((_xlfn.NORM.S.INV(C2/100))*10)+50)))</f>
        <v>65.547735945968526</v>
      </c>
      <c r="E2" s="3" t="str">
        <f>IF(AND(C2="1-50"),"Normal",IF(AND(C2="51-75"),"Normal",IF(AND(C2&gt;=76,C2&lt;=83),"Marginally Symptomatic",IF(AND(C2&gt;=84,C2&lt;=92),"Somewhat Symptomatic",IF(AND(C2&gt;=93,C2&lt;=95),"Mildly Symptomatic",IF(AND(C2&gt;=96,C2&lt;=98),"Moderately Symptomatic",IF(AND(C2="99+"),"Severely Symptomatic","ERROR")))))))</f>
        <v>Mildly Symptomatic</v>
      </c>
    </row>
    <row r="3" spans="1:5">
      <c r="A3" s="4" t="s">
        <v>6</v>
      </c>
      <c r="B3" s="3">
        <v>19</v>
      </c>
      <c r="C3" s="3" t="str">
        <f>IF(AND(B3=5),"1-50",IF(AND(B3&gt;=6,B3&lt;=7),"51-75",IF(AND(B3=8),80,IF(AND(B3=9),86,IF(AND(B3=10),91,IF(AND(B3=11),94,IF(AND(B3=12),96,IF(AND(B3=13),97,IF(AND(B3=14),98,IF(AND(B3&gt;=15,B3&lt;=20),"99+","ERROR"))))))))))</f>
        <v>99+</v>
      </c>
      <c r="D3" s="5" t="str">
        <f t="shared" ref="D3:D11" si="0">IF(C3="99+", "&gt;75", IF(C3="1-50", "27-50", IF(C3="51-75", "50-57",((_xlfn.NORM.S.INV(C3/100))*10)+50)))</f>
        <v>&gt;75</v>
      </c>
      <c r="E3" s="3" t="str">
        <f t="shared" ref="E3:E11" si="1">IF(AND(C3="1-50"),"Normal",IF(AND(C3="51-75"),"Normal",IF(AND(C3&gt;=76,C3&lt;=83),"Marginally Symptomatic",IF(AND(C3&gt;=84,C3&lt;=92),"Somewhat Symptomatic",IF(AND(C3&gt;=93,C3&lt;=95),"Mildly Symptomatic",IF(AND(C3&gt;=96,C3&lt;=98),"Moderately Symptomatic",IF(AND(C3="99+"),"Severely Symptomatic","ERROR")))))))</f>
        <v>Severely Symptomatic</v>
      </c>
    </row>
    <row r="4" spans="1:5">
      <c r="A4" s="4" t="s">
        <v>7</v>
      </c>
      <c r="B4" s="3">
        <v>9</v>
      </c>
      <c r="C4" s="3">
        <f>IF(AND(B4=4),"1-50",IF(AND(B4&gt;=5,B4&lt;=6),"51-75",IF(AND(B4=7),84,IF(AND(B4=8),91,IF(AND(B4=9),95,IF(AND(B4=10),96,IF(AND(B4=11),97,IF(AND(B4=12),98,IF(AND(B4&gt;=13,B4&lt;=16),"99+","ERROR")))))))))</f>
        <v>95</v>
      </c>
      <c r="D4" s="5">
        <f t="shared" si="0"/>
        <v>66.448536269514719</v>
      </c>
      <c r="E4" s="3" t="str">
        <f t="shared" si="1"/>
        <v>Mildly Symptomatic</v>
      </c>
    </row>
    <row r="5" spans="1:5">
      <c r="A5" s="4" t="s">
        <v>8</v>
      </c>
      <c r="B5" s="6">
        <f>SUM(B2:B4)</f>
        <v>48</v>
      </c>
      <c r="C5" s="3">
        <f>IF(AND(B5&gt;=18,B5&lt;=21),"1-50",IF(AND(B5&gt;=22,B5&lt;=28),"51-75",IF(AND(B5=29),78,IF(AND(B5=30),80,IF(AND(B5=31),84,IF(AND(B5=32),86,IF(AND(B5=33),88,IF(AND(B5=34),89,IF(AND(B5=35),91,IF(AND(B5=36),93,IF(AND(B5=37),94,IF(AND(B5=38),95,IF(AND(B5&gt;=39,B5&lt;=41),96,IF(AND(B5&gt;=42,B5&lt;=44),97,IF(AND(B5&gt;=45,B5&lt;=51),98,IF(AND(B5&gt;=52,B5&lt;=72),"99+"))))))))))))))))</f>
        <v>98</v>
      </c>
      <c r="D5" s="5">
        <f t="shared" si="0"/>
        <v>70.537489106318219</v>
      </c>
      <c r="E5" s="3" t="str">
        <f>IF(AND(C5="1-50"),"Normal",IF(AND(C5="51-75"),"Normal",IF(AND(C5&gt;=76,C5&lt;=83),"Marginally Symptomatic",IF(AND(C5&gt;=84,C5&lt;=92),"Somewhat Symptomatic",IF(AND(C5&gt;=93,C5&lt;=95),"Mildly Symptomatic",IF(AND(C5&gt;=96,C5&lt;=98),"Moderately Symptomatic",IF(AND(C5="99+"),"Severely Symptomatic",)))))))</f>
        <v>Moderately Symptomatic</v>
      </c>
    </row>
    <row r="6" spans="1:5">
      <c r="A6" s="4" t="s">
        <v>9</v>
      </c>
      <c r="B6" s="3">
        <v>30</v>
      </c>
      <c r="C6" s="3">
        <f>IF(AND(B6&gt;=9,B6&lt;=11),"1-50",IF(AND(B6&gt;=12,B6&lt;=15),"51-75",IF(AND(B6=16),76,IF(AND(B6=17),81,IF(AND(B6=18),84,IF(AND(B6=19),85,IF(AND(B6=20),88,IF(AND(B6=21),90,IF(AND(B6=22),92,IF(AND(B6=23),93,IF(AND(B6&gt;=24,B6&lt;=25),94,IF(AND(B6=26),95,IF(AND(B6&gt;=27,B6&lt;=28),96,IF(AND(B6=29),97,IF(AND(B6=30),98,IF(AND(B6&gt;=31,B6&lt;=36),"99+","ERROR"))))))))))))))))</f>
        <v>98</v>
      </c>
      <c r="D6" s="5">
        <f t="shared" si="0"/>
        <v>70.537489106318219</v>
      </c>
      <c r="E6" s="3" t="str">
        <f t="shared" si="1"/>
        <v>Moderately Symptomatic</v>
      </c>
    </row>
    <row r="7" spans="1:5">
      <c r="B7" s="1"/>
      <c r="C7" s="1"/>
      <c r="D7" s="5"/>
      <c r="E7" s="3"/>
    </row>
    <row r="8" spans="1:5" ht="18.600000000000001">
      <c r="A8" s="2" t="s">
        <v>10</v>
      </c>
      <c r="B8" s="3"/>
      <c r="C8" s="3"/>
      <c r="D8" s="5"/>
      <c r="E8" s="3"/>
    </row>
    <row r="9" spans="1:5">
      <c r="A9" s="4" t="s">
        <v>5</v>
      </c>
      <c r="B9" s="3">
        <v>18</v>
      </c>
      <c r="C9" s="3">
        <f>IF(AND(B9&gt;=9,B9&lt;=10),"1-50",IF(AND(B9&gt;=11,B9&lt;=16),"51-75",IF(AND(B9=17),79,IF(AND(B9=18),86,IF(AND(B9=19),88,IF(AND(B9=20),90,IF(AND(B9=21),92,IF(AND(B9=22),94,IF(AND(B9=23),95,IF(AND(B9&gt;=24,B9&lt;=25),96,IF(AND(B9=26),97,IF(AND(B9&gt;=27,B9&lt;=30),98,IF(AND(B9&gt;=31,B9&lt;=36),"99+","ERROR")))))))))))))</f>
        <v>86</v>
      </c>
      <c r="D9" s="5">
        <f t="shared" si="0"/>
        <v>60.803193408149568</v>
      </c>
      <c r="E9" s="3" t="str">
        <f t="shared" si="1"/>
        <v>Somewhat Symptomatic</v>
      </c>
    </row>
    <row r="10" spans="1:5">
      <c r="A10" s="4" t="s">
        <v>11</v>
      </c>
      <c r="B10" s="3">
        <v>26</v>
      </c>
      <c r="C10" s="3">
        <f>IF(AND(B10&gt;=9,B10&lt;=10),"1-50",IF(AND(B10&gt;=11,B10&lt;=14),"51-75",IF(AND(B10=15),76,IF(AND(B10=16),80,IF(AND(B10=17),84,IF(AND(B10=18),89,IF(AND(B10=19),90,IF(AND(B10=20),91,IF(AND(B10=21),93,IF(AND(B10=22),95,IF(AND(B10&gt;=23,B10&lt;=24),96,IF(AND(B10&gt;=25,B10&lt;=26),97,IF(AND(B10=27),98,IF(AND(B10&gt;=28,B10&lt;=36),"99+","ERROR"))))))))))))))</f>
        <v>97</v>
      </c>
      <c r="D10" s="5">
        <f t="shared" si="0"/>
        <v>68.807936081512509</v>
      </c>
      <c r="E10" s="3" t="str">
        <f t="shared" si="1"/>
        <v>Moderately Symptomatic</v>
      </c>
    </row>
    <row r="11" spans="1:5">
      <c r="A11" s="4" t="s">
        <v>8</v>
      </c>
      <c r="B11" s="6">
        <f>SUM(B9:B10)</f>
        <v>44</v>
      </c>
      <c r="C11" s="3">
        <f>IF(AND(B11&gt;=18,B11&lt;=23),"1-50",IF(AND(B11&gt;=24,B11&lt;=30),"51-75",IF(AND(B11=31),76,IF(AND(B11=32),79,IF(AND(B11=33),81,IF(AND(B11=34),83,IF(AND(B11=35),84,IF(AND(B11=36),88,IF(AND(B11=37),89,IF(AND(B11=38),90,IF(AND(B11=39),91,IF(AND(B11&gt;=40,B11&lt;=41),93,IF(AND(B11=42),94,IF(AND(B11&gt;=43,B11&lt;=45),95,IF(AND(B11&gt;=46,B11&lt;=51),97,IF(AND(B11&gt;=52,B11&lt;=54),98,IF(AND(B11&gt;=55,B11&lt;=72),"99+","ERROR")))))))))))))))))</f>
        <v>95</v>
      </c>
      <c r="D11" s="5">
        <f t="shared" si="0"/>
        <v>66.448536269514719</v>
      </c>
      <c r="E11" s="3" t="str">
        <f t="shared" si="1"/>
        <v>Mildly Symptomatic</v>
      </c>
    </row>
    <row r="12" spans="1:5">
      <c r="B12" s="1"/>
      <c r="C12" s="1"/>
      <c r="D12" s="7"/>
      <c r="E12" s="1"/>
    </row>
    <row r="13" spans="1:5" ht="18.600000000000001">
      <c r="A13" s="2" t="s">
        <v>12</v>
      </c>
      <c r="B13" s="3"/>
      <c r="C13" s="3"/>
      <c r="D13" s="5"/>
      <c r="E13" s="3"/>
    </row>
    <row r="14" spans="1:5">
      <c r="A14" s="4" t="s">
        <v>13</v>
      </c>
      <c r="B14" s="3">
        <v>3</v>
      </c>
      <c r="C14" s="3">
        <f>IF(AND(B14=0),"1-75",IF(AND(B14=1),90,IF(AND(B14=2),92,IF(AND(B14=3),95,IF(AND(B14&gt;=4,B14&lt;=5),97,IF(AND(B14&gt;=6,B14&lt;=7),98,IF(AND(B14&gt;=8,B14&lt;=9),"99+","ERROR")))))))</f>
        <v>95</v>
      </c>
      <c r="D14" s="5">
        <f>IF(C14="99+", "&gt;75",IF(C14="1-75","27-57",((_xlfn.NORM.S.INV(C14/100))*10)+50))</f>
        <v>66.448536269514719</v>
      </c>
      <c r="E14" s="3" t="str">
        <f>IF(AND(C14="1-75"),"Normal",IF(AND(C14&gt;=76,C14&lt;=83),"Marginally Symptomatic",IF(AND(C14&gt;=84,C14&lt;=92),"Somewhat Symptomatic",IF(AND(C14&gt;=93,C14&lt;=95),"Mildly Symptomatic",IF(AND(C14&gt;=96,C14&lt;=98),"Moderately Symptomatic",IF(AND(C14="99+"),"Severely Symptomatic","ERROR"))))))</f>
        <v>Mildly Symptomatic</v>
      </c>
    </row>
    <row r="15" spans="1:5">
      <c r="A15" s="4" t="s">
        <v>14</v>
      </c>
      <c r="B15" s="3">
        <v>6</v>
      </c>
      <c r="C15" s="3" t="str">
        <f>IF(AND(B15=0),"1-75",IF(AND(B15=1),86,IF(AND(B15=2),91,IF(AND(B15=3),95,IF(AND(B15=4),97,IF(AND(B15=5),98,IF(AND(B15&gt;=6,B15&lt;=9),"99+","ERROR")))))))</f>
        <v>99+</v>
      </c>
      <c r="D15" s="5" t="str">
        <f t="shared" ref="D15:D20" si="2">IF(C15="99+", "&gt;75",IF(C15="1-75","27-57",((_xlfn.NORM.S.INV(C15/100))*10)+50))</f>
        <v>&gt;75</v>
      </c>
      <c r="E15" s="3" t="str">
        <f t="shared" ref="E15:E20" si="3">IF(AND(C15="1-75"),"Normal",IF(AND(C15&gt;=76,C15&lt;=83),"Marginally Symptomatic",IF(AND(C15&gt;=84,C15&lt;=92),"Somewhat Symptomatic",IF(AND(C15&gt;=93,C15&lt;=95),"Mildly Symptomatic",IF(AND(C15&gt;=96,C15&lt;=98),"Moderately Symptomatic",IF(AND(C15="99+"),"Severely Symptomatic","ERROR"))))))</f>
        <v>Severely Symptomatic</v>
      </c>
    </row>
    <row r="16" spans="1:5">
      <c r="A16" s="4" t="s">
        <v>15</v>
      </c>
      <c r="B16" s="6">
        <f>SUM(B14,B15)</f>
        <v>9</v>
      </c>
      <c r="C16" s="3">
        <f>IF(AND(B16=0),"1-75",IF(AND(B16=1),82,IF(AND(B16=2),86,IF(AND(B16=3),89,IF(AND(B16=4),91,IF(AND(B16=5),94,IF(AND(B16&gt;=6,B16&lt;=7),96,IF(AND(B16=8),97,IF(AND(B16&gt;=9,B16&lt;=13),98,IF(AND(B16&gt;=14,B16&lt;=18),"99+","ERROR"))))))))))</f>
        <v>98</v>
      </c>
      <c r="D16" s="5">
        <f t="shared" si="2"/>
        <v>70.537489106318219</v>
      </c>
      <c r="E16" s="3" t="str">
        <f t="shared" si="3"/>
        <v>Moderately Symptomatic</v>
      </c>
    </row>
    <row r="17" spans="1:5">
      <c r="A17" s="4" t="s">
        <v>16</v>
      </c>
      <c r="B17" s="3">
        <v>5</v>
      </c>
      <c r="C17" s="3">
        <f>IF(AND(B17=0),"1-75",IF(AND(B17=1),80,IF(AND(B17=2),86,IF(AND(B17=3),90,IF(AND(B17=4),92,IF(AND(B17=5),94,IF(AND(B17=6),95,IF(AND(B17=7),97,IF(AND(B17=8),98,IF(AND(B17=9),"99+","ERROR"))))))))))</f>
        <v>94</v>
      </c>
      <c r="D17" s="5">
        <f t="shared" si="2"/>
        <v>65.547735945968526</v>
      </c>
      <c r="E17" s="3" t="str">
        <f t="shared" si="3"/>
        <v>Mildly Symptomatic</v>
      </c>
    </row>
    <row r="18" spans="1:5">
      <c r="A18" s="4" t="s">
        <v>17</v>
      </c>
      <c r="B18" s="3">
        <v>2</v>
      </c>
      <c r="C18" s="3">
        <f>IF(AND(B18=0),"1-75",IF(AND(B18=1),84,IF(AND(B18=2),88,IF(AND(B18=3),91,IF(AND(B18=4),93,IF(AND(B18=5),94,IF(AND(B18=6),96,IF(AND(B18=7),97,IF(AND(B18=8),98,IF(AND(B18=9),"99+","ERROR"))))))))))</f>
        <v>88</v>
      </c>
      <c r="D18" s="5">
        <f t="shared" si="2"/>
        <v>61.749867920660904</v>
      </c>
      <c r="E18" s="3" t="str">
        <f t="shared" si="3"/>
        <v>Somewhat Symptomatic</v>
      </c>
    </row>
    <row r="19" spans="1:5">
      <c r="A19" s="4" t="s">
        <v>18</v>
      </c>
      <c r="B19" s="3">
        <v>7</v>
      </c>
      <c r="C19" s="3">
        <f>IF(AND(B19=0),"1-75",IF(AND(B19=1),84,IF(AND(B19=2),88,IF(AND(B19=3),90,IF(AND(B19=4),94,IF(AND(B19=5),96,IF(AND(B19=6),97,IF(AND(B19&gt;=7,B19&lt;=8),98,IF(AND(B19=9),"99+")))))))))</f>
        <v>98</v>
      </c>
      <c r="D19" s="5">
        <f t="shared" si="2"/>
        <v>70.537489106318219</v>
      </c>
      <c r="E19" s="3" t="str">
        <f t="shared" si="3"/>
        <v>Moderately Symptomatic</v>
      </c>
    </row>
    <row r="20" spans="1:5">
      <c r="A20" s="4" t="s">
        <v>19</v>
      </c>
      <c r="B20" s="6">
        <f>SUM(B18:B19)</f>
        <v>9</v>
      </c>
      <c r="C20" s="3">
        <f>IF(AND(B20&gt;=0,B20&lt;=1),"1-75",IF(AND(B20=2),81,IF(AND(B20=3),83,IF(AND(B20=4),86,IF(AND(B20=5),88,IF(AND(B20=6),90,IF(AND(B20=7),93,IF(AND(B20=8),94,IF(AND(B20=9),95,IF(AND(B20=10),97,IF(AND(B20&gt;=11,B20&lt;=13),97,IF(AND(B20&gt;=14,B20&lt;=18),"99+","ERROR"))))))))))))</f>
        <v>95</v>
      </c>
      <c r="D20" s="5">
        <f t="shared" si="2"/>
        <v>66.448536269514719</v>
      </c>
      <c r="E20" s="3" t="str">
        <f t="shared" si="3"/>
        <v>Mildly Symptomatic</v>
      </c>
    </row>
  </sheetData>
  <conditionalFormatting sqref="E2:E20">
    <cfRule type="beginsWith" dxfId="11" priority="1" operator="beginsWith" text="Normal">
      <formula>LEFT(E2,LEN("Normal"))="Normal"</formula>
    </cfRule>
    <cfRule type="containsText" dxfId="10" priority="2" operator="containsText" text="Severely Symptomatic">
      <formula>NOT(ISERROR(SEARCH("Severely Symptomatic",E2)))</formula>
    </cfRule>
    <cfRule type="containsText" dxfId="9" priority="3" operator="containsText" text="Moderately Symptomatic">
      <formula>NOT(ISERROR(SEARCH("Moderately Symptomatic",E2)))</formula>
    </cfRule>
    <cfRule type="containsText" dxfId="8" priority="4" operator="containsText" text="Mildly Symptomatic">
      <formula>NOT(ISERROR(SEARCH("Mildly Symptomatic",E2)))</formula>
    </cfRule>
    <cfRule type="containsText" dxfId="7" priority="5" operator="containsText" text="Somewhat Symptomatic">
      <formula>NOT(ISERROR(SEARCH("Somewhat Symptomatic",E2)))</formula>
    </cfRule>
    <cfRule type="containsText" dxfId="6" priority="6" operator="containsText" text="Marginally Symptomatic">
      <formula>NOT(ISERROR(SEARCH("Marginally Symptomatic",E2)))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zoomScale="150" zoomScaleNormal="150" workbookViewId="0">
      <selection activeCell="G17" sqref="G17"/>
    </sheetView>
  </sheetViews>
  <sheetFormatPr defaultRowHeight="14.45"/>
  <cols>
    <col min="1" max="1" width="27.85546875" bestFit="1" customWidth="1"/>
    <col min="2" max="2" width="10" bestFit="1" customWidth="1"/>
    <col min="3" max="3" width="10.140625" bestFit="1" customWidth="1"/>
    <col min="4" max="4" width="8.42578125" bestFit="1" customWidth="1"/>
    <col min="5" max="5" width="23.7109375" bestFit="1" customWidth="1"/>
  </cols>
  <sheetData>
    <row r="1" spans="1:5" ht="18.60000000000000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3">
        <v>9</v>
      </c>
      <c r="C2" s="3" t="str">
        <f>IF(AND(B2&gt;=9,B2&lt;=10),"1-50",IF(AND(B2&gt;=11,B2&lt;=13),"51-75",IF(AND(B2=14),77,IF(AND(B2=15),84,IF(AND(B2=16),88,IF(AND(B2=17),92,IF(AND(B2=18),96,IF(AND(B2=19),97,IF(AND(B2&gt;=20,B2&lt;=36),"99+","ERROR")))))))))</f>
        <v>1-50</v>
      </c>
      <c r="D2" s="5" t="str">
        <f>IF(C2="99+", "&gt;75",  IF(C2="1-50", "27-50", IF(C2="51-75", "50-57",((_xlfn.NORM.S.INV(C2/100))*10)+50)))</f>
        <v>27-50</v>
      </c>
      <c r="E2" s="3" t="str">
        <f>IF(AND(C2="1-50"),"Normal",IF(AND(C2="51-75"),"Normal",IF(AND(C2&gt;=76,C2&lt;=83),"Marginally Symptomatic",IF(AND(C2&gt;=84,C2&lt;=92),"Somewhat Symptomatic",IF(AND(C2&gt;=93,C2&lt;=95),"Mildly Symptomatic",IF(AND(C2&gt;=96,C2&lt;=98),"Moderately Symptomatic",IF(AND(C2="99+"),"Severely Symptomatic","ERROR")))))))</f>
        <v>Normal</v>
      </c>
    </row>
    <row r="3" spans="1:5">
      <c r="A3" s="4" t="s">
        <v>6</v>
      </c>
      <c r="B3" s="3">
        <v>5</v>
      </c>
      <c r="C3" s="3" t="str">
        <f>IF(AND(B3=5),"1-50",IF(AND(B3=6),"51-75",IF(AND(B3=7),85,IF(AND(B3=8),92,IF(AND(B3=9),95,IF(AND(B3&gt;=10,B3&lt;=11),97,IF(AND(B3=12),98,IF(AND(B3&gt;=13,B3&lt;=20),"99+","ERROR"))))))))</f>
        <v>1-50</v>
      </c>
      <c r="D3" s="5" t="str">
        <f t="shared" ref="D3:D11" si="0">IF(C3="99+", "&gt;75",  IF(C3="1-50", "27-50", IF(C3="51-75", "50-57",((_xlfn.NORM.S.INV(C3/100))*10)+50)))</f>
        <v>27-50</v>
      </c>
      <c r="E3" s="3" t="str">
        <f t="shared" ref="E3:E11" si="1">IF(AND(C3="1-50"),"Normal",IF(AND(C3="51-75"),"Normal",IF(AND(C3&gt;=76,C3&lt;=83),"Marginally Symptomatic",IF(AND(C3&gt;=84,C3&lt;=92),"Somewhat Symptomatic",IF(AND(C3&gt;=93,C3&lt;=95),"Mildly Symptomatic",IF(AND(C3&gt;=96,C3&lt;=98),"Moderately Symptomatic",IF(AND(C3="99+"),"Severely Symptomatic","ERROR")))))))</f>
        <v>Normal</v>
      </c>
    </row>
    <row r="4" spans="1:5">
      <c r="A4" s="4" t="s">
        <v>7</v>
      </c>
      <c r="B4" s="3">
        <v>4</v>
      </c>
      <c r="C4" s="3" t="str">
        <f>IF(AND(B4=4),"1-50",IF(AND(B4=5),"51-75",IF(AND(B4=6),83,IF(AND(B4=7),90,IF(AND(B4=8),96,IF(AND(B4=9),97,IF(AND(B4=10),98,IF(AND(B4&gt;=11,B4&lt;=16),"99+","ERROR"))))))))</f>
        <v>1-50</v>
      </c>
      <c r="D4" s="5" t="str">
        <f t="shared" si="0"/>
        <v>27-50</v>
      </c>
      <c r="E4" s="3" t="str">
        <f t="shared" si="1"/>
        <v>Normal</v>
      </c>
    </row>
    <row r="5" spans="1:5">
      <c r="A5" s="4" t="s">
        <v>8</v>
      </c>
      <c r="B5" s="6">
        <f>SUM(B2:B4)</f>
        <v>18</v>
      </c>
      <c r="C5" s="3" t="str">
        <f>IF(AND(B5&gt;=18,B5&lt;=21),"1-50",IF(AND(B5&gt;=22,B5&lt;=26),"51-75",IF(AND(B5=27),79,IF(AND(B5=28),83,IF(AND(B5=29),87,IF(AND(B5=30),89,IF(AND(B5=31),91,IF(AND(B5=32),93,IF(AND(B5=33),95,IF(AND(B5=34),96,IF(AND(B5=35),97,IF(AND(B5&gt;=36,B5&lt;=38),98,IF(AND(B5&gt;39,B5&lt;=72),"99+","ERROR")))))))))))))</f>
        <v>1-50</v>
      </c>
      <c r="D5" s="5" t="str">
        <f t="shared" si="0"/>
        <v>27-50</v>
      </c>
      <c r="E5" s="3" t="str">
        <f t="shared" si="1"/>
        <v>Normal</v>
      </c>
    </row>
    <row r="6" spans="1:5">
      <c r="A6" s="4" t="s">
        <v>9</v>
      </c>
      <c r="B6" s="3">
        <v>9</v>
      </c>
      <c r="C6" s="3" t="str">
        <f>IF(AND(B6&gt;=9,B6&lt;=12),"1-50",IF(AND(B6&gt;=13,B6&lt;=15),"51-75",IF(AND(B6=16),78,IF(AND(B6=17),84,IF(AND(B6=18),89,IF(AND(B6=19),91,IF(AND(B6=20),94,IF(AND(B6=21),96,IF(AND(B6=22),97,IF(AND(B6=23),98,IF(AND(B6&gt;=24,B6&lt;=36),"99+","ERROR")))))))))))</f>
        <v>1-50</v>
      </c>
      <c r="D6" s="5" t="str">
        <f t="shared" si="0"/>
        <v>27-50</v>
      </c>
      <c r="E6" s="3" t="str">
        <f t="shared" si="1"/>
        <v>Normal</v>
      </c>
    </row>
    <row r="7" spans="1:5">
      <c r="B7" s="1"/>
      <c r="C7" s="1"/>
      <c r="D7" s="5"/>
      <c r="E7" s="3"/>
    </row>
    <row r="8" spans="1:5" ht="18.600000000000001">
      <c r="A8" s="2" t="s">
        <v>10</v>
      </c>
      <c r="B8" s="3"/>
      <c r="C8" s="3"/>
      <c r="D8" s="5"/>
      <c r="E8" s="3"/>
    </row>
    <row r="9" spans="1:5">
      <c r="A9" s="4" t="s">
        <v>5</v>
      </c>
      <c r="B9" s="3">
        <v>9</v>
      </c>
      <c r="C9" s="3" t="str">
        <f>IF(AND(B9&gt;=9,B9&lt;=10),"1-50",IF(AND(B9&gt;=11,B9&lt;=14),"51-75",IF(AND(B9=15),76,IF(AND(B9=16),81,IF(AND(B9=17),85,IF(AND(B9=18),91,IF(AND(B9=19),93,IF(AND(B9&gt;=20,B9&lt;=21),94,IF(AND(B9=22),96,IF(AND(B9=23),97,IF(AND(B9&gt;=24,B9&lt;=25),98,IF(AND(B9&gt;=26,B9&lt;=36),"99+","ERROR"))))))))))))</f>
        <v>1-50</v>
      </c>
      <c r="D9" s="5" t="str">
        <f t="shared" si="0"/>
        <v>27-50</v>
      </c>
      <c r="E9" s="3" t="str">
        <f t="shared" si="1"/>
        <v>Normal</v>
      </c>
    </row>
    <row r="10" spans="1:5">
      <c r="A10" s="4" t="s">
        <v>11</v>
      </c>
      <c r="B10" s="3">
        <v>9</v>
      </c>
      <c r="C10" s="3" t="str">
        <f>IF(AND(B10=9),"1-50",IF(AND(B10&gt;=10,B10&lt;=12),"51-75",IF(AND(B10=13),76,IF(AND(B10=14),82,IF(AND(B10=15),84,IF(AND(B10=16),87,IF(AND(B10=17),91,IF(AND(B10&gt;=18,B10&lt;=19),95,IF(AND(B10&gt;=20,B10&lt;=21),97,IF(AND(B10&gt;=22,B10&lt;=24),98,IF(AND(B10&gt;=25,B10&lt;=36),"99+","ERROR")))))))))))</f>
        <v>1-50</v>
      </c>
      <c r="D10" s="5" t="str">
        <f t="shared" si="0"/>
        <v>27-50</v>
      </c>
      <c r="E10" s="3" t="str">
        <f t="shared" si="1"/>
        <v>Normal</v>
      </c>
    </row>
    <row r="11" spans="1:5">
      <c r="A11" s="4" t="s">
        <v>8</v>
      </c>
      <c r="B11" s="6">
        <f>SUM(B9:B10)</f>
        <v>18</v>
      </c>
      <c r="C11" s="3" t="str">
        <f>IF(AND(B11&gt;=18,B11&lt;=21),"1-50",IF(AND(B11&gt;=22,B11&lt;=26),"51-75",IF(AND(B11=27),76,IF(AND(B11=28),78,IF(AND(B11=29),79,IF(AND(B11=30),82,IF(AND(B11=31),84,IF(AND(B11=32),85,IF(AND(B11=33),86,IF(AND(B11=34),87,IF(AND(B11=35),89,IF(AND(B11=36),93,IF(AND(B11&gt;=37,B11&lt;=38),94,IF(AND(B11=39),95,IF(AND(B11&gt;=40,B11&lt;=41),96,IF(AND(B11&gt;=42,B11&lt;=43),97,IF(AND(B11&gt;=44,B11&lt;=47),98,IF(AND(B11&gt;=48,B11&lt;=72),"99+","ERROR"))))))))))))))))))</f>
        <v>1-50</v>
      </c>
      <c r="D11" s="5" t="str">
        <f t="shared" si="0"/>
        <v>27-50</v>
      </c>
      <c r="E11" s="3" t="str">
        <f t="shared" si="1"/>
        <v>Normal</v>
      </c>
    </row>
    <row r="12" spans="1:5">
      <c r="B12" s="1"/>
      <c r="C12" s="1"/>
      <c r="D12" s="7"/>
      <c r="E12" s="1"/>
    </row>
    <row r="13" spans="1:5" ht="18.600000000000001">
      <c r="A13" s="2" t="s">
        <v>12</v>
      </c>
      <c r="B13" s="3"/>
      <c r="C13" s="3"/>
      <c r="D13" s="5"/>
      <c r="E13" s="3"/>
    </row>
    <row r="14" spans="1:5">
      <c r="A14" s="4" t="s">
        <v>13</v>
      </c>
      <c r="B14" s="3">
        <v>0</v>
      </c>
      <c r="C14" s="3" t="str">
        <f>IF(AND(B14=0),"1-75",IF(AND(B14=1),94,IF(AND(B14=2),97,IF(AND(B14&gt;=3,B14&lt;=9),"99+","ERROR"))))</f>
        <v>1-75</v>
      </c>
      <c r="D14" s="5" t="str">
        <f>IF(C14="99+", "&gt;75", IF(C14="1-75", "27-57",((_xlfn.NORM.S.INV(C14/100))*10)+50))</f>
        <v>27-57</v>
      </c>
      <c r="E14" s="3" t="str">
        <f>IF(AND(C14="1-75"),"Normal",IF(AND(C14&gt;=76,C14&lt;=83),"Marginally Symptomatic",IF(AND(C14&gt;=84,C14&lt;=92),"Somewhat Symptomatic",IF(AND(C14&gt;=93,C14&lt;=95),"Mildly Symptomatic",IF(AND(C14&gt;=96,C14&lt;=98),"Moderately Symptomatic",IF(AND(C14="99+"),"Severely Symptomatic","ERROR"))))))</f>
        <v>Normal</v>
      </c>
    </row>
    <row r="15" spans="1:5">
      <c r="A15" s="4" t="s">
        <v>14</v>
      </c>
      <c r="B15" s="3">
        <v>0</v>
      </c>
      <c r="C15" s="3" t="str">
        <f>IF(AND(B15=0),"1-75",IF(AND(B15=1),94,IF(AND(B15=2),96,IF(AND(B15=3),98,IF(AND(B15&gt;=4,B15&lt;=9),"99+","ERROR")))))</f>
        <v>1-75</v>
      </c>
      <c r="D15" s="5" t="str">
        <f t="shared" ref="D15:D20" si="2">IF(C15="99+", "&gt;75", IF(C15="1-75", "27-57",((_xlfn.NORM.S.INV(C15/100))*10)+50))</f>
        <v>27-57</v>
      </c>
      <c r="E15" s="3" t="str">
        <f t="shared" ref="E15:E20" si="3">IF(AND(C15="1-75"),"Normal",IF(AND(C15&gt;=76,C15&lt;=83),"Marginally Symptomatic",IF(AND(C15&gt;=84,C15&lt;=92),"Somewhat Symptomatic",IF(AND(C15&gt;=93,C15&lt;=95),"Mildly Symptomatic",IF(AND(C15&gt;=96,C15&lt;=98),"Moderately Symptomatic",IF(AND(C15="99+"),"Severely Symptomatic","ERROR"))))))</f>
        <v>Normal</v>
      </c>
    </row>
    <row r="16" spans="1:5">
      <c r="A16" s="4" t="s">
        <v>15</v>
      </c>
      <c r="B16" s="6">
        <f>SUM(B14:B15)</f>
        <v>0</v>
      </c>
      <c r="C16" s="3" t="str">
        <f>IF(AND(B16=0),"1-75",IF(AND(B16=1),89,IF(AND(B16=2),92,IF(AND(B16=3),95,IF(AND(B16=4),97,IF(AND(B16=5),98,IF(AND(B16&gt;=6,B16&lt;=18),"99+","ERROR")))))))</f>
        <v>1-75</v>
      </c>
      <c r="D16" s="5" t="str">
        <f t="shared" si="2"/>
        <v>27-57</v>
      </c>
      <c r="E16" s="3" t="str">
        <f t="shared" si="3"/>
        <v>Normal</v>
      </c>
    </row>
    <row r="17" spans="1:5">
      <c r="A17" s="4" t="s">
        <v>16</v>
      </c>
      <c r="B17" s="3">
        <v>0</v>
      </c>
      <c r="C17" s="3" t="str">
        <f>IF(AND(B17=0),"1-75",IF(AND(B17=1),84,IF(AND(B17=2),88,IF(AND(B17=3),93,IF(AND(B17=4),97,IF(AND(B17&gt;=5,B17&lt;=9),"99+","ERROR"))))))</f>
        <v>1-75</v>
      </c>
      <c r="D17" s="5" t="str">
        <f t="shared" si="2"/>
        <v>27-57</v>
      </c>
      <c r="E17" s="3" t="str">
        <f t="shared" si="3"/>
        <v>Normal</v>
      </c>
    </row>
    <row r="18" spans="1:5">
      <c r="A18" s="4" t="s">
        <v>17</v>
      </c>
      <c r="B18" s="3">
        <v>0</v>
      </c>
      <c r="C18" s="3" t="str">
        <f>IF(AND(B18=0),"1-75",IF(AND(B18=1),90,IF(AND(B18=2),92,IF(AND(B18=3),93,IF(AND(B18=4),95,IF(AND(B18=5),97,IF(AND(B18&gt;=6,B18&lt;=9),"99+","ERROR")))))))</f>
        <v>1-75</v>
      </c>
      <c r="D18" s="5" t="str">
        <f t="shared" si="2"/>
        <v>27-57</v>
      </c>
      <c r="E18" s="3" t="str">
        <f t="shared" si="3"/>
        <v>Normal</v>
      </c>
    </row>
    <row r="19" spans="1:5">
      <c r="A19" s="4" t="s">
        <v>18</v>
      </c>
      <c r="B19" s="3">
        <v>0</v>
      </c>
      <c r="C19" s="3" t="str">
        <f>IF(AND(B19=0),"1-75",IF(AND(B19=1),92,IF(AND(B19=2),95,IF(AND(B19&gt;=3,B19&lt;=4),97,IF(AND(B19&gt;=5,B19&lt;=6),98,IF(AND(B19&gt;=7,B19&lt;=9),"99+","ERROR"))))))</f>
        <v>1-75</v>
      </c>
      <c r="D19" s="5" t="str">
        <f t="shared" si="2"/>
        <v>27-57</v>
      </c>
      <c r="E19" s="3" t="str">
        <f t="shared" si="3"/>
        <v>Normal</v>
      </c>
    </row>
    <row r="20" spans="1:5">
      <c r="A20" s="4" t="s">
        <v>19</v>
      </c>
      <c r="B20" s="6">
        <f>SUM(B18:B19)</f>
        <v>0</v>
      </c>
      <c r="C20" s="3" t="str">
        <f>IF(AND(B20=0),"1-75",IF(AND(B20=1),85,IF(AND(B20=2),89,IF(AND(B20=3),92,IF(AND(B20=4),93,IF(AND(B20&gt;=5,B20&lt;=6),95,IF(AND(B20=7),96,IF(AND(B20=8),97,IF(AND(B20=9),98,IF(AND(B20&gt;=10,B20&lt;=18),"99+","ERROR"))))))))))</f>
        <v>1-75</v>
      </c>
      <c r="D20" s="5" t="str">
        <f t="shared" si="2"/>
        <v>27-57</v>
      </c>
      <c r="E20" s="3" t="str">
        <f t="shared" si="3"/>
        <v>Normal</v>
      </c>
    </row>
  </sheetData>
  <conditionalFormatting sqref="E2:E20">
    <cfRule type="beginsWith" dxfId="5" priority="1" operator="beginsWith" text="Normal">
      <formula>LEFT(E2,LEN("Normal"))="Normal"</formula>
    </cfRule>
    <cfRule type="containsText" dxfId="4" priority="2" operator="containsText" text="Severely Symptomatic">
      <formula>NOT(ISERROR(SEARCH("Severely Symptomatic",E2)))</formula>
    </cfRule>
    <cfRule type="containsText" dxfId="3" priority="3" operator="containsText" text="Moderately Symptomatic">
      <formula>NOT(ISERROR(SEARCH("Moderately Symptomatic",E2)))</formula>
    </cfRule>
    <cfRule type="containsText" dxfId="2" priority="4" operator="containsText" text="Mildly Symptomatic">
      <formula>NOT(ISERROR(SEARCH("Mildly Symptomatic",E2)))</formula>
    </cfRule>
    <cfRule type="containsText" dxfId="1" priority="5" operator="containsText" text="Somewhat Symptomatic">
      <formula>NOT(ISERROR(SEARCH("Somewhat Symptomatic",E2)))</formula>
    </cfRule>
    <cfRule type="containsText" dxfId="0" priority="6" operator="containsText" text="Marginally Symptomatic">
      <formula>NOT(ISERROR(SEARCH("Marginally Symptomatic",E2)))</formula>
    </cfRule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290b294c-5736-49fe-b90e-53d6be5e8a40}" enabled="1" method="Privileged" siteId="{c57d1a73-0e5c-464b-afb7-086dc67f3d4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AHN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Allen Csuk</dc:creator>
  <cp:keywords/>
  <dc:description/>
  <cp:lastModifiedBy>Bross, Hannah (AHN)</cp:lastModifiedBy>
  <cp:revision/>
  <dcterms:created xsi:type="dcterms:W3CDTF">2021-07-09T16:30:01Z</dcterms:created>
  <dcterms:modified xsi:type="dcterms:W3CDTF">2026-04-06T17:49:30Z</dcterms:modified>
  <cp:category/>
  <cp:contentStatus/>
</cp:coreProperties>
</file>